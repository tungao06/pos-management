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comments5.xml" ContentType="application/vnd.openxmlformats-officedocument.spreadsheetml.comments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tables/table6.xml" ContentType="application/vnd.openxmlformats-officedocument.spreadsheetml.table+xml"/>
  <Override PartName="/xl/comments7.xml" ContentType="application/vnd.openxmlformats-officedocument.spreadsheetml.comments+xml"/>
  <Override PartName="/xl/tables/table7.xml" ContentType="application/vnd.openxmlformats-officedocument.spreadsheetml.table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hreadedComments/threadedComment1.xml" ContentType="application/vnd.ms-excel.threadedcomments+xml"/>
  <Override PartName="/xl/comments10.xml" ContentType="application/vnd.openxmlformats-officedocument.spreadsheetml.comments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0a47edc8482306/Documents/DAYO/"/>
    </mc:Choice>
  </mc:AlternateContent>
  <xr:revisionPtr revIDLastSave="4400" documentId="8_{7CD756E6-11B1-6B48-87CE-999A8845F143}" xr6:coauthVersionLast="47" xr6:coauthVersionMax="47" xr10:uidLastSave="{9945BB07-6BFA-4A9B-9DA1-EF4343137774}"/>
  <bookViews>
    <workbookView xWindow="-120" yWindow="-120" windowWidth="51840" windowHeight="21120" tabRatio="816" activeTab="9" xr2:uid="{00000000-000D-0000-FFFF-FFFF00000000}"/>
  </bookViews>
  <sheets>
    <sheet name="🏠 หน้าหลัก" sheetId="22" r:id="rId1"/>
    <sheet name="Dashboard" sheetId="16" r:id="rId2"/>
    <sheet name="คำนวณสูตร" sheetId="1" r:id="rId3"/>
    <sheet name="ข้อมูลสูตร" sheetId="3" r:id="rId4"/>
    <sheet name="ต้นทุนและราคา" sheetId="5" r:id="rId5"/>
    <sheet name="SOP วิธีชง" sheetId="19" r:id="rId6"/>
    <sheet name="เตรียมเบส" sheetId="20" r:id="rId7"/>
    <sheet name="เบสและซับสูตร" sheetId="4" r:id="rId8"/>
    <sheet name="ต้นทุนเบส" sheetId="11" r:id="rId9"/>
    <sheet name="สินค้าและสต็อก" sheetId="10" r:id="rId10"/>
    <sheet name="บันทึกซื้อ" sheetId="12" r:id="rId11"/>
    <sheet name="บันทึกขาย" sheetId="13" r:id="rId12"/>
    <sheet name="ปรับสต็อก" sheetId="14" r:id="rId13"/>
    <sheet name="ทะเบียนอุปกรณ์" sheetId="15" r:id="rId14"/>
    <sheet name="R&amp;D Log" sheetId="6" r:id="rId15"/>
    <sheet name="สรุปการชิม" sheetId="21" r:id="rId16"/>
    <sheet name="มัทฉะพรีเมียม" sheetId="18" r:id="rId17"/>
    <sheet name="ตารางรวม" sheetId="2" state="hidden" r:id="rId18"/>
    <sheet name="Lists" sheetId="9" state="hidden" r:id="rId19"/>
    <sheet name="Schema" sheetId="17" state="hidden" r:id="rId20"/>
    <sheet name="เคล็ดลับ" sheetId="7" state="hidden" r:id="rId21"/>
    <sheet name="สรุปการแก้ไข" sheetId="8" state="hidden" r:id="rId2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6" i="3" l="1"/>
  <c r="J336" i="3" s="1"/>
  <c r="F335" i="3"/>
  <c r="J335" i="3" s="1"/>
  <c r="F334" i="3"/>
  <c r="F333" i="3"/>
  <c r="F331" i="3"/>
  <c r="F330" i="3"/>
  <c r="F329" i="3"/>
  <c r="F328" i="3"/>
  <c r="F191" i="3"/>
  <c r="F190" i="3"/>
  <c r="V190" i="3" s="1"/>
  <c r="U193" i="2" s="1"/>
  <c r="F189" i="3"/>
  <c r="F188" i="3"/>
  <c r="V188" i="3" s="1"/>
  <c r="U191" i="2" s="1"/>
  <c r="F186" i="3"/>
  <c r="V186" i="3" s="1"/>
  <c r="U189" i="2" s="1"/>
  <c r="F185" i="3"/>
  <c r="V185" i="3" s="1"/>
  <c r="U188" i="2" s="1"/>
  <c r="F184" i="3"/>
  <c r="F183" i="3"/>
  <c r="J333" i="3" s="1"/>
  <c r="F181" i="3"/>
  <c r="F180" i="3"/>
  <c r="F179" i="3"/>
  <c r="F178" i="3"/>
  <c r="F176" i="3"/>
  <c r="F175" i="3"/>
  <c r="F174" i="3"/>
  <c r="F173" i="3"/>
  <c r="N306" i="3"/>
  <c r="N305" i="3"/>
  <c r="N304" i="3"/>
  <c r="N303" i="3"/>
  <c r="N131" i="3"/>
  <c r="N130" i="3"/>
  <c r="N129" i="3"/>
  <c r="N128" i="3"/>
  <c r="N126" i="3"/>
  <c r="N125" i="3"/>
  <c r="N124" i="3"/>
  <c r="N123" i="3"/>
  <c r="V123" i="3" s="1"/>
  <c r="U126" i="2" s="1"/>
  <c r="J341" i="3"/>
  <c r="J340" i="3"/>
  <c r="J339" i="3"/>
  <c r="J338" i="3"/>
  <c r="G326" i="3"/>
  <c r="J326" i="3"/>
  <c r="G325" i="3"/>
  <c r="J325" i="3"/>
  <c r="G324" i="3"/>
  <c r="J324" i="3"/>
  <c r="G323" i="3"/>
  <c r="J323" i="3"/>
  <c r="G321" i="3"/>
  <c r="J321" i="3"/>
  <c r="G320" i="3"/>
  <c r="J320" i="3"/>
  <c r="G319" i="3"/>
  <c r="J319" i="3"/>
  <c r="G318" i="3"/>
  <c r="J318" i="3"/>
  <c r="J316" i="3"/>
  <c r="J315" i="3"/>
  <c r="I318" i="2" s="1"/>
  <c r="J314" i="3"/>
  <c r="J313" i="3"/>
  <c r="G311" i="3"/>
  <c r="J311" i="3"/>
  <c r="G310" i="3"/>
  <c r="J310" i="3"/>
  <c r="G309" i="3"/>
  <c r="J309" i="3"/>
  <c r="G308" i="3"/>
  <c r="J308" i="3"/>
  <c r="J306" i="3"/>
  <c r="J305" i="3"/>
  <c r="J304" i="3"/>
  <c r="J303" i="3"/>
  <c r="J301" i="3"/>
  <c r="J300" i="3"/>
  <c r="J299" i="3"/>
  <c r="J298" i="3"/>
  <c r="J201" i="3"/>
  <c r="J200" i="3"/>
  <c r="J199" i="3"/>
  <c r="J198" i="3"/>
  <c r="J196" i="3"/>
  <c r="J195" i="3"/>
  <c r="J194" i="3"/>
  <c r="J193" i="3"/>
  <c r="J191" i="3"/>
  <c r="J190" i="3"/>
  <c r="J189" i="3"/>
  <c r="V189" i="3" s="1"/>
  <c r="U192" i="2" s="1"/>
  <c r="J188" i="3"/>
  <c r="J186" i="3"/>
  <c r="J185" i="3"/>
  <c r="J184" i="3"/>
  <c r="J183" i="3"/>
  <c r="J181" i="3"/>
  <c r="J180" i="3"/>
  <c r="I183" i="2" s="1"/>
  <c r="J179" i="3"/>
  <c r="J178" i="3"/>
  <c r="V178" i="3" s="1"/>
  <c r="U181" i="2" s="1"/>
  <c r="J176" i="3"/>
  <c r="J175" i="3"/>
  <c r="J174" i="3"/>
  <c r="J173" i="3"/>
  <c r="G171" i="3"/>
  <c r="J171" i="3"/>
  <c r="G170" i="3"/>
  <c r="J170" i="3"/>
  <c r="G169" i="3"/>
  <c r="J169" i="3"/>
  <c r="G168" i="3"/>
  <c r="J168" i="3"/>
  <c r="G166" i="3"/>
  <c r="J166" i="3"/>
  <c r="G165" i="3"/>
  <c r="J165" i="3"/>
  <c r="G164" i="3"/>
  <c r="J164" i="3"/>
  <c r="G163" i="3"/>
  <c r="J163" i="3"/>
  <c r="G161" i="3"/>
  <c r="J161" i="3"/>
  <c r="G160" i="3"/>
  <c r="J160" i="3"/>
  <c r="G159" i="3"/>
  <c r="V159" i="3" s="1"/>
  <c r="U162" i="2" s="1"/>
  <c r="J159" i="3"/>
  <c r="G158" i="3"/>
  <c r="V158" i="3" s="1"/>
  <c r="U161" i="2" s="1"/>
  <c r="J158" i="3"/>
  <c r="G156" i="3"/>
  <c r="J156" i="3"/>
  <c r="I324" i="2" s="1"/>
  <c r="G155" i="3"/>
  <c r="J155" i="3"/>
  <c r="G154" i="3"/>
  <c r="J154" i="3"/>
  <c r="I322" i="2" s="1"/>
  <c r="G153" i="3"/>
  <c r="J153" i="3"/>
  <c r="J151" i="3"/>
  <c r="J150" i="3"/>
  <c r="J149" i="3"/>
  <c r="V149" i="3" s="1"/>
  <c r="U152" i="2" s="1"/>
  <c r="J148" i="3"/>
  <c r="J146" i="3"/>
  <c r="J145" i="3"/>
  <c r="J144" i="3"/>
  <c r="J143" i="3"/>
  <c r="G141" i="3"/>
  <c r="J141" i="3"/>
  <c r="G140" i="3"/>
  <c r="J140" i="3"/>
  <c r="G139" i="3"/>
  <c r="J139" i="3"/>
  <c r="G138" i="3"/>
  <c r="J138" i="3"/>
  <c r="V138" i="3" s="1"/>
  <c r="U141" i="2" s="1"/>
  <c r="G136" i="3"/>
  <c r="J136" i="3"/>
  <c r="G135" i="3"/>
  <c r="J135" i="3"/>
  <c r="G134" i="3"/>
  <c r="J134" i="3"/>
  <c r="G133" i="3"/>
  <c r="J133" i="3"/>
  <c r="J131" i="3"/>
  <c r="J130" i="3"/>
  <c r="J129" i="3"/>
  <c r="V129" i="3" s="1"/>
  <c r="U132" i="2" s="1"/>
  <c r="J128" i="3"/>
  <c r="J126" i="3"/>
  <c r="J125" i="3"/>
  <c r="J124" i="3"/>
  <c r="J123" i="3"/>
  <c r="J121" i="3"/>
  <c r="J120" i="3"/>
  <c r="V120" i="3" s="1"/>
  <c r="U123" i="2" s="1"/>
  <c r="J119" i="3"/>
  <c r="J118" i="3"/>
  <c r="J116" i="3"/>
  <c r="J115" i="3"/>
  <c r="J114" i="3"/>
  <c r="J113" i="3"/>
  <c r="E39" i="11"/>
  <c r="E37" i="11"/>
  <c r="E36" i="11"/>
  <c r="G36" i="11" s="1"/>
  <c r="E35" i="11"/>
  <c r="B27" i="4"/>
  <c r="H9" i="10"/>
  <c r="H7" i="10"/>
  <c r="E69" i="15"/>
  <c r="D69" i="15"/>
  <c r="G7" i="12"/>
  <c r="G6" i="12"/>
  <c r="F8" i="12"/>
  <c r="A6" i="10"/>
  <c r="A7" i="10"/>
  <c r="A8" i="10"/>
  <c r="K8" i="10" s="1"/>
  <c r="M8" i="10" s="1"/>
  <c r="N8" i="10" s="1"/>
  <c r="A9" i="10"/>
  <c r="A10" i="10"/>
  <c r="A11" i="10"/>
  <c r="A12" i="10"/>
  <c r="K12" i="10" s="1"/>
  <c r="A13" i="10"/>
  <c r="K13" i="10" s="1"/>
  <c r="M13" i="10" s="1"/>
  <c r="N13" i="10" s="1"/>
  <c r="A14" i="10"/>
  <c r="K14" i="10" s="1"/>
  <c r="M14" i="10" s="1"/>
  <c r="N14" i="10" s="1"/>
  <c r="A15" i="10"/>
  <c r="K15" i="10" s="1"/>
  <c r="M15" i="10" s="1"/>
  <c r="N15" i="10" s="1"/>
  <c r="A16" i="10"/>
  <c r="K16" i="10" s="1"/>
  <c r="M16" i="10" s="1"/>
  <c r="N16" i="10" s="1"/>
  <c r="A17" i="10"/>
  <c r="K17" i="10" s="1"/>
  <c r="M17" i="10" s="1"/>
  <c r="N17" i="10" s="1"/>
  <c r="A18" i="10"/>
  <c r="K18" i="10" s="1"/>
  <c r="A19" i="10"/>
  <c r="K19" i="10" s="1"/>
  <c r="M19" i="10" s="1"/>
  <c r="N19" i="10" s="1"/>
  <c r="A20" i="10"/>
  <c r="K20" i="10" s="1"/>
  <c r="A21" i="10"/>
  <c r="K21" i="10" s="1"/>
  <c r="M21" i="10" s="1"/>
  <c r="N21" i="10" s="1"/>
  <c r="A22" i="10"/>
  <c r="K22" i="10" s="1"/>
  <c r="M22" i="10" s="1"/>
  <c r="N22" i="10" s="1"/>
  <c r="A23" i="10"/>
  <c r="K23" i="10" s="1"/>
  <c r="M23" i="10" s="1"/>
  <c r="N23" i="10" s="1"/>
  <c r="A24" i="10"/>
  <c r="K24" i="10" s="1"/>
  <c r="M24" i="10" s="1"/>
  <c r="N24" i="10" s="1"/>
  <c r="A25" i="10"/>
  <c r="K25" i="10" s="1"/>
  <c r="M25" i="10" s="1"/>
  <c r="N25" i="10" s="1"/>
  <c r="A26" i="10"/>
  <c r="A27" i="10"/>
  <c r="A28" i="10"/>
  <c r="K28" i="10" s="1"/>
  <c r="O28" i="10" s="1"/>
  <c r="A29" i="10"/>
  <c r="K29" i="10" s="1"/>
  <c r="M29" i="10" s="1"/>
  <c r="N29" i="10" s="1"/>
  <c r="A30" i="10"/>
  <c r="K30" i="10" s="1"/>
  <c r="O30" i="10" s="1"/>
  <c r="A31" i="10"/>
  <c r="K31" i="10" s="1"/>
  <c r="M31" i="10" s="1"/>
  <c r="N31" i="10" s="1"/>
  <c r="A32" i="10"/>
  <c r="K32" i="10" s="1"/>
  <c r="M32" i="10" s="1"/>
  <c r="N32" i="10" s="1"/>
  <c r="A33" i="10"/>
  <c r="K33" i="10" s="1"/>
  <c r="M33" i="10" s="1"/>
  <c r="N33" i="10" s="1"/>
  <c r="A34" i="10"/>
  <c r="K34" i="10" s="1"/>
  <c r="A35" i="10"/>
  <c r="K35" i="10" s="1"/>
  <c r="A36" i="10"/>
  <c r="A37" i="10"/>
  <c r="A38" i="10"/>
  <c r="A39" i="10"/>
  <c r="A40" i="10"/>
  <c r="H39" i="10"/>
  <c r="H38" i="10"/>
  <c r="C40" i="10"/>
  <c r="C39" i="10"/>
  <c r="C38" i="10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E68" i="15"/>
  <c r="D68" i="15"/>
  <c r="E67" i="15"/>
  <c r="D67" i="15"/>
  <c r="E66" i="15"/>
  <c r="D66" i="15"/>
  <c r="E65" i="15"/>
  <c r="D65" i="15"/>
  <c r="E64" i="15"/>
  <c r="D64" i="15"/>
  <c r="E63" i="15"/>
  <c r="D63" i="15"/>
  <c r="E62" i="15"/>
  <c r="D62" i="15"/>
  <c r="E61" i="15"/>
  <c r="D61" i="15"/>
  <c r="E60" i="15"/>
  <c r="D60" i="15"/>
  <c r="B19" i="18"/>
  <c r="X3" i="3" a="1"/>
  <c r="W6" i="2" s="1"/>
  <c r="X4" i="3" a="1"/>
  <c r="W7" i="2" s="1"/>
  <c r="X5" i="3" a="1"/>
  <c r="W8" i="2" s="1"/>
  <c r="X6" i="3" a="1"/>
  <c r="W9" i="2" s="1"/>
  <c r="X7" i="3" a="1"/>
  <c r="X8" i="3" a="1"/>
  <c r="X9" i="3" a="1"/>
  <c r="W12" i="2" s="1"/>
  <c r="X10" i="3" a="1"/>
  <c r="W13" i="2" s="1"/>
  <c r="X11" i="3" a="1"/>
  <c r="W14" i="2" s="1"/>
  <c r="X12" i="3" a="1"/>
  <c r="W15" i="2" s="1"/>
  <c r="X13" i="3" a="1"/>
  <c r="W16" i="2" s="1"/>
  <c r="X14" i="3" a="1"/>
  <c r="W17" i="2" s="1"/>
  <c r="X15" i="3" a="1"/>
  <c r="W18" i="2" s="1"/>
  <c r="X16" i="3" a="1"/>
  <c r="W19" i="2" s="1"/>
  <c r="X17" i="3" a="1"/>
  <c r="W20" i="2" s="1"/>
  <c r="X18" i="3" a="1"/>
  <c r="W21" i="2" s="1"/>
  <c r="X19" i="3" a="1"/>
  <c r="W22" i="2" s="1"/>
  <c r="X20" i="3" a="1"/>
  <c r="W23" i="2" s="1"/>
  <c r="X21" i="3" a="1"/>
  <c r="W24" i="2" s="1"/>
  <c r="X22" i="3" a="1"/>
  <c r="W25" i="2" s="1"/>
  <c r="X23" i="3" a="1"/>
  <c r="W26" i="2" s="1"/>
  <c r="X24" i="3" a="1"/>
  <c r="W27" i="2" s="1"/>
  <c r="X25" i="3" a="1"/>
  <c r="W28" i="2" s="1"/>
  <c r="X26" i="3" a="1"/>
  <c r="W29" i="2" s="1"/>
  <c r="X27" i="3" a="1"/>
  <c r="W30" i="2" s="1"/>
  <c r="X28" i="3" a="1"/>
  <c r="W31" i="2" s="1"/>
  <c r="X29" i="3" a="1"/>
  <c r="W32" i="2" s="1"/>
  <c r="X30" i="3" a="1"/>
  <c r="W33" i="2" s="1"/>
  <c r="X31" i="3" a="1"/>
  <c r="W34" i="2" s="1"/>
  <c r="X32" i="3" a="1"/>
  <c r="W35" i="2" s="1"/>
  <c r="X33" i="3" a="1"/>
  <c r="W36" i="2" s="1"/>
  <c r="X34" i="3" a="1"/>
  <c r="W37" i="2" s="1"/>
  <c r="X35" i="3" a="1"/>
  <c r="W38" i="2" s="1"/>
  <c r="X36" i="3" a="1"/>
  <c r="W39" i="2" s="1"/>
  <c r="X37" i="3" a="1"/>
  <c r="W40" i="2" s="1"/>
  <c r="X38" i="3" a="1"/>
  <c r="W41" i="2" s="1"/>
  <c r="X39" i="3" a="1"/>
  <c r="W42" i="2" s="1"/>
  <c r="X40" i="3" a="1"/>
  <c r="W43" i="2" s="1"/>
  <c r="X41" i="3" a="1"/>
  <c r="W44" i="2" s="1"/>
  <c r="X42" i="3" a="1"/>
  <c r="W45" i="2" s="1"/>
  <c r="X43" i="3" a="1"/>
  <c r="W46" i="2" s="1"/>
  <c r="X44" i="3" a="1"/>
  <c r="W47" i="2" s="1"/>
  <c r="X45" i="3" a="1"/>
  <c r="W48" i="2" s="1"/>
  <c r="X46" i="3" a="1"/>
  <c r="W49" i="2" s="1"/>
  <c r="X47" i="3" a="1"/>
  <c r="W50" i="2" s="1"/>
  <c r="X48" i="3" a="1"/>
  <c r="W51" i="2" s="1"/>
  <c r="X49" i="3" a="1"/>
  <c r="W52" i="2" s="1"/>
  <c r="X50" i="3" a="1"/>
  <c r="W53" i="2" s="1"/>
  <c r="X51" i="3" a="1"/>
  <c r="W54" i="2" s="1"/>
  <c r="X52" i="3" a="1"/>
  <c r="W55" i="2" s="1"/>
  <c r="X53" i="3" a="1"/>
  <c r="W56" i="2" s="1"/>
  <c r="X54" i="3" a="1"/>
  <c r="W57" i="2" s="1"/>
  <c r="X55" i="3" a="1"/>
  <c r="W58" i="2" s="1"/>
  <c r="X56" i="3" a="1"/>
  <c r="W59" i="2" s="1"/>
  <c r="X57" i="3" a="1"/>
  <c r="W60" i="2" s="1"/>
  <c r="X58" i="3" a="1"/>
  <c r="W61" i="2" s="1"/>
  <c r="X59" i="3" a="1"/>
  <c r="W62" i="2" s="1"/>
  <c r="X60" i="3" a="1"/>
  <c r="W63" i="2" s="1"/>
  <c r="X61" i="3" a="1"/>
  <c r="W64" i="2" s="1"/>
  <c r="X62" i="3" a="1"/>
  <c r="W65" i="2" s="1"/>
  <c r="X63" i="3" a="1"/>
  <c r="W66" i="2" s="1"/>
  <c r="X64" i="3" a="1"/>
  <c r="W67" i="2" s="1"/>
  <c r="X65" i="3" a="1"/>
  <c r="W68" i="2" s="1"/>
  <c r="X66" i="3" a="1"/>
  <c r="W69" i="2" s="1"/>
  <c r="X67" i="3" a="1"/>
  <c r="W70" i="2" s="1"/>
  <c r="X68" i="3" a="1"/>
  <c r="W71" i="2" s="1"/>
  <c r="X69" i="3" a="1"/>
  <c r="W72" i="2" s="1"/>
  <c r="X70" i="3" a="1"/>
  <c r="W73" i="2" s="1"/>
  <c r="X71" i="3" a="1"/>
  <c r="W74" i="2" s="1"/>
  <c r="X72" i="3" a="1"/>
  <c r="W75" i="2" s="1"/>
  <c r="X73" i="3" a="1"/>
  <c r="W76" i="2" s="1"/>
  <c r="X74" i="3" a="1"/>
  <c r="W77" i="2" s="1"/>
  <c r="X75" i="3" a="1"/>
  <c r="W78" i="2" s="1"/>
  <c r="X76" i="3" a="1"/>
  <c r="W79" i="2" s="1"/>
  <c r="X77" i="3" a="1"/>
  <c r="W80" i="2" s="1"/>
  <c r="X78" i="3" a="1"/>
  <c r="W81" i="2" s="1"/>
  <c r="X79" i="3" a="1"/>
  <c r="W82" i="2" s="1"/>
  <c r="X80" i="3" a="1"/>
  <c r="W83" i="2" s="1"/>
  <c r="X81" i="3" a="1"/>
  <c r="W84" i="2" s="1"/>
  <c r="X82" i="3" a="1"/>
  <c r="W85" i="2" s="1"/>
  <c r="X83" i="3" a="1"/>
  <c r="W86" i="2" s="1"/>
  <c r="X84" i="3" a="1"/>
  <c r="W87" i="2" s="1"/>
  <c r="X85" i="3" a="1"/>
  <c r="W88" i="2" s="1"/>
  <c r="X86" i="3" a="1"/>
  <c r="W89" i="2" s="1"/>
  <c r="X87" i="3" a="1"/>
  <c r="W90" i="2" s="1"/>
  <c r="X88" i="3" a="1"/>
  <c r="W91" i="2" s="1"/>
  <c r="X89" i="3" a="1"/>
  <c r="W92" i="2" s="1"/>
  <c r="X90" i="3" a="1"/>
  <c r="W93" i="2" s="1"/>
  <c r="X91" i="3" a="1"/>
  <c r="W94" i="2" s="1"/>
  <c r="X92" i="3" a="1"/>
  <c r="W95" i="2" s="1"/>
  <c r="X93" i="3" a="1"/>
  <c r="W96" i="2" s="1"/>
  <c r="X94" i="3" a="1"/>
  <c r="W97" i="2" s="1"/>
  <c r="X95" i="3" a="1"/>
  <c r="W98" i="2" s="1"/>
  <c r="X96" i="3" a="1"/>
  <c r="W99" i="2" s="1"/>
  <c r="X97" i="3" a="1"/>
  <c r="W100" i="2" s="1"/>
  <c r="X98" i="3" a="1"/>
  <c r="W101" i="2" s="1"/>
  <c r="X99" i="3" a="1"/>
  <c r="W102" i="2" s="1"/>
  <c r="X100" i="3" a="1"/>
  <c r="W103" i="2" s="1"/>
  <c r="X101" i="3" a="1"/>
  <c r="W104" i="2" s="1"/>
  <c r="X102" i="3" a="1"/>
  <c r="W105" i="2" s="1"/>
  <c r="X103" i="3" a="1"/>
  <c r="W106" i="2" s="1"/>
  <c r="X104" i="3" a="1"/>
  <c r="W107" i="2" s="1"/>
  <c r="X105" i="3" a="1"/>
  <c r="W108" i="2" s="1"/>
  <c r="X106" i="3" a="1"/>
  <c r="W109" i="2" s="1"/>
  <c r="X107" i="3" a="1"/>
  <c r="W110" i="2" s="1"/>
  <c r="X108" i="3" a="1"/>
  <c r="W111" i="2" s="1"/>
  <c r="X109" i="3" a="1"/>
  <c r="W112" i="2" s="1"/>
  <c r="X110" i="3" a="1"/>
  <c r="W113" i="2" s="1"/>
  <c r="X111" i="3" a="1"/>
  <c r="W114" i="2" s="1"/>
  <c r="X112" i="3" a="1"/>
  <c r="W115" i="2" s="1"/>
  <c r="X113" i="3" a="1"/>
  <c r="W116" i="2" s="1"/>
  <c r="X114" i="3" a="1"/>
  <c r="W117" i="2" s="1"/>
  <c r="X115" i="3" a="1"/>
  <c r="W118" i="2" s="1"/>
  <c r="X116" i="3" a="1"/>
  <c r="W119" i="2" s="1"/>
  <c r="X117" i="3" a="1"/>
  <c r="W120" i="2" s="1"/>
  <c r="X118" i="3" a="1"/>
  <c r="W121" i="2" s="1"/>
  <c r="X119" i="3" a="1"/>
  <c r="W122" i="2" s="1"/>
  <c r="X120" i="3" a="1"/>
  <c r="W123" i="2" s="1"/>
  <c r="X121" i="3" a="1"/>
  <c r="W124" i="2" s="1"/>
  <c r="X122" i="3" a="1"/>
  <c r="W125" i="2" s="1"/>
  <c r="X123" i="3" a="1"/>
  <c r="W126" i="2" s="1"/>
  <c r="X124" i="3" a="1"/>
  <c r="W127" i="2" s="1"/>
  <c r="X125" i="3" a="1"/>
  <c r="W128" i="2" s="1"/>
  <c r="X126" i="3" a="1"/>
  <c r="W129" i="2" s="1"/>
  <c r="X127" i="3" a="1"/>
  <c r="W130" i="2" s="1"/>
  <c r="X128" i="3" a="1"/>
  <c r="W131" i="2" s="1"/>
  <c r="X129" i="3" a="1"/>
  <c r="W132" i="2" s="1"/>
  <c r="X130" i="3" a="1"/>
  <c r="W133" i="2" s="1"/>
  <c r="X131" i="3" a="1"/>
  <c r="W134" i="2" s="1"/>
  <c r="X132" i="3" a="1"/>
  <c r="W135" i="2" s="1"/>
  <c r="X133" i="3" a="1"/>
  <c r="W136" i="2" s="1"/>
  <c r="X134" i="3" a="1"/>
  <c r="W137" i="2" s="1"/>
  <c r="X135" i="3" a="1"/>
  <c r="W138" i="2" s="1"/>
  <c r="X136" i="3" a="1"/>
  <c r="W139" i="2" s="1"/>
  <c r="X137" i="3" a="1"/>
  <c r="W140" i="2" s="1"/>
  <c r="X138" i="3" a="1"/>
  <c r="W141" i="2" s="1"/>
  <c r="X139" i="3" a="1"/>
  <c r="W142" i="2" s="1"/>
  <c r="X140" i="3" a="1"/>
  <c r="W143" i="2" s="1"/>
  <c r="X141" i="3" a="1"/>
  <c r="W144" i="2" s="1"/>
  <c r="X142" i="3" a="1"/>
  <c r="W145" i="2" s="1"/>
  <c r="X143" i="3" a="1"/>
  <c r="W146" i="2" s="1"/>
  <c r="X144" i="3" a="1"/>
  <c r="W147" i="2" s="1"/>
  <c r="X145" i="3" a="1"/>
  <c r="W148" i="2" s="1"/>
  <c r="X146" i="3" a="1"/>
  <c r="W149" i="2" s="1"/>
  <c r="X147" i="3" a="1"/>
  <c r="W150" i="2" s="1"/>
  <c r="X148" i="3" a="1"/>
  <c r="W151" i="2" s="1"/>
  <c r="X149" i="3" a="1"/>
  <c r="W152" i="2" s="1"/>
  <c r="X150" i="3" a="1"/>
  <c r="W153" i="2" s="1"/>
  <c r="X151" i="3" a="1"/>
  <c r="W154" i="2" s="1"/>
  <c r="X152" i="3" a="1"/>
  <c r="W155" i="2" s="1"/>
  <c r="X153" i="3" a="1"/>
  <c r="W156" i="2" s="1"/>
  <c r="X154" i="3" a="1"/>
  <c r="W157" i="2" s="1"/>
  <c r="X155" i="3" a="1"/>
  <c r="W158" i="2" s="1"/>
  <c r="X156" i="3" a="1"/>
  <c r="W159" i="2" s="1"/>
  <c r="X157" i="3" a="1"/>
  <c r="W160" i="2" s="1"/>
  <c r="X158" i="3" a="1"/>
  <c r="W161" i="2" s="1"/>
  <c r="X159" i="3" a="1"/>
  <c r="W162" i="2" s="1"/>
  <c r="X160" i="3" a="1"/>
  <c r="W163" i="2" s="1"/>
  <c r="X161" i="3" a="1"/>
  <c r="W164" i="2" s="1"/>
  <c r="X162" i="3" a="1"/>
  <c r="W165" i="2" s="1"/>
  <c r="X163" i="3" a="1"/>
  <c r="W166" i="2" s="1"/>
  <c r="X164" i="3" a="1"/>
  <c r="W167" i="2" s="1"/>
  <c r="X165" i="3" a="1"/>
  <c r="W168" i="2" s="1"/>
  <c r="X166" i="3" a="1"/>
  <c r="W169" i="2" s="1"/>
  <c r="X167" i="3" a="1"/>
  <c r="W170" i="2" s="1"/>
  <c r="X168" i="3" a="1"/>
  <c r="W171" i="2" s="1"/>
  <c r="X169" i="3" a="1"/>
  <c r="W172" i="2" s="1"/>
  <c r="X170" i="3" a="1"/>
  <c r="W173" i="2" s="1"/>
  <c r="X171" i="3" a="1"/>
  <c r="W174" i="2" s="1"/>
  <c r="X172" i="3" a="1"/>
  <c r="W175" i="2" s="1"/>
  <c r="X173" i="3" a="1"/>
  <c r="W176" i="2" s="1"/>
  <c r="X174" i="3" a="1"/>
  <c r="W177" i="2" s="1"/>
  <c r="X175" i="3" a="1"/>
  <c r="W178" i="2" s="1"/>
  <c r="X176" i="3" a="1"/>
  <c r="W179" i="2" s="1"/>
  <c r="X177" i="3" a="1"/>
  <c r="W180" i="2" s="1"/>
  <c r="X178" i="3" a="1"/>
  <c r="W181" i="2" s="1"/>
  <c r="X179" i="3" a="1"/>
  <c r="W182" i="2" s="1"/>
  <c r="X180" i="3" a="1"/>
  <c r="W183" i="2" s="1"/>
  <c r="X181" i="3" a="1"/>
  <c r="W184" i="2" s="1"/>
  <c r="X182" i="3" a="1"/>
  <c r="W185" i="2" s="1"/>
  <c r="X183" i="3" a="1"/>
  <c r="W186" i="2" s="1"/>
  <c r="X184" i="3" a="1"/>
  <c r="W187" i="2" s="1"/>
  <c r="X185" i="3" a="1"/>
  <c r="W188" i="2" s="1"/>
  <c r="X186" i="3" a="1"/>
  <c r="W189" i="2" s="1"/>
  <c r="X187" i="3" a="1"/>
  <c r="W190" i="2" s="1"/>
  <c r="X188" i="3" a="1"/>
  <c r="W191" i="2" s="1"/>
  <c r="X189" i="3" a="1"/>
  <c r="W192" i="2" s="1"/>
  <c r="X190" i="3" a="1"/>
  <c r="W193" i="2" s="1"/>
  <c r="X191" i="3" a="1"/>
  <c r="W194" i="2" s="1"/>
  <c r="X192" i="3" a="1"/>
  <c r="W195" i="2" s="1"/>
  <c r="X193" i="3" a="1"/>
  <c r="W196" i="2" s="1"/>
  <c r="X194" i="3" a="1"/>
  <c r="W197" i="2" s="1"/>
  <c r="X195" i="3" a="1"/>
  <c r="W198" i="2" s="1"/>
  <c r="X196" i="3" a="1"/>
  <c r="W199" i="2" s="1"/>
  <c r="X197" i="3" a="1"/>
  <c r="W200" i="2" s="1"/>
  <c r="X198" i="3" a="1"/>
  <c r="W201" i="2" s="1"/>
  <c r="X199" i="3" a="1"/>
  <c r="W202" i="2" s="1"/>
  <c r="X200" i="3" a="1"/>
  <c r="W203" i="2" s="1"/>
  <c r="X201" i="3" a="1"/>
  <c r="W204" i="2" s="1"/>
  <c r="X202" i="3" a="1"/>
  <c r="W205" i="2" s="1"/>
  <c r="X203" i="3" a="1"/>
  <c r="W206" i="2" s="1"/>
  <c r="X204" i="3" a="1"/>
  <c r="W207" i="2" s="1"/>
  <c r="X205" i="3" a="1"/>
  <c r="W208" i="2" s="1"/>
  <c r="X206" i="3" a="1"/>
  <c r="W209" i="2" s="1"/>
  <c r="X207" i="3" a="1"/>
  <c r="W210" i="2" s="1"/>
  <c r="X208" i="3" a="1"/>
  <c r="W211" i="2" s="1"/>
  <c r="X209" i="3" a="1"/>
  <c r="W212" i="2" s="1"/>
  <c r="X210" i="3" a="1"/>
  <c r="W213" i="2" s="1"/>
  <c r="X211" i="3" a="1"/>
  <c r="W214" i="2" s="1"/>
  <c r="X212" i="3" a="1"/>
  <c r="W215" i="2" s="1"/>
  <c r="X213" i="3" a="1"/>
  <c r="W216" i="2" s="1"/>
  <c r="X214" i="3" a="1"/>
  <c r="W217" i="2" s="1"/>
  <c r="X215" i="3" a="1"/>
  <c r="W218" i="2" s="1"/>
  <c r="X216" i="3" a="1"/>
  <c r="W219" i="2" s="1"/>
  <c r="X217" i="3" a="1"/>
  <c r="W220" i="2" s="1"/>
  <c r="X218" i="3" a="1"/>
  <c r="W221" i="2" s="1"/>
  <c r="X219" i="3" a="1"/>
  <c r="W222" i="2" s="1"/>
  <c r="X220" i="3" a="1"/>
  <c r="W223" i="2" s="1"/>
  <c r="X221" i="3" a="1"/>
  <c r="W224" i="2" s="1"/>
  <c r="X222" i="3" a="1"/>
  <c r="W225" i="2" s="1"/>
  <c r="X223" i="3" a="1"/>
  <c r="W226" i="2" s="1"/>
  <c r="X224" i="3" a="1"/>
  <c r="W227" i="2" s="1"/>
  <c r="X225" i="3" a="1"/>
  <c r="W228" i="2" s="1"/>
  <c r="X226" i="3" a="1"/>
  <c r="W229" i="2" s="1"/>
  <c r="X227" i="3" a="1"/>
  <c r="W230" i="2" s="1"/>
  <c r="X228" i="3" a="1"/>
  <c r="W231" i="2" s="1"/>
  <c r="X229" i="3" a="1"/>
  <c r="W232" i="2" s="1"/>
  <c r="X230" i="3" a="1"/>
  <c r="W233" i="2" s="1"/>
  <c r="X231" i="3" a="1"/>
  <c r="W234" i="2" s="1"/>
  <c r="X232" i="3" a="1"/>
  <c r="W235" i="2" s="1"/>
  <c r="X233" i="3" a="1"/>
  <c r="W236" i="2" s="1"/>
  <c r="X234" i="3" a="1"/>
  <c r="W237" i="2" s="1"/>
  <c r="X235" i="3" a="1"/>
  <c r="W238" i="2" s="1"/>
  <c r="X236" i="3" a="1"/>
  <c r="W239" i="2" s="1"/>
  <c r="X237" i="3" a="1"/>
  <c r="W240" i="2" s="1"/>
  <c r="X238" i="3" a="1"/>
  <c r="W241" i="2" s="1"/>
  <c r="X239" i="3" a="1"/>
  <c r="W242" i="2" s="1"/>
  <c r="X240" i="3" a="1"/>
  <c r="W243" i="2" s="1"/>
  <c r="X241" i="3" a="1"/>
  <c r="W244" i="2" s="1"/>
  <c r="X242" i="3" a="1"/>
  <c r="X243" i="3" a="1"/>
  <c r="X244" i="3" a="1"/>
  <c r="X245" i="3" a="1"/>
  <c r="X246" i="3" a="1"/>
  <c r="X247" i="3" a="1"/>
  <c r="X248" i="3" a="1"/>
  <c r="X249" i="3" a="1"/>
  <c r="X250" i="3" a="1"/>
  <c r="X251" i="3" a="1"/>
  <c r="X252" i="3" a="1"/>
  <c r="X253" i="3" a="1"/>
  <c r="X254" i="3" a="1"/>
  <c r="X255" i="3" a="1"/>
  <c r="X256" i="3" a="1"/>
  <c r="X257" i="3" a="1"/>
  <c r="X258" i="3" a="1"/>
  <c r="X259" i="3" a="1"/>
  <c r="X260" i="3" a="1"/>
  <c r="X261" i="3" a="1"/>
  <c r="X262" i="3" a="1"/>
  <c r="X263" i="3" a="1"/>
  <c r="X264" i="3" a="1"/>
  <c r="X265" i="3" a="1"/>
  <c r="X266" i="3" a="1"/>
  <c r="X267" i="3" a="1"/>
  <c r="X268" i="3" a="1"/>
  <c r="X269" i="3" a="1"/>
  <c r="X270" i="3" a="1"/>
  <c r="X271" i="3" a="1"/>
  <c r="X272" i="3" a="1"/>
  <c r="X273" i="3" a="1"/>
  <c r="X274" i="3" a="1"/>
  <c r="X275" i="3" a="1"/>
  <c r="X276" i="3" a="1"/>
  <c r="X277" i="3" a="1"/>
  <c r="X278" i="3" a="1"/>
  <c r="X279" i="3" a="1"/>
  <c r="X280" i="3" a="1"/>
  <c r="X281" i="3" a="1"/>
  <c r="X282" i="3" a="1"/>
  <c r="X283" i="3" a="1"/>
  <c r="X284" i="3" a="1"/>
  <c r="X285" i="3" a="1"/>
  <c r="X286" i="3" a="1"/>
  <c r="X287" i="3" a="1"/>
  <c r="X288" i="3" a="1"/>
  <c r="X289" i="3" a="1"/>
  <c r="X290" i="3" a="1"/>
  <c r="X291" i="3" a="1"/>
  <c r="X292" i="3" a="1"/>
  <c r="X293" i="3" a="1"/>
  <c r="X294" i="3" a="1"/>
  <c r="X295" i="3" a="1"/>
  <c r="X296" i="3" a="1"/>
  <c r="X297" i="3" a="1"/>
  <c r="X298" i="3" a="1"/>
  <c r="X299" i="3" a="1"/>
  <c r="X300" i="3" a="1"/>
  <c r="X301" i="3" a="1"/>
  <c r="X302" i="3" a="1"/>
  <c r="X303" i="3" a="1"/>
  <c r="W306" i="2" s="1"/>
  <c r="X304" i="3" a="1"/>
  <c r="W307" i="2" s="1"/>
  <c r="X305" i="3" a="1"/>
  <c r="W308" i="2" s="1"/>
  <c r="X306" i="3" a="1"/>
  <c r="W309" i="2" s="1"/>
  <c r="X307" i="3" a="1"/>
  <c r="W310" i="2" s="1"/>
  <c r="X308" i="3" a="1"/>
  <c r="W311" i="2" s="1"/>
  <c r="X309" i="3" a="1"/>
  <c r="W312" i="2" s="1"/>
  <c r="X310" i="3" a="1"/>
  <c r="W313" i="2" s="1"/>
  <c r="X311" i="3" a="1"/>
  <c r="W314" i="2" s="1"/>
  <c r="X312" i="3" a="1"/>
  <c r="W315" i="2" s="1"/>
  <c r="X313" i="3" a="1"/>
  <c r="W316" i="2" s="1"/>
  <c r="X314" i="3" a="1"/>
  <c r="W317" i="2" s="1"/>
  <c r="X315" i="3" a="1"/>
  <c r="W318" i="2" s="1"/>
  <c r="X316" i="3" a="1"/>
  <c r="W319" i="2" s="1"/>
  <c r="X317" i="3" a="1"/>
  <c r="W320" i="2" s="1"/>
  <c r="X318" i="3" a="1"/>
  <c r="W321" i="2" s="1"/>
  <c r="X319" i="3" a="1"/>
  <c r="W322" i="2" s="1"/>
  <c r="X320" i="3" a="1"/>
  <c r="W323" i="2" s="1"/>
  <c r="X321" i="3" a="1"/>
  <c r="W324" i="2" s="1"/>
  <c r="X322" i="3" a="1"/>
  <c r="W325" i="2" s="1"/>
  <c r="X323" i="3" a="1"/>
  <c r="W326" i="2" s="1"/>
  <c r="X324" i="3" a="1"/>
  <c r="W327" i="2" s="1"/>
  <c r="X325" i="3" a="1"/>
  <c r="W328" i="2" s="1"/>
  <c r="X326" i="3" a="1"/>
  <c r="W329" i="2" s="1"/>
  <c r="X327" i="3" a="1"/>
  <c r="W330" i="2" s="1"/>
  <c r="X328" i="3" a="1"/>
  <c r="W331" i="2" s="1"/>
  <c r="X329" i="3" a="1"/>
  <c r="W332" i="2" s="1"/>
  <c r="X330" i="3" a="1"/>
  <c r="W333" i="2" s="1"/>
  <c r="X331" i="3" a="1"/>
  <c r="W334" i="2" s="1"/>
  <c r="X332" i="3" a="1"/>
  <c r="W335" i="2" s="1"/>
  <c r="X333" i="3" a="1"/>
  <c r="W336" i="2" s="1"/>
  <c r="X334" i="3" a="1"/>
  <c r="W337" i="2" s="1"/>
  <c r="X335" i="3" a="1"/>
  <c r="W338" i="2" s="1"/>
  <c r="X336" i="3" a="1"/>
  <c r="W339" i="2" s="1"/>
  <c r="X337" i="3" a="1"/>
  <c r="W340" i="2" s="1"/>
  <c r="X338" i="3" a="1"/>
  <c r="W341" i="2" s="1"/>
  <c r="X339" i="3" a="1"/>
  <c r="W342" i="2" s="1"/>
  <c r="X340" i="3" a="1"/>
  <c r="W343" i="2" s="1"/>
  <c r="X341" i="3" a="1"/>
  <c r="W344" i="2" s="1"/>
  <c r="X342" i="3" a="1"/>
  <c r="W345" i="2" s="1"/>
  <c r="X343" i="3" a="1"/>
  <c r="W346" i="2" s="1"/>
  <c r="X344" i="3" a="1"/>
  <c r="W347" i="2" s="1"/>
  <c r="X345" i="3" a="1"/>
  <c r="W348" i="2" s="1"/>
  <c r="X346" i="3" a="1"/>
  <c r="W349" i="2" s="1"/>
  <c r="X347" i="3" a="1"/>
  <c r="W350" i="2" s="1"/>
  <c r="X348" i="3" a="1"/>
  <c r="W351" i="2" s="1"/>
  <c r="X349" i="3" a="1"/>
  <c r="W352" i="2" s="1"/>
  <c r="X350" i="3" a="1"/>
  <c r="W353" i="2" s="1"/>
  <c r="X351" i="3" a="1"/>
  <c r="W354" i="2" s="1"/>
  <c r="X352" i="3" a="1"/>
  <c r="W355" i="2" s="1"/>
  <c r="X353" i="3" a="1"/>
  <c r="W356" i="2" s="1"/>
  <c r="X354" i="3" a="1"/>
  <c r="W357" i="2" s="1"/>
  <c r="X355" i="3" a="1"/>
  <c r="W358" i="2" s="1"/>
  <c r="X356" i="3" a="1"/>
  <c r="W359" i="2" s="1"/>
  <c r="X357" i="3" a="1"/>
  <c r="W360" i="2" s="1"/>
  <c r="X358" i="3" a="1"/>
  <c r="W361" i="2" s="1"/>
  <c r="X359" i="3" a="1"/>
  <c r="W362" i="2" s="1"/>
  <c r="X360" i="3" a="1"/>
  <c r="W363" i="2" s="1"/>
  <c r="X361" i="3" a="1"/>
  <c r="W364" i="2" s="1"/>
  <c r="X2" i="3" a="1"/>
  <c r="W5" i="2" s="1"/>
  <c r="D26" i="5"/>
  <c r="D27" i="5"/>
  <c r="D29" i="5"/>
  <c r="D30" i="5"/>
  <c r="D31" i="5"/>
  <c r="D32" i="5"/>
  <c r="D33" i="5"/>
  <c r="D34" i="5"/>
  <c r="D35" i="5"/>
  <c r="D37" i="5"/>
  <c r="D38" i="5"/>
  <c r="D39" i="5"/>
  <c r="D41" i="5"/>
  <c r="D42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B48" i="21"/>
  <c r="B49" i="21" s="1"/>
  <c r="AI305" i="13"/>
  <c r="AI304" i="13"/>
  <c r="AI303" i="13"/>
  <c r="AI302" i="13"/>
  <c r="AI301" i="13"/>
  <c r="AI300" i="13"/>
  <c r="AI299" i="13"/>
  <c r="AI298" i="13"/>
  <c r="AI297" i="13"/>
  <c r="AI296" i="13"/>
  <c r="AI295" i="13"/>
  <c r="AI294" i="13"/>
  <c r="AI293" i="13"/>
  <c r="AI292" i="13"/>
  <c r="AI291" i="13"/>
  <c r="AI290" i="13"/>
  <c r="AI289" i="13"/>
  <c r="AI288" i="13"/>
  <c r="AI287" i="13"/>
  <c r="AI286" i="13"/>
  <c r="AI285" i="13"/>
  <c r="AI284" i="13"/>
  <c r="AI283" i="13"/>
  <c r="AI282" i="13"/>
  <c r="AI281" i="13"/>
  <c r="AI280" i="13"/>
  <c r="AI279" i="13"/>
  <c r="AI278" i="13"/>
  <c r="AI277" i="13"/>
  <c r="AI276" i="13"/>
  <c r="AI275" i="13"/>
  <c r="AI274" i="13"/>
  <c r="AI273" i="13"/>
  <c r="AI272" i="13"/>
  <c r="AI271" i="13"/>
  <c r="AI270" i="13"/>
  <c r="AI269" i="13"/>
  <c r="AI268" i="13"/>
  <c r="AI267" i="13"/>
  <c r="AI266" i="13"/>
  <c r="AI265" i="13"/>
  <c r="AI264" i="13"/>
  <c r="AI263" i="13"/>
  <c r="AI262" i="13"/>
  <c r="AI261" i="13"/>
  <c r="AI260" i="13"/>
  <c r="AI259" i="13"/>
  <c r="AI258" i="13"/>
  <c r="AI257" i="13"/>
  <c r="AI256" i="13"/>
  <c r="AI255" i="13"/>
  <c r="AI254" i="13"/>
  <c r="AI253" i="13"/>
  <c r="AI252" i="13"/>
  <c r="AI251" i="13"/>
  <c r="AI250" i="13"/>
  <c r="AI249" i="13"/>
  <c r="AI248" i="13"/>
  <c r="AI247" i="13"/>
  <c r="AI246" i="13"/>
  <c r="AI245" i="13"/>
  <c r="AI244" i="13"/>
  <c r="AI243" i="13"/>
  <c r="AI242" i="13"/>
  <c r="AI241" i="13"/>
  <c r="AI240" i="13"/>
  <c r="AI239" i="13"/>
  <c r="AI238" i="13"/>
  <c r="AI237" i="13"/>
  <c r="AI236" i="13"/>
  <c r="AI235" i="13"/>
  <c r="AI234" i="13"/>
  <c r="AI233" i="13"/>
  <c r="AI232" i="13"/>
  <c r="AI231" i="13"/>
  <c r="AI230" i="13"/>
  <c r="AI229" i="13"/>
  <c r="AI228" i="13"/>
  <c r="AI227" i="13"/>
  <c r="AI226" i="13"/>
  <c r="AI225" i="13"/>
  <c r="AI224" i="13"/>
  <c r="AI223" i="13"/>
  <c r="AI222" i="13"/>
  <c r="AI221" i="13"/>
  <c r="AI220" i="13"/>
  <c r="AI219" i="13"/>
  <c r="AI218" i="13"/>
  <c r="AI217" i="13"/>
  <c r="AI216" i="13"/>
  <c r="AI215" i="13"/>
  <c r="AI214" i="13"/>
  <c r="AI213" i="13"/>
  <c r="AI212" i="13"/>
  <c r="AI211" i="13"/>
  <c r="AI210" i="13"/>
  <c r="AI209" i="13"/>
  <c r="AI208" i="13"/>
  <c r="AI207" i="13"/>
  <c r="AI206" i="13"/>
  <c r="AI205" i="13"/>
  <c r="AI204" i="13"/>
  <c r="AI203" i="13"/>
  <c r="AI202" i="13"/>
  <c r="AI201" i="13"/>
  <c r="AI200" i="13"/>
  <c r="AI199" i="13"/>
  <c r="AI198" i="13"/>
  <c r="AI197" i="13"/>
  <c r="AI196" i="13"/>
  <c r="AI195" i="13"/>
  <c r="AI194" i="13"/>
  <c r="AI193" i="13"/>
  <c r="AI192" i="13"/>
  <c r="AI191" i="13"/>
  <c r="AI190" i="13"/>
  <c r="AI189" i="13"/>
  <c r="AI188" i="13"/>
  <c r="AI187" i="13"/>
  <c r="AI186" i="13"/>
  <c r="AI185" i="13"/>
  <c r="AI184" i="13"/>
  <c r="AI183" i="13"/>
  <c r="AI182" i="13"/>
  <c r="AI181" i="13"/>
  <c r="AI180" i="13"/>
  <c r="AI179" i="13"/>
  <c r="AI178" i="13"/>
  <c r="AI177" i="13"/>
  <c r="AI176" i="13"/>
  <c r="AI175" i="13"/>
  <c r="AI174" i="13"/>
  <c r="AI173" i="13"/>
  <c r="AI172" i="13"/>
  <c r="AI171" i="13"/>
  <c r="AI170" i="13"/>
  <c r="AI169" i="13"/>
  <c r="AI168" i="13"/>
  <c r="AI167" i="13"/>
  <c r="AI166" i="13"/>
  <c r="AI165" i="13"/>
  <c r="AI164" i="13"/>
  <c r="AI163" i="13"/>
  <c r="AI162" i="13"/>
  <c r="AI161" i="13"/>
  <c r="AI160" i="13"/>
  <c r="AI159" i="13"/>
  <c r="AI158" i="13"/>
  <c r="AI157" i="13"/>
  <c r="AI156" i="13"/>
  <c r="AI155" i="13"/>
  <c r="AI154" i="13"/>
  <c r="AI153" i="13"/>
  <c r="AI152" i="13"/>
  <c r="AI151" i="13"/>
  <c r="AI150" i="13"/>
  <c r="AI149" i="13"/>
  <c r="AI148" i="13"/>
  <c r="AI147" i="13"/>
  <c r="AI146" i="13"/>
  <c r="AI145" i="13"/>
  <c r="AI144" i="13"/>
  <c r="AI143" i="13"/>
  <c r="AI142" i="13"/>
  <c r="AI141" i="13"/>
  <c r="AI140" i="13"/>
  <c r="AI139" i="13"/>
  <c r="AI138" i="13"/>
  <c r="AI137" i="13"/>
  <c r="AI136" i="13"/>
  <c r="AI135" i="13"/>
  <c r="AI134" i="13"/>
  <c r="AI133" i="13"/>
  <c r="AI132" i="13"/>
  <c r="AI131" i="13"/>
  <c r="AI130" i="13"/>
  <c r="AI129" i="13"/>
  <c r="AI128" i="13"/>
  <c r="AI127" i="13"/>
  <c r="AI126" i="13"/>
  <c r="AI125" i="13"/>
  <c r="AI124" i="13"/>
  <c r="AI123" i="13"/>
  <c r="AI122" i="13"/>
  <c r="AI121" i="13"/>
  <c r="AI120" i="13"/>
  <c r="AI119" i="13"/>
  <c r="AI118" i="13"/>
  <c r="AI117" i="13"/>
  <c r="AI116" i="13"/>
  <c r="AI115" i="13"/>
  <c r="AI114" i="13"/>
  <c r="AI113" i="13"/>
  <c r="AI112" i="13"/>
  <c r="AI111" i="13"/>
  <c r="AI110" i="13"/>
  <c r="AI109" i="13"/>
  <c r="AI108" i="13"/>
  <c r="AI107" i="13"/>
  <c r="AI106" i="13"/>
  <c r="AI105" i="13"/>
  <c r="AI104" i="13"/>
  <c r="AI103" i="13"/>
  <c r="AI102" i="13"/>
  <c r="AI101" i="13"/>
  <c r="AI100" i="13"/>
  <c r="AI99" i="13"/>
  <c r="AI98" i="13"/>
  <c r="AI97" i="13"/>
  <c r="AI96" i="13"/>
  <c r="AI95" i="13"/>
  <c r="AI94" i="13"/>
  <c r="AI93" i="13"/>
  <c r="AI92" i="13"/>
  <c r="AI91" i="13"/>
  <c r="AI90" i="13"/>
  <c r="AI89" i="13"/>
  <c r="AI88" i="13"/>
  <c r="AI87" i="13"/>
  <c r="AI86" i="13"/>
  <c r="AI85" i="13"/>
  <c r="AI84" i="13"/>
  <c r="AI83" i="13"/>
  <c r="AI82" i="13"/>
  <c r="AI81" i="13"/>
  <c r="AI80" i="13"/>
  <c r="AI79" i="13"/>
  <c r="AI78" i="13"/>
  <c r="AI77" i="13"/>
  <c r="AI76" i="13"/>
  <c r="AI75" i="13"/>
  <c r="AI74" i="13"/>
  <c r="AI73" i="13"/>
  <c r="AI72" i="13"/>
  <c r="AI71" i="13"/>
  <c r="AI70" i="13"/>
  <c r="AI69" i="13"/>
  <c r="AI68" i="13"/>
  <c r="AI67" i="13"/>
  <c r="AI66" i="13"/>
  <c r="AI65" i="13"/>
  <c r="AI64" i="13"/>
  <c r="AI63" i="13"/>
  <c r="AI62" i="13"/>
  <c r="AI61" i="13"/>
  <c r="AI60" i="13"/>
  <c r="AI59" i="13"/>
  <c r="AI58" i="13"/>
  <c r="AI57" i="13"/>
  <c r="AI56" i="13"/>
  <c r="AI55" i="13"/>
  <c r="AI54" i="13"/>
  <c r="AI53" i="13"/>
  <c r="AI52" i="13"/>
  <c r="AI51" i="13"/>
  <c r="AI50" i="13"/>
  <c r="AI49" i="13"/>
  <c r="AI48" i="13"/>
  <c r="AI47" i="13"/>
  <c r="AI46" i="13"/>
  <c r="AI45" i="13"/>
  <c r="AI44" i="13"/>
  <c r="AI43" i="13"/>
  <c r="AI42" i="13"/>
  <c r="AI41" i="13"/>
  <c r="AI40" i="13"/>
  <c r="AI39" i="13"/>
  <c r="AI38" i="13"/>
  <c r="AI37" i="13"/>
  <c r="AI36" i="13"/>
  <c r="AI35" i="13"/>
  <c r="AI34" i="13"/>
  <c r="AI33" i="13"/>
  <c r="AI32" i="13"/>
  <c r="AI31" i="13"/>
  <c r="AI30" i="13"/>
  <c r="AI29" i="13"/>
  <c r="AI28" i="13"/>
  <c r="AI27" i="13"/>
  <c r="AI26" i="13"/>
  <c r="AI25" i="13"/>
  <c r="AI24" i="13"/>
  <c r="AI23" i="13"/>
  <c r="AI22" i="13"/>
  <c r="AI21" i="13"/>
  <c r="AI20" i="13"/>
  <c r="AI19" i="13"/>
  <c r="AI18" i="13"/>
  <c r="AI17" i="13"/>
  <c r="AI16" i="13"/>
  <c r="AI15" i="13"/>
  <c r="AI14" i="13"/>
  <c r="AI13" i="13"/>
  <c r="AI12" i="13"/>
  <c r="AI11" i="13"/>
  <c r="AI10" i="13"/>
  <c r="AI9" i="13"/>
  <c r="AI8" i="13"/>
  <c r="AI7" i="13"/>
  <c r="Z364" i="2"/>
  <c r="Y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M334" i="2"/>
  <c r="L334" i="2"/>
  <c r="K334" i="2"/>
  <c r="J334" i="2"/>
  <c r="H334" i="2"/>
  <c r="G334" i="2"/>
  <c r="F334" i="2"/>
  <c r="D334" i="2"/>
  <c r="C334" i="2"/>
  <c r="B334" i="2"/>
  <c r="A334" i="2"/>
  <c r="Z333" i="2"/>
  <c r="T333" i="2"/>
  <c r="S333" i="2"/>
  <c r="R333" i="2"/>
  <c r="Q333" i="2"/>
  <c r="P333" i="2"/>
  <c r="O333" i="2"/>
  <c r="N333" i="2"/>
  <c r="M333" i="2"/>
  <c r="L333" i="2"/>
  <c r="K333" i="2"/>
  <c r="J333" i="2"/>
  <c r="H333" i="2"/>
  <c r="G333" i="2"/>
  <c r="F333" i="2"/>
  <c r="D333" i="2"/>
  <c r="C333" i="2"/>
  <c r="B333" i="2"/>
  <c r="A333" i="2"/>
  <c r="Z332" i="2"/>
  <c r="T332" i="2"/>
  <c r="S332" i="2"/>
  <c r="R332" i="2"/>
  <c r="Q332" i="2"/>
  <c r="P332" i="2"/>
  <c r="O332" i="2"/>
  <c r="N332" i="2"/>
  <c r="M332" i="2"/>
  <c r="L332" i="2"/>
  <c r="K332" i="2"/>
  <c r="J332" i="2"/>
  <c r="H332" i="2"/>
  <c r="G332" i="2"/>
  <c r="F332" i="2"/>
  <c r="E332" i="2"/>
  <c r="D332" i="2"/>
  <c r="C332" i="2"/>
  <c r="B332" i="2"/>
  <c r="A332" i="2"/>
  <c r="Z331" i="2"/>
  <c r="T331" i="2"/>
  <c r="S331" i="2"/>
  <c r="R331" i="2"/>
  <c r="Q331" i="2"/>
  <c r="P331" i="2"/>
  <c r="O331" i="2"/>
  <c r="N331" i="2"/>
  <c r="M331" i="2"/>
  <c r="L331" i="2"/>
  <c r="K331" i="2"/>
  <c r="J331" i="2"/>
  <c r="H331" i="2"/>
  <c r="G331" i="2"/>
  <c r="F331" i="2"/>
  <c r="D331" i="2"/>
  <c r="C331" i="2"/>
  <c r="B331" i="2"/>
  <c r="A331" i="2"/>
  <c r="Z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Z329" i="2"/>
  <c r="T329" i="2"/>
  <c r="S329" i="2"/>
  <c r="R329" i="2"/>
  <c r="Q329" i="2"/>
  <c r="P329" i="2"/>
  <c r="O329" i="2"/>
  <c r="N329" i="2"/>
  <c r="M329" i="2"/>
  <c r="L329" i="2"/>
  <c r="K329" i="2"/>
  <c r="J329" i="2"/>
  <c r="H329" i="2"/>
  <c r="G329" i="2"/>
  <c r="E329" i="2"/>
  <c r="D329" i="2"/>
  <c r="C329" i="2"/>
  <c r="B329" i="2"/>
  <c r="A329" i="2"/>
  <c r="Z328" i="2"/>
  <c r="T328" i="2"/>
  <c r="S328" i="2"/>
  <c r="R328" i="2"/>
  <c r="Q328" i="2"/>
  <c r="P328" i="2"/>
  <c r="O328" i="2"/>
  <c r="N328" i="2"/>
  <c r="M328" i="2"/>
  <c r="L328" i="2"/>
  <c r="K328" i="2"/>
  <c r="J328" i="2"/>
  <c r="H328" i="2"/>
  <c r="G328" i="2"/>
  <c r="E328" i="2"/>
  <c r="D328" i="2"/>
  <c r="C328" i="2"/>
  <c r="B328" i="2"/>
  <c r="A328" i="2"/>
  <c r="Z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E327" i="2"/>
  <c r="D327" i="2"/>
  <c r="C327" i="2"/>
  <c r="B327" i="2"/>
  <c r="A327" i="2"/>
  <c r="Z326" i="2"/>
  <c r="T326" i="2"/>
  <c r="S326" i="2"/>
  <c r="R326" i="2"/>
  <c r="Q326" i="2"/>
  <c r="P326" i="2"/>
  <c r="O326" i="2"/>
  <c r="N326" i="2"/>
  <c r="M326" i="2"/>
  <c r="L326" i="2"/>
  <c r="K326" i="2"/>
  <c r="J326" i="2"/>
  <c r="H326" i="2"/>
  <c r="G326" i="2"/>
  <c r="E326" i="2"/>
  <c r="D326" i="2"/>
  <c r="C326" i="2"/>
  <c r="B326" i="2"/>
  <c r="A326" i="2"/>
  <c r="Z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Z324" i="2"/>
  <c r="T324" i="2"/>
  <c r="S324" i="2"/>
  <c r="R324" i="2"/>
  <c r="Q324" i="2"/>
  <c r="P324" i="2"/>
  <c r="O324" i="2"/>
  <c r="N324" i="2"/>
  <c r="M324" i="2"/>
  <c r="L324" i="2"/>
  <c r="K324" i="2"/>
  <c r="J324" i="2"/>
  <c r="H324" i="2"/>
  <c r="G324" i="2"/>
  <c r="E324" i="2"/>
  <c r="D324" i="2"/>
  <c r="C324" i="2"/>
  <c r="B324" i="2"/>
  <c r="A324" i="2"/>
  <c r="Z323" i="2"/>
  <c r="T323" i="2"/>
  <c r="S323" i="2"/>
  <c r="R323" i="2"/>
  <c r="Q323" i="2"/>
  <c r="P323" i="2"/>
  <c r="O323" i="2"/>
  <c r="N323" i="2"/>
  <c r="M323" i="2"/>
  <c r="L323" i="2"/>
  <c r="K323" i="2"/>
  <c r="J323" i="2"/>
  <c r="H323" i="2"/>
  <c r="G323" i="2"/>
  <c r="E323" i="2"/>
  <c r="D323" i="2"/>
  <c r="C323" i="2"/>
  <c r="B323" i="2"/>
  <c r="A323" i="2"/>
  <c r="Z322" i="2"/>
  <c r="T322" i="2"/>
  <c r="S322" i="2"/>
  <c r="R322" i="2"/>
  <c r="Q322" i="2"/>
  <c r="P322" i="2"/>
  <c r="O322" i="2"/>
  <c r="N322" i="2"/>
  <c r="M322" i="2"/>
  <c r="L322" i="2"/>
  <c r="K322" i="2"/>
  <c r="J322" i="2"/>
  <c r="H322" i="2"/>
  <c r="G322" i="2"/>
  <c r="E322" i="2"/>
  <c r="D322" i="2"/>
  <c r="C322" i="2"/>
  <c r="B322" i="2"/>
  <c r="A322" i="2"/>
  <c r="Z321" i="2"/>
  <c r="T321" i="2"/>
  <c r="S321" i="2"/>
  <c r="R321" i="2"/>
  <c r="Q321" i="2"/>
  <c r="P321" i="2"/>
  <c r="O321" i="2"/>
  <c r="N321" i="2"/>
  <c r="M321" i="2"/>
  <c r="L321" i="2"/>
  <c r="K321" i="2"/>
  <c r="J321" i="2"/>
  <c r="H321" i="2"/>
  <c r="G321" i="2"/>
  <c r="E321" i="2"/>
  <c r="D321" i="2"/>
  <c r="C321" i="2"/>
  <c r="B321" i="2"/>
  <c r="A321" i="2"/>
  <c r="Z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Z319" i="2"/>
  <c r="T319" i="2"/>
  <c r="S319" i="2"/>
  <c r="R319" i="2"/>
  <c r="Q319" i="2"/>
  <c r="P319" i="2"/>
  <c r="O319" i="2"/>
  <c r="N319" i="2"/>
  <c r="M319" i="2"/>
  <c r="L319" i="2"/>
  <c r="K319" i="2"/>
  <c r="J319" i="2"/>
  <c r="H319" i="2"/>
  <c r="G319" i="2"/>
  <c r="F319" i="2"/>
  <c r="E319" i="2"/>
  <c r="D319" i="2"/>
  <c r="C319" i="2"/>
  <c r="B319" i="2"/>
  <c r="A319" i="2"/>
  <c r="Z318" i="2"/>
  <c r="T318" i="2"/>
  <c r="S318" i="2"/>
  <c r="R318" i="2"/>
  <c r="Q318" i="2"/>
  <c r="P318" i="2"/>
  <c r="O318" i="2"/>
  <c r="N318" i="2"/>
  <c r="M318" i="2"/>
  <c r="L318" i="2"/>
  <c r="K318" i="2"/>
  <c r="J318" i="2"/>
  <c r="H318" i="2"/>
  <c r="G318" i="2"/>
  <c r="F318" i="2"/>
  <c r="E318" i="2"/>
  <c r="D318" i="2"/>
  <c r="C318" i="2"/>
  <c r="B318" i="2"/>
  <c r="A318" i="2"/>
  <c r="Z317" i="2"/>
  <c r="T317" i="2"/>
  <c r="S317" i="2"/>
  <c r="R317" i="2"/>
  <c r="Q317" i="2"/>
  <c r="P317" i="2"/>
  <c r="O317" i="2"/>
  <c r="N317" i="2"/>
  <c r="M317" i="2"/>
  <c r="L317" i="2"/>
  <c r="K317" i="2"/>
  <c r="J317" i="2"/>
  <c r="H317" i="2"/>
  <c r="G317" i="2"/>
  <c r="F317" i="2"/>
  <c r="E317" i="2"/>
  <c r="D317" i="2"/>
  <c r="C317" i="2"/>
  <c r="B317" i="2"/>
  <c r="A317" i="2"/>
  <c r="Z316" i="2"/>
  <c r="T316" i="2"/>
  <c r="S316" i="2"/>
  <c r="R316" i="2"/>
  <c r="Q316" i="2"/>
  <c r="P316" i="2"/>
  <c r="O316" i="2"/>
  <c r="N316" i="2"/>
  <c r="M316" i="2"/>
  <c r="L316" i="2"/>
  <c r="K316" i="2"/>
  <c r="J316" i="2"/>
  <c r="H316" i="2"/>
  <c r="G316" i="2"/>
  <c r="F316" i="2"/>
  <c r="E316" i="2"/>
  <c r="D316" i="2"/>
  <c r="C316" i="2"/>
  <c r="B316" i="2"/>
  <c r="A316" i="2"/>
  <c r="A270" i="2"/>
  <c r="Z269" i="2"/>
  <c r="Y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Z268" i="2"/>
  <c r="Y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Z267" i="2"/>
  <c r="Y267" i="2"/>
  <c r="U267" i="2"/>
  <c r="T267" i="2"/>
  <c r="S267" i="2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E330" i="3"/>
  <c r="G330" i="3"/>
  <c r="H330" i="3"/>
  <c r="I330" i="3"/>
  <c r="K330" i="3"/>
  <c r="L330" i="3"/>
  <c r="M330" i="3"/>
  <c r="N330" i="3"/>
  <c r="O330" i="3"/>
  <c r="P330" i="3"/>
  <c r="Q330" i="3"/>
  <c r="R330" i="3"/>
  <c r="S330" i="3"/>
  <c r="T330" i="3"/>
  <c r="U330" i="3"/>
  <c r="E331" i="3"/>
  <c r="G331" i="3"/>
  <c r="H331" i="3"/>
  <c r="I331" i="3"/>
  <c r="K331" i="3"/>
  <c r="L331" i="3"/>
  <c r="M331" i="3"/>
  <c r="N331" i="3"/>
  <c r="O331" i="3"/>
  <c r="P331" i="3"/>
  <c r="Q331" i="3"/>
  <c r="R331" i="3"/>
  <c r="S331" i="3"/>
  <c r="T331" i="3"/>
  <c r="U331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E333" i="3"/>
  <c r="G333" i="3"/>
  <c r="H333" i="3"/>
  <c r="I333" i="3"/>
  <c r="K333" i="3"/>
  <c r="L333" i="3"/>
  <c r="M333" i="3"/>
  <c r="N333" i="3"/>
  <c r="O333" i="3"/>
  <c r="P333" i="3"/>
  <c r="Q333" i="3"/>
  <c r="R333" i="3"/>
  <c r="S333" i="3"/>
  <c r="T333" i="3"/>
  <c r="U333" i="3"/>
  <c r="E334" i="3"/>
  <c r="G334" i="3"/>
  <c r="H334" i="3"/>
  <c r="I334" i="3"/>
  <c r="K334" i="3"/>
  <c r="L334" i="3"/>
  <c r="M334" i="3"/>
  <c r="N334" i="3"/>
  <c r="O334" i="3"/>
  <c r="P334" i="3"/>
  <c r="Q334" i="3"/>
  <c r="R334" i="3"/>
  <c r="S334" i="3"/>
  <c r="T334" i="3"/>
  <c r="U334" i="3"/>
  <c r="E335" i="3"/>
  <c r="G335" i="3"/>
  <c r="H335" i="3"/>
  <c r="I335" i="3"/>
  <c r="K335" i="3"/>
  <c r="L335" i="3"/>
  <c r="M335" i="3"/>
  <c r="N335" i="3"/>
  <c r="O335" i="3"/>
  <c r="P335" i="3"/>
  <c r="Q335" i="3"/>
  <c r="R335" i="3"/>
  <c r="S335" i="3"/>
  <c r="T335" i="3"/>
  <c r="U335" i="3"/>
  <c r="E336" i="3"/>
  <c r="G336" i="3"/>
  <c r="H336" i="3"/>
  <c r="I336" i="3"/>
  <c r="K336" i="3"/>
  <c r="L336" i="3"/>
  <c r="M336" i="3"/>
  <c r="N336" i="3"/>
  <c r="O336" i="3"/>
  <c r="P336" i="3"/>
  <c r="Q336" i="3"/>
  <c r="R336" i="3"/>
  <c r="S336" i="3"/>
  <c r="T336" i="3"/>
  <c r="U336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E338" i="3"/>
  <c r="F338" i="3"/>
  <c r="G338" i="3"/>
  <c r="H338" i="3"/>
  <c r="I338" i="3"/>
  <c r="K338" i="3"/>
  <c r="L338" i="3"/>
  <c r="M338" i="3"/>
  <c r="N338" i="3"/>
  <c r="O338" i="3"/>
  <c r="P338" i="3"/>
  <c r="Q338" i="3"/>
  <c r="R338" i="3"/>
  <c r="S338" i="3"/>
  <c r="T338" i="3"/>
  <c r="U338" i="3"/>
  <c r="E339" i="3"/>
  <c r="F339" i="3"/>
  <c r="G339" i="3"/>
  <c r="H339" i="3"/>
  <c r="I339" i="3"/>
  <c r="K339" i="3"/>
  <c r="L339" i="3"/>
  <c r="M339" i="3"/>
  <c r="N339" i="3"/>
  <c r="O339" i="3"/>
  <c r="P339" i="3"/>
  <c r="Q339" i="3"/>
  <c r="R339" i="3"/>
  <c r="S339" i="3"/>
  <c r="T339" i="3"/>
  <c r="U339" i="3"/>
  <c r="E340" i="3"/>
  <c r="F340" i="3"/>
  <c r="G340" i="3"/>
  <c r="H340" i="3"/>
  <c r="I340" i="3"/>
  <c r="K340" i="3"/>
  <c r="L340" i="3"/>
  <c r="M340" i="3"/>
  <c r="N340" i="3"/>
  <c r="O340" i="3"/>
  <c r="P340" i="3"/>
  <c r="Q340" i="3"/>
  <c r="R340" i="3"/>
  <c r="S340" i="3"/>
  <c r="T340" i="3"/>
  <c r="U340" i="3"/>
  <c r="E341" i="3"/>
  <c r="F341" i="3"/>
  <c r="G341" i="3"/>
  <c r="H341" i="3"/>
  <c r="I341" i="3"/>
  <c r="K341" i="3"/>
  <c r="L341" i="3"/>
  <c r="M341" i="3"/>
  <c r="N341" i="3"/>
  <c r="O341" i="3"/>
  <c r="P341" i="3"/>
  <c r="Q341" i="3"/>
  <c r="R341" i="3"/>
  <c r="S341" i="3"/>
  <c r="T341" i="3"/>
  <c r="U341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E298" i="3"/>
  <c r="F298" i="3"/>
  <c r="G298" i="3"/>
  <c r="H298" i="3"/>
  <c r="I298" i="3"/>
  <c r="K298" i="3"/>
  <c r="L298" i="3"/>
  <c r="M298" i="3"/>
  <c r="N298" i="3"/>
  <c r="O298" i="3"/>
  <c r="P298" i="3"/>
  <c r="Q298" i="3"/>
  <c r="R298" i="3"/>
  <c r="S298" i="3"/>
  <c r="T298" i="3"/>
  <c r="U298" i="3"/>
  <c r="E299" i="3"/>
  <c r="F299" i="3"/>
  <c r="G299" i="3"/>
  <c r="H299" i="3"/>
  <c r="I299" i="3"/>
  <c r="K299" i="3"/>
  <c r="L299" i="3"/>
  <c r="M299" i="3"/>
  <c r="N299" i="3"/>
  <c r="O299" i="3"/>
  <c r="P299" i="3"/>
  <c r="Q299" i="3"/>
  <c r="R299" i="3"/>
  <c r="S299" i="3"/>
  <c r="T299" i="3"/>
  <c r="U299" i="3"/>
  <c r="E300" i="3"/>
  <c r="F300" i="3"/>
  <c r="G300" i="3"/>
  <c r="H300" i="3"/>
  <c r="I300" i="3"/>
  <c r="K300" i="3"/>
  <c r="L300" i="3"/>
  <c r="M300" i="3"/>
  <c r="N300" i="3"/>
  <c r="O300" i="3"/>
  <c r="P300" i="3"/>
  <c r="Q300" i="3"/>
  <c r="R300" i="3"/>
  <c r="S300" i="3"/>
  <c r="T300" i="3"/>
  <c r="U300" i="3"/>
  <c r="E301" i="3"/>
  <c r="F301" i="3"/>
  <c r="G301" i="3"/>
  <c r="H301" i="3"/>
  <c r="I301" i="3"/>
  <c r="K301" i="3"/>
  <c r="L301" i="3"/>
  <c r="M301" i="3"/>
  <c r="N301" i="3"/>
  <c r="O301" i="3"/>
  <c r="P301" i="3"/>
  <c r="Q301" i="3"/>
  <c r="R301" i="3"/>
  <c r="S301" i="3"/>
  <c r="T301" i="3"/>
  <c r="U301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E303" i="3"/>
  <c r="F303" i="3"/>
  <c r="G303" i="3"/>
  <c r="H303" i="3"/>
  <c r="I303" i="3"/>
  <c r="K303" i="3"/>
  <c r="L303" i="3"/>
  <c r="M303" i="3"/>
  <c r="O303" i="3"/>
  <c r="P303" i="3"/>
  <c r="Q303" i="3"/>
  <c r="R303" i="3"/>
  <c r="S303" i="3"/>
  <c r="T303" i="3"/>
  <c r="U303" i="3"/>
  <c r="E304" i="3"/>
  <c r="F304" i="3"/>
  <c r="G304" i="3"/>
  <c r="H304" i="3"/>
  <c r="I304" i="3"/>
  <c r="K304" i="3"/>
  <c r="L304" i="3"/>
  <c r="M304" i="3"/>
  <c r="O304" i="3"/>
  <c r="P304" i="3"/>
  <c r="Q304" i="3"/>
  <c r="R304" i="3"/>
  <c r="S304" i="3"/>
  <c r="T304" i="3"/>
  <c r="U304" i="3"/>
  <c r="E305" i="3"/>
  <c r="F305" i="3"/>
  <c r="G305" i="3"/>
  <c r="H305" i="3"/>
  <c r="I305" i="3"/>
  <c r="K305" i="3"/>
  <c r="L305" i="3"/>
  <c r="M305" i="3"/>
  <c r="O305" i="3"/>
  <c r="P305" i="3"/>
  <c r="Q305" i="3"/>
  <c r="R305" i="3"/>
  <c r="S305" i="3"/>
  <c r="T305" i="3"/>
  <c r="U305" i="3"/>
  <c r="E306" i="3"/>
  <c r="F306" i="3"/>
  <c r="G306" i="3"/>
  <c r="H306" i="3"/>
  <c r="I306" i="3"/>
  <c r="K306" i="3"/>
  <c r="L306" i="3"/>
  <c r="M306" i="3"/>
  <c r="O306" i="3"/>
  <c r="P306" i="3"/>
  <c r="Q306" i="3"/>
  <c r="R306" i="3"/>
  <c r="S306" i="3"/>
  <c r="T306" i="3"/>
  <c r="U306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E308" i="3"/>
  <c r="F308" i="3"/>
  <c r="H308" i="3"/>
  <c r="I308" i="3"/>
  <c r="K308" i="3"/>
  <c r="L308" i="3"/>
  <c r="M308" i="3"/>
  <c r="N308" i="3"/>
  <c r="O308" i="3"/>
  <c r="P308" i="3"/>
  <c r="Q308" i="3"/>
  <c r="R308" i="3"/>
  <c r="S308" i="3"/>
  <c r="T308" i="3"/>
  <c r="U308" i="3"/>
  <c r="E309" i="3"/>
  <c r="F309" i="3"/>
  <c r="H309" i="3"/>
  <c r="I309" i="3"/>
  <c r="K309" i="3"/>
  <c r="L309" i="3"/>
  <c r="M309" i="3"/>
  <c r="N309" i="3"/>
  <c r="O309" i="3"/>
  <c r="P309" i="3"/>
  <c r="Q309" i="3"/>
  <c r="R309" i="3"/>
  <c r="S309" i="3"/>
  <c r="T309" i="3"/>
  <c r="U309" i="3"/>
  <c r="E310" i="3"/>
  <c r="F310" i="3"/>
  <c r="H310" i="3"/>
  <c r="I310" i="3"/>
  <c r="K310" i="3"/>
  <c r="L310" i="3"/>
  <c r="M310" i="3"/>
  <c r="N310" i="3"/>
  <c r="O310" i="3"/>
  <c r="P310" i="3"/>
  <c r="Q310" i="3"/>
  <c r="R310" i="3"/>
  <c r="S310" i="3"/>
  <c r="T310" i="3"/>
  <c r="U310" i="3"/>
  <c r="E311" i="3"/>
  <c r="F311" i="3"/>
  <c r="H311" i="3"/>
  <c r="I311" i="3"/>
  <c r="K311" i="3"/>
  <c r="L311" i="3"/>
  <c r="M311" i="3"/>
  <c r="N311" i="3"/>
  <c r="O311" i="3"/>
  <c r="P311" i="3"/>
  <c r="Q311" i="3"/>
  <c r="R311" i="3"/>
  <c r="S311" i="3"/>
  <c r="T311" i="3"/>
  <c r="U311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E313" i="3"/>
  <c r="F313" i="3"/>
  <c r="G313" i="3"/>
  <c r="H313" i="3"/>
  <c r="I313" i="3"/>
  <c r="K313" i="3"/>
  <c r="L313" i="3"/>
  <c r="M313" i="3"/>
  <c r="N313" i="3"/>
  <c r="O313" i="3"/>
  <c r="P313" i="3"/>
  <c r="Q313" i="3"/>
  <c r="R313" i="3"/>
  <c r="S313" i="3"/>
  <c r="T313" i="3"/>
  <c r="U313" i="3"/>
  <c r="E314" i="3"/>
  <c r="F314" i="3"/>
  <c r="G314" i="3"/>
  <c r="H314" i="3"/>
  <c r="I314" i="3"/>
  <c r="I317" i="2"/>
  <c r="K314" i="3"/>
  <c r="L314" i="3"/>
  <c r="M314" i="3"/>
  <c r="N314" i="3"/>
  <c r="O314" i="3"/>
  <c r="P314" i="3"/>
  <c r="Q314" i="3"/>
  <c r="R314" i="3"/>
  <c r="S314" i="3"/>
  <c r="T314" i="3"/>
  <c r="U314" i="3"/>
  <c r="E315" i="3"/>
  <c r="F315" i="3"/>
  <c r="G315" i="3"/>
  <c r="H315" i="3"/>
  <c r="I315" i="3"/>
  <c r="K315" i="3"/>
  <c r="L315" i="3"/>
  <c r="M315" i="3"/>
  <c r="N315" i="3"/>
  <c r="O315" i="3"/>
  <c r="P315" i="3"/>
  <c r="Q315" i="3"/>
  <c r="R315" i="3"/>
  <c r="S315" i="3"/>
  <c r="T315" i="3"/>
  <c r="U315" i="3"/>
  <c r="E316" i="3"/>
  <c r="F316" i="3"/>
  <c r="G316" i="3"/>
  <c r="H316" i="3"/>
  <c r="I316" i="3"/>
  <c r="K316" i="3"/>
  <c r="L316" i="3"/>
  <c r="M316" i="3"/>
  <c r="N316" i="3"/>
  <c r="O316" i="3"/>
  <c r="P316" i="3"/>
  <c r="Q316" i="3"/>
  <c r="R316" i="3"/>
  <c r="S316" i="3"/>
  <c r="T316" i="3"/>
  <c r="U316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E318" i="3"/>
  <c r="F318" i="3"/>
  <c r="F321" i="2"/>
  <c r="H318" i="3"/>
  <c r="I318" i="3"/>
  <c r="I321" i="2"/>
  <c r="K318" i="3"/>
  <c r="L318" i="3"/>
  <c r="M318" i="3"/>
  <c r="N318" i="3"/>
  <c r="O318" i="3"/>
  <c r="P318" i="3"/>
  <c r="Q318" i="3"/>
  <c r="R318" i="3"/>
  <c r="S318" i="3"/>
  <c r="T318" i="3"/>
  <c r="U318" i="3"/>
  <c r="E319" i="3"/>
  <c r="F319" i="3"/>
  <c r="F322" i="2"/>
  <c r="H319" i="3"/>
  <c r="I319" i="3"/>
  <c r="K319" i="3"/>
  <c r="L319" i="3"/>
  <c r="M319" i="3"/>
  <c r="N319" i="3"/>
  <c r="O319" i="3"/>
  <c r="P319" i="3"/>
  <c r="Q319" i="3"/>
  <c r="R319" i="3"/>
  <c r="S319" i="3"/>
  <c r="T319" i="3"/>
  <c r="U319" i="3"/>
  <c r="E320" i="3"/>
  <c r="F320" i="3"/>
  <c r="F323" i="2"/>
  <c r="H320" i="3"/>
  <c r="I320" i="3"/>
  <c r="I323" i="2"/>
  <c r="K320" i="3"/>
  <c r="L320" i="3"/>
  <c r="M320" i="3"/>
  <c r="N320" i="3"/>
  <c r="O320" i="3"/>
  <c r="P320" i="3"/>
  <c r="Q320" i="3"/>
  <c r="R320" i="3"/>
  <c r="S320" i="3"/>
  <c r="T320" i="3"/>
  <c r="U320" i="3"/>
  <c r="E321" i="3"/>
  <c r="F321" i="3"/>
  <c r="F324" i="2"/>
  <c r="H321" i="3"/>
  <c r="I321" i="3"/>
  <c r="K321" i="3"/>
  <c r="L321" i="3"/>
  <c r="M321" i="3"/>
  <c r="N321" i="3"/>
  <c r="O321" i="3"/>
  <c r="P321" i="3"/>
  <c r="Q321" i="3"/>
  <c r="R321" i="3"/>
  <c r="S321" i="3"/>
  <c r="T321" i="3"/>
  <c r="U321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E323" i="3"/>
  <c r="F323" i="3"/>
  <c r="F326" i="2"/>
  <c r="H323" i="3"/>
  <c r="I323" i="3"/>
  <c r="I326" i="2"/>
  <c r="K323" i="3"/>
  <c r="L323" i="3"/>
  <c r="M323" i="3"/>
  <c r="N323" i="3"/>
  <c r="O323" i="3"/>
  <c r="P323" i="3"/>
  <c r="Q323" i="3"/>
  <c r="R323" i="3"/>
  <c r="S323" i="3"/>
  <c r="T323" i="3"/>
  <c r="U323" i="3"/>
  <c r="E324" i="3"/>
  <c r="F324" i="3"/>
  <c r="H324" i="3"/>
  <c r="I324" i="3"/>
  <c r="K324" i="3"/>
  <c r="L324" i="3"/>
  <c r="M324" i="3"/>
  <c r="N324" i="3"/>
  <c r="O324" i="3"/>
  <c r="P324" i="3"/>
  <c r="Q324" i="3"/>
  <c r="R324" i="3"/>
  <c r="S324" i="3"/>
  <c r="T324" i="3"/>
  <c r="U324" i="3"/>
  <c r="E325" i="3"/>
  <c r="F325" i="3"/>
  <c r="F328" i="2"/>
  <c r="H325" i="3"/>
  <c r="I325" i="3"/>
  <c r="I328" i="2"/>
  <c r="K325" i="3"/>
  <c r="L325" i="3"/>
  <c r="M325" i="3"/>
  <c r="N325" i="3"/>
  <c r="O325" i="3"/>
  <c r="P325" i="3"/>
  <c r="Q325" i="3"/>
  <c r="R325" i="3"/>
  <c r="S325" i="3"/>
  <c r="T325" i="3"/>
  <c r="U325" i="3"/>
  <c r="E326" i="3"/>
  <c r="F326" i="3"/>
  <c r="F329" i="2"/>
  <c r="H326" i="3"/>
  <c r="I326" i="3"/>
  <c r="I329" i="2"/>
  <c r="K326" i="3"/>
  <c r="L326" i="3"/>
  <c r="M326" i="3"/>
  <c r="N326" i="3"/>
  <c r="O326" i="3"/>
  <c r="P326" i="3"/>
  <c r="Q326" i="3"/>
  <c r="R326" i="3"/>
  <c r="S326" i="3"/>
  <c r="T326" i="3"/>
  <c r="U326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E328" i="3"/>
  <c r="G328" i="3"/>
  <c r="H328" i="3"/>
  <c r="I328" i="3"/>
  <c r="K328" i="3"/>
  <c r="L328" i="3"/>
  <c r="M328" i="3"/>
  <c r="N328" i="3"/>
  <c r="O328" i="3"/>
  <c r="P328" i="3"/>
  <c r="Q328" i="3"/>
  <c r="R328" i="3"/>
  <c r="S328" i="3"/>
  <c r="T328" i="3"/>
  <c r="U328" i="3"/>
  <c r="E329" i="3"/>
  <c r="J329" i="3"/>
  <c r="I332" i="2" s="1"/>
  <c r="G329" i="3"/>
  <c r="H329" i="3"/>
  <c r="I329" i="3"/>
  <c r="K329" i="3"/>
  <c r="L329" i="3"/>
  <c r="M329" i="3"/>
  <c r="N329" i="3"/>
  <c r="O329" i="3"/>
  <c r="P329" i="3"/>
  <c r="Q329" i="3"/>
  <c r="R329" i="3"/>
  <c r="S329" i="3"/>
  <c r="T329" i="3"/>
  <c r="U329" i="3"/>
  <c r="G76" i="11"/>
  <c r="G75" i="11"/>
  <c r="G74" i="11"/>
  <c r="G73" i="11"/>
  <c r="C37" i="10"/>
  <c r="C36" i="10"/>
  <c r="C18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7" i="10"/>
  <c r="C16" i="10"/>
  <c r="C15" i="10"/>
  <c r="C14" i="10"/>
  <c r="C13" i="10"/>
  <c r="C12" i="10"/>
  <c r="C11" i="10"/>
  <c r="C10" i="10"/>
  <c r="C9" i="10"/>
  <c r="C8" i="10"/>
  <c r="C7" i="10"/>
  <c r="C6" i="10"/>
  <c r="A6" i="12"/>
  <c r="B10" i="4"/>
  <c r="B45" i="21"/>
  <c r="B47" i="21"/>
  <c r="G43" i="11"/>
  <c r="G44" i="11"/>
  <c r="G45" i="11"/>
  <c r="C41" i="21"/>
  <c r="D41" i="21"/>
  <c r="E41" i="21"/>
  <c r="J41" i="21"/>
  <c r="K41" i="21"/>
  <c r="C42" i="21"/>
  <c r="D42" i="21" s="1"/>
  <c r="E42" i="21"/>
  <c r="J42" i="21"/>
  <c r="K42" i="21"/>
  <c r="J40" i="21"/>
  <c r="K40" i="21"/>
  <c r="E40" i="21"/>
  <c r="C40" i="21"/>
  <c r="D40" i="21"/>
  <c r="E34" i="11"/>
  <c r="E32" i="11"/>
  <c r="G32" i="11" s="1"/>
  <c r="E30" i="11"/>
  <c r="G30" i="11" s="1"/>
  <c r="A28" i="21"/>
  <c r="B28" i="21"/>
  <c r="D28" i="21"/>
  <c r="C29" i="20"/>
  <c r="D29" i="20"/>
  <c r="A28" i="20"/>
  <c r="B28" i="20"/>
  <c r="A39" i="16"/>
  <c r="B39" i="16"/>
  <c r="Z244" i="2"/>
  <c r="Y244" i="2"/>
  <c r="T244" i="2"/>
  <c r="S244" i="2"/>
  <c r="Q244" i="2"/>
  <c r="P244" i="2"/>
  <c r="O244" i="2"/>
  <c r="N244" i="2"/>
  <c r="M244" i="2"/>
  <c r="L244" i="2"/>
  <c r="K244" i="2"/>
  <c r="I244" i="2"/>
  <c r="H244" i="2"/>
  <c r="G244" i="2"/>
  <c r="F244" i="2"/>
  <c r="E244" i="2"/>
  <c r="D244" i="2"/>
  <c r="C244" i="2"/>
  <c r="A244" i="2"/>
  <c r="Z243" i="2"/>
  <c r="T243" i="2"/>
  <c r="S243" i="2"/>
  <c r="P243" i="2"/>
  <c r="L243" i="2"/>
  <c r="K243" i="2"/>
  <c r="H243" i="2"/>
  <c r="D243" i="2"/>
  <c r="C243" i="2"/>
  <c r="S242" i="2"/>
  <c r="K242" i="2"/>
  <c r="C242" i="2"/>
  <c r="Z241" i="2"/>
  <c r="T241" i="2"/>
  <c r="S241" i="2"/>
  <c r="Q241" i="2"/>
  <c r="P241" i="2"/>
  <c r="L241" i="2"/>
  <c r="K241" i="2"/>
  <c r="I241" i="2"/>
  <c r="H241" i="2"/>
  <c r="D241" i="2"/>
  <c r="C241" i="2"/>
  <c r="A241" i="2"/>
  <c r="Z240" i="2"/>
  <c r="T240" i="2"/>
  <c r="S240" i="2"/>
  <c r="Q240" i="2"/>
  <c r="P240" i="2"/>
  <c r="L240" i="2"/>
  <c r="K240" i="2"/>
  <c r="I240" i="2"/>
  <c r="H240" i="2"/>
  <c r="D240" i="2"/>
  <c r="C240" i="2"/>
  <c r="A240" i="2"/>
  <c r="Z239" i="2"/>
  <c r="T239" i="2"/>
  <c r="S239" i="2"/>
  <c r="Q239" i="2"/>
  <c r="P239" i="2"/>
  <c r="L239" i="2"/>
  <c r="K239" i="2"/>
  <c r="I239" i="2"/>
  <c r="H239" i="2"/>
  <c r="D239" i="2"/>
  <c r="C239" i="2"/>
  <c r="A239" i="2"/>
  <c r="S238" i="2"/>
  <c r="K238" i="2"/>
  <c r="C238" i="2"/>
  <c r="S237" i="2"/>
  <c r="Z236" i="2"/>
  <c r="Y236" i="2"/>
  <c r="T236" i="2"/>
  <c r="S236" i="2"/>
  <c r="Q236" i="2"/>
  <c r="P236" i="2"/>
  <c r="O236" i="2"/>
  <c r="N236" i="2"/>
  <c r="M236" i="2"/>
  <c r="L236" i="2"/>
  <c r="K236" i="2"/>
  <c r="I236" i="2"/>
  <c r="H236" i="2"/>
  <c r="G236" i="2"/>
  <c r="F236" i="2"/>
  <c r="E236" i="2"/>
  <c r="D236" i="2"/>
  <c r="C236" i="2"/>
  <c r="A236" i="2"/>
  <c r="Z235" i="2"/>
  <c r="T235" i="2"/>
  <c r="S235" i="2"/>
  <c r="P235" i="2"/>
  <c r="L235" i="2"/>
  <c r="K235" i="2"/>
  <c r="H235" i="2"/>
  <c r="D235" i="2"/>
  <c r="C235" i="2"/>
  <c r="G3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2" i="11"/>
  <c r="G41" i="11"/>
  <c r="G40" i="11"/>
  <c r="G39" i="11"/>
  <c r="G38" i="11"/>
  <c r="G37" i="11"/>
  <c r="G35" i="11"/>
  <c r="G34" i="11"/>
  <c r="V241" i="3"/>
  <c r="U244" i="2"/>
  <c r="V240" i="3"/>
  <c r="V239" i="3"/>
  <c r="V238" i="3"/>
  <c r="V237" i="3"/>
  <c r="V236" i="3"/>
  <c r="V235" i="3"/>
  <c r="V234" i="3"/>
  <c r="V233" i="3"/>
  <c r="U236" i="2"/>
  <c r="V232" i="3"/>
  <c r="A241" i="3"/>
  <c r="R244" i="2"/>
  <c r="A240" i="3"/>
  <c r="R243" i="2"/>
  <c r="A239" i="3"/>
  <c r="R242" i="2"/>
  <c r="A238" i="3"/>
  <c r="R241" i="2"/>
  <c r="A237" i="3"/>
  <c r="R240" i="2"/>
  <c r="A236" i="3"/>
  <c r="R239" i="2"/>
  <c r="A235" i="3"/>
  <c r="R238" i="2"/>
  <c r="A234" i="3"/>
  <c r="R237" i="2"/>
  <c r="A233" i="3"/>
  <c r="R236" i="2"/>
  <c r="A232" i="3"/>
  <c r="R235" i="2"/>
  <c r="J7" i="13"/>
  <c r="AG7" i="13" s="1"/>
  <c r="J8" i="13"/>
  <c r="AG8" i="13" s="1"/>
  <c r="J9" i="13"/>
  <c r="AG9" i="13" s="1"/>
  <c r="J10" i="13"/>
  <c r="AG10" i="13" s="1"/>
  <c r="J11" i="13"/>
  <c r="AG11" i="13" s="1"/>
  <c r="J12" i="13"/>
  <c r="AG12" i="13" s="1"/>
  <c r="J13" i="13"/>
  <c r="AG13" i="13" s="1"/>
  <c r="J14" i="13"/>
  <c r="AG14" i="13" s="1"/>
  <c r="J15" i="13"/>
  <c r="AG15" i="13"/>
  <c r="J16" i="13"/>
  <c r="AG16" i="13" s="1"/>
  <c r="J17" i="13"/>
  <c r="AG17" i="13" s="1"/>
  <c r="J18" i="13"/>
  <c r="AG18" i="13" s="1"/>
  <c r="J19" i="13"/>
  <c r="AG19" i="13" s="1"/>
  <c r="J20" i="13"/>
  <c r="AG20" i="13" s="1"/>
  <c r="J21" i="13"/>
  <c r="AG21" i="13" s="1"/>
  <c r="J22" i="13"/>
  <c r="AG22" i="13" s="1"/>
  <c r="J23" i="13"/>
  <c r="AG23" i="13" s="1"/>
  <c r="J24" i="13"/>
  <c r="AG24" i="13" s="1"/>
  <c r="J25" i="13"/>
  <c r="AG25" i="13" s="1"/>
  <c r="J26" i="13"/>
  <c r="AG26" i="13" s="1"/>
  <c r="J27" i="13"/>
  <c r="J28" i="13"/>
  <c r="J29" i="13"/>
  <c r="AG29" i="13" s="1"/>
  <c r="J30" i="13"/>
  <c r="J31" i="13"/>
  <c r="AG31" i="13" s="1"/>
  <c r="J32" i="13"/>
  <c r="AG32" i="13" s="1"/>
  <c r="J33" i="13"/>
  <c r="AG33" i="13" s="1"/>
  <c r="J34" i="13"/>
  <c r="AG34" i="13" s="1"/>
  <c r="J35" i="13"/>
  <c r="AG35" i="13" s="1"/>
  <c r="J36" i="13"/>
  <c r="AG36" i="13" s="1"/>
  <c r="J37" i="13"/>
  <c r="AG37" i="13" s="1"/>
  <c r="J38" i="13"/>
  <c r="J39" i="13"/>
  <c r="AG39" i="13" s="1"/>
  <c r="J40" i="13"/>
  <c r="J41" i="13"/>
  <c r="AG41" i="13" s="1"/>
  <c r="J42" i="13"/>
  <c r="AG42" i="13" s="1"/>
  <c r="J43" i="13"/>
  <c r="AG43" i="13" s="1"/>
  <c r="J44" i="13"/>
  <c r="J45" i="13"/>
  <c r="AG45" i="13" s="1"/>
  <c r="J46" i="13"/>
  <c r="AG46" i="13" s="1"/>
  <c r="J47" i="13"/>
  <c r="AG47" i="13" s="1"/>
  <c r="J48" i="13"/>
  <c r="AG48" i="13" s="1"/>
  <c r="J49" i="13"/>
  <c r="J50" i="13"/>
  <c r="AG50" i="13" s="1"/>
  <c r="J51" i="13"/>
  <c r="J52" i="13"/>
  <c r="AG52" i="13" s="1"/>
  <c r="J53" i="13"/>
  <c r="AG53" i="13" s="1"/>
  <c r="J54" i="13"/>
  <c r="J55" i="13"/>
  <c r="AG55" i="13" s="1"/>
  <c r="J56" i="13"/>
  <c r="AG56" i="13" s="1"/>
  <c r="J57" i="13"/>
  <c r="AG57" i="13" s="1"/>
  <c r="J58" i="13"/>
  <c r="AG58" i="13" s="1"/>
  <c r="J59" i="13"/>
  <c r="J60" i="13"/>
  <c r="J61" i="13"/>
  <c r="AG61" i="13" s="1"/>
  <c r="J62" i="13"/>
  <c r="AG62" i="13" s="1"/>
  <c r="J63" i="13"/>
  <c r="AG63" i="13" s="1"/>
  <c r="J64" i="13"/>
  <c r="AG64" i="13" s="1"/>
  <c r="J65" i="13"/>
  <c r="AG65" i="13" s="1"/>
  <c r="J66" i="13"/>
  <c r="AG66" i="13" s="1"/>
  <c r="J67" i="13"/>
  <c r="AG67" i="13" s="1"/>
  <c r="J68" i="13"/>
  <c r="AG68" i="13" s="1"/>
  <c r="J69" i="13"/>
  <c r="AG69" i="13" s="1"/>
  <c r="J70" i="13"/>
  <c r="AG70" i="13" s="1"/>
  <c r="J71" i="13"/>
  <c r="AG71" i="13" s="1"/>
  <c r="J72" i="13"/>
  <c r="AG72" i="13" s="1"/>
  <c r="J73" i="13"/>
  <c r="AG73" i="13" s="1"/>
  <c r="J74" i="13"/>
  <c r="J75" i="13"/>
  <c r="AG75" i="13" s="1"/>
  <c r="J76" i="13"/>
  <c r="J77" i="13"/>
  <c r="J78" i="13"/>
  <c r="J79" i="13"/>
  <c r="J80" i="13"/>
  <c r="J81" i="13"/>
  <c r="AG81" i="13" s="1"/>
  <c r="J82" i="13"/>
  <c r="AG82" i="13" s="1"/>
  <c r="J83" i="13"/>
  <c r="J84" i="13"/>
  <c r="AG84" i="13" s="1"/>
  <c r="J85" i="13"/>
  <c r="AG85" i="13" s="1"/>
  <c r="J86" i="13"/>
  <c r="AG86" i="13" s="1"/>
  <c r="J87" i="13"/>
  <c r="AG87" i="13" s="1"/>
  <c r="J88" i="13"/>
  <c r="J89" i="13"/>
  <c r="AG89" i="13" s="1"/>
  <c r="J90" i="13"/>
  <c r="AG90" i="13" s="1"/>
  <c r="J91" i="13"/>
  <c r="AG91" i="13" s="1"/>
  <c r="J92" i="13"/>
  <c r="AG92" i="13" s="1"/>
  <c r="J93" i="13"/>
  <c r="AG93" i="13" s="1"/>
  <c r="J94" i="13"/>
  <c r="J95" i="13"/>
  <c r="J96" i="13"/>
  <c r="J97" i="13"/>
  <c r="J98" i="13"/>
  <c r="AG98" i="13" s="1"/>
  <c r="J99" i="13"/>
  <c r="AG99" i="13" s="1"/>
  <c r="J100" i="13"/>
  <c r="AG100" i="13" s="1"/>
  <c r="J101" i="13"/>
  <c r="J102" i="13"/>
  <c r="J103" i="13"/>
  <c r="AG103" i="13" s="1"/>
  <c r="J104" i="13"/>
  <c r="J105" i="13"/>
  <c r="AG105" i="13" s="1"/>
  <c r="J106" i="13"/>
  <c r="J107" i="13"/>
  <c r="J108" i="13"/>
  <c r="J109" i="13"/>
  <c r="AG109" i="13" s="1"/>
  <c r="J110" i="13"/>
  <c r="AG110" i="13" s="1"/>
  <c r="J111" i="13"/>
  <c r="AG111" i="13" s="1"/>
  <c r="J112" i="13"/>
  <c r="J113" i="13"/>
  <c r="J114" i="13"/>
  <c r="J115" i="13"/>
  <c r="J116" i="13"/>
  <c r="AG116" i="13" s="1"/>
  <c r="J117" i="13"/>
  <c r="J118" i="13"/>
  <c r="J119" i="13"/>
  <c r="J120" i="13"/>
  <c r="AG120" i="13" s="1"/>
  <c r="J121" i="13"/>
  <c r="AG121" i="13" s="1"/>
  <c r="J122" i="13"/>
  <c r="J123" i="13"/>
  <c r="J124" i="13"/>
  <c r="J125" i="13"/>
  <c r="AG125" i="13" s="1"/>
  <c r="J126" i="13"/>
  <c r="J127" i="13"/>
  <c r="AG127" i="13" s="1"/>
  <c r="J128" i="13"/>
  <c r="AG128" i="13" s="1"/>
  <c r="J129" i="13"/>
  <c r="AG129" i="13" s="1"/>
  <c r="J130" i="13"/>
  <c r="AG130" i="13" s="1"/>
  <c r="J131" i="13"/>
  <c r="AG131" i="13" s="1"/>
  <c r="J132" i="13"/>
  <c r="AG132" i="13" s="1"/>
  <c r="J133" i="13"/>
  <c r="AG133" i="13" s="1"/>
  <c r="J134" i="13"/>
  <c r="AG134" i="13" s="1"/>
  <c r="J135" i="13"/>
  <c r="AG135" i="13" s="1"/>
  <c r="J136" i="13"/>
  <c r="AG136" i="13" s="1"/>
  <c r="J137" i="13"/>
  <c r="J138" i="13"/>
  <c r="J139" i="13"/>
  <c r="J140" i="13"/>
  <c r="J141" i="13"/>
  <c r="AG141" i="13" s="1"/>
  <c r="J142" i="13"/>
  <c r="AG142" i="13" s="1"/>
  <c r="J143" i="13"/>
  <c r="J144" i="13"/>
  <c r="J145" i="13"/>
  <c r="J146" i="13"/>
  <c r="J147" i="13"/>
  <c r="AG147" i="13" s="1"/>
  <c r="J148" i="13"/>
  <c r="AG148" i="13" s="1"/>
  <c r="J149" i="13"/>
  <c r="J150" i="13"/>
  <c r="AG150" i="13" s="1"/>
  <c r="J151" i="13"/>
  <c r="AG151" i="13" s="1"/>
  <c r="J152" i="13"/>
  <c r="AG152" i="13" s="1"/>
  <c r="J153" i="13"/>
  <c r="AG153" i="13" s="1"/>
  <c r="J154" i="13"/>
  <c r="J155" i="13"/>
  <c r="AG155" i="13" s="1"/>
  <c r="J156" i="13"/>
  <c r="AG156" i="13" s="1"/>
  <c r="J157" i="13"/>
  <c r="AG157" i="13" s="1"/>
  <c r="J158" i="13"/>
  <c r="J159" i="13"/>
  <c r="J160" i="13"/>
  <c r="AG160" i="13" s="1"/>
  <c r="J161" i="13"/>
  <c r="AG161" i="13" s="1"/>
  <c r="J162" i="13"/>
  <c r="J163" i="13"/>
  <c r="AG163" i="13" s="1"/>
  <c r="J164" i="13"/>
  <c r="AG164" i="13" s="1"/>
  <c r="J165" i="13"/>
  <c r="AG165" i="13" s="1"/>
  <c r="J166" i="13"/>
  <c r="J167" i="13"/>
  <c r="J168" i="13"/>
  <c r="J169" i="13"/>
  <c r="J170" i="13"/>
  <c r="J171" i="13"/>
  <c r="AG171" i="13" s="1"/>
  <c r="J172" i="13"/>
  <c r="J173" i="13"/>
  <c r="J174" i="13"/>
  <c r="J175" i="13"/>
  <c r="AG175" i="13" s="1"/>
  <c r="J176" i="13"/>
  <c r="AG176" i="13" s="1"/>
  <c r="J177" i="13"/>
  <c r="J178" i="13"/>
  <c r="AG178" i="13" s="1"/>
  <c r="J179" i="13"/>
  <c r="AG179" i="13" s="1"/>
  <c r="J180" i="13"/>
  <c r="AG180" i="13" s="1"/>
  <c r="J181" i="13"/>
  <c r="J182" i="13"/>
  <c r="J183" i="13"/>
  <c r="AG183" i="13" s="1"/>
  <c r="J184" i="13"/>
  <c r="AG184" i="13" s="1"/>
  <c r="J185" i="13"/>
  <c r="AG185" i="13" s="1"/>
  <c r="J186" i="13"/>
  <c r="AG186" i="13" s="1"/>
  <c r="J187" i="13"/>
  <c r="J188" i="13"/>
  <c r="AG188" i="13" s="1"/>
  <c r="J189" i="13"/>
  <c r="J190" i="13"/>
  <c r="J191" i="13"/>
  <c r="AG191" i="13" s="1"/>
  <c r="J192" i="13"/>
  <c r="AG192" i="13" s="1"/>
  <c r="J193" i="13"/>
  <c r="AG193" i="13" s="1"/>
  <c r="J194" i="13"/>
  <c r="J195" i="13"/>
  <c r="J196" i="13"/>
  <c r="AG196" i="13" s="1"/>
  <c r="J197" i="13"/>
  <c r="AG197" i="13" s="1"/>
  <c r="J198" i="13"/>
  <c r="AG198" i="13" s="1"/>
  <c r="J199" i="13"/>
  <c r="J200" i="13"/>
  <c r="J201" i="13"/>
  <c r="J202" i="13"/>
  <c r="J203" i="13"/>
  <c r="AG203" i="13" s="1"/>
  <c r="J204" i="13"/>
  <c r="J205" i="13"/>
  <c r="J206" i="13"/>
  <c r="J207" i="13"/>
  <c r="J208" i="13"/>
  <c r="J209" i="13"/>
  <c r="AG209" i="13" s="1"/>
  <c r="J210" i="13"/>
  <c r="AG210" i="13" s="1"/>
  <c r="J211" i="13"/>
  <c r="AG211" i="13" s="1"/>
  <c r="J212" i="13"/>
  <c r="AG212" i="13" s="1"/>
  <c r="J213" i="13"/>
  <c r="AG213" i="13" s="1"/>
  <c r="J214" i="13"/>
  <c r="J215" i="13"/>
  <c r="J216" i="13"/>
  <c r="AG216" i="13" s="1"/>
  <c r="J217" i="13"/>
  <c r="AG217" i="13" s="1"/>
  <c r="J218" i="13"/>
  <c r="J219" i="13"/>
  <c r="J220" i="13"/>
  <c r="J221" i="13"/>
  <c r="J222" i="13"/>
  <c r="AG222" i="13" s="1"/>
  <c r="J223" i="13"/>
  <c r="J224" i="13"/>
  <c r="J225" i="13"/>
  <c r="J226" i="13"/>
  <c r="AG226" i="13" s="1"/>
  <c r="J227" i="13"/>
  <c r="AG227" i="13" s="1"/>
  <c r="J228" i="13"/>
  <c r="AG228" i="13" s="1"/>
  <c r="J229" i="13"/>
  <c r="J230" i="13"/>
  <c r="AG230" i="13" s="1"/>
  <c r="J231" i="13"/>
  <c r="AG231" i="13" s="1"/>
  <c r="J232" i="13"/>
  <c r="AG232" i="13" s="1"/>
  <c r="J233" i="13"/>
  <c r="AG233" i="13" s="1"/>
  <c r="J234" i="13"/>
  <c r="AG234" i="13" s="1"/>
  <c r="J235" i="13"/>
  <c r="AG235" i="13" s="1"/>
  <c r="J236" i="13"/>
  <c r="J237" i="13"/>
  <c r="AG237" i="13" s="1"/>
  <c r="J238" i="13"/>
  <c r="J239" i="13"/>
  <c r="J240" i="13"/>
  <c r="AG240" i="13" s="1"/>
  <c r="J241" i="13"/>
  <c r="J242" i="13"/>
  <c r="J243" i="13"/>
  <c r="J244" i="13"/>
  <c r="AG244" i="13" s="1"/>
  <c r="J245" i="13"/>
  <c r="J246" i="13"/>
  <c r="J247" i="13"/>
  <c r="J248" i="13"/>
  <c r="AG248" i="13" s="1"/>
  <c r="J249" i="13"/>
  <c r="J250" i="13"/>
  <c r="AG250" i="13" s="1"/>
  <c r="J251" i="13"/>
  <c r="AG251" i="13" s="1"/>
  <c r="J252" i="13"/>
  <c r="J253" i="13"/>
  <c r="AG253" i="13" s="1"/>
  <c r="J254" i="13"/>
  <c r="AG254" i="13" s="1"/>
  <c r="J255" i="13"/>
  <c r="AG255" i="13" s="1"/>
  <c r="J256" i="13"/>
  <c r="J257" i="13"/>
  <c r="J258" i="13"/>
  <c r="J259" i="13"/>
  <c r="AG259" i="13" s="1"/>
  <c r="J260" i="13"/>
  <c r="AG260" i="13" s="1"/>
  <c r="J261" i="13"/>
  <c r="AG261" i="13" s="1"/>
  <c r="J262" i="13"/>
  <c r="AG262" i="13" s="1"/>
  <c r="J263" i="13"/>
  <c r="J264" i="13"/>
  <c r="AG264" i="13" s="1"/>
  <c r="J265" i="13"/>
  <c r="J266" i="13"/>
  <c r="J267" i="13"/>
  <c r="AG267" i="13" s="1"/>
  <c r="J268" i="13"/>
  <c r="AG268" i="13" s="1"/>
  <c r="J269" i="13"/>
  <c r="J270" i="13"/>
  <c r="J271" i="13"/>
  <c r="AG271" i="13" s="1"/>
  <c r="J272" i="13"/>
  <c r="AG272" i="13" s="1"/>
  <c r="J273" i="13"/>
  <c r="J274" i="13"/>
  <c r="AG274" i="13" s="1"/>
  <c r="J275" i="13"/>
  <c r="AG275" i="13" s="1"/>
  <c r="J276" i="13"/>
  <c r="AG276" i="13" s="1"/>
  <c r="J277" i="13"/>
  <c r="J278" i="13"/>
  <c r="AG278" i="13" s="1"/>
  <c r="J279" i="13"/>
  <c r="J280" i="13"/>
  <c r="AG280" i="13" s="1"/>
  <c r="J281" i="13"/>
  <c r="J282" i="13"/>
  <c r="AG282" i="13" s="1"/>
  <c r="J283" i="13"/>
  <c r="J284" i="13"/>
  <c r="J285" i="13"/>
  <c r="J286" i="13"/>
  <c r="AG286" i="13" s="1"/>
  <c r="J287" i="13"/>
  <c r="J288" i="13"/>
  <c r="AG288" i="13" s="1"/>
  <c r="J289" i="13"/>
  <c r="J290" i="13"/>
  <c r="J291" i="13"/>
  <c r="AG291" i="13" s="1"/>
  <c r="J292" i="13"/>
  <c r="AG292" i="13" s="1"/>
  <c r="J293" i="13"/>
  <c r="J294" i="13"/>
  <c r="J295" i="13"/>
  <c r="J296" i="13"/>
  <c r="AG296" i="13" s="1"/>
  <c r="J297" i="13"/>
  <c r="J298" i="13"/>
  <c r="AG298" i="13" s="1"/>
  <c r="J299" i="13"/>
  <c r="AG299" i="13" s="1"/>
  <c r="J300" i="13"/>
  <c r="AG300" i="13" s="1"/>
  <c r="J301" i="13"/>
  <c r="J302" i="13"/>
  <c r="J303" i="13"/>
  <c r="J304" i="13"/>
  <c r="AG304" i="13" s="1"/>
  <c r="J305" i="13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8" i="2"/>
  <c r="T216" i="2"/>
  <c r="T224" i="2"/>
  <c r="T232" i="2"/>
  <c r="T5" i="2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1" i="3"/>
  <c r="V122" i="3"/>
  <c r="V124" i="3"/>
  <c r="V127" i="3"/>
  <c r="V128" i="3"/>
  <c r="V130" i="3"/>
  <c r="V132" i="3"/>
  <c r="V133" i="3"/>
  <c r="V134" i="3"/>
  <c r="V135" i="3"/>
  <c r="V136" i="3"/>
  <c r="V137" i="3"/>
  <c r="V139" i="3"/>
  <c r="V140" i="3"/>
  <c r="V141" i="3"/>
  <c r="V142" i="3"/>
  <c r="V144" i="3"/>
  <c r="V145" i="3"/>
  <c r="V147" i="3"/>
  <c r="V148" i="3"/>
  <c r="V150" i="3"/>
  <c r="V151" i="3"/>
  <c r="V152" i="3"/>
  <c r="V153" i="3"/>
  <c r="V154" i="3"/>
  <c r="V155" i="3"/>
  <c r="V156" i="3"/>
  <c r="V157" i="3"/>
  <c r="V160" i="3"/>
  <c r="V161" i="3"/>
  <c r="V162" i="3"/>
  <c r="V163" i="3"/>
  <c r="V165" i="3"/>
  <c r="V166" i="3"/>
  <c r="V167" i="3"/>
  <c r="V168" i="3"/>
  <c r="V169" i="3"/>
  <c r="V170" i="3"/>
  <c r="V171" i="3"/>
  <c r="V172" i="3"/>
  <c r="V174" i="3"/>
  <c r="V177" i="3"/>
  <c r="V179" i="3"/>
  <c r="V181" i="3"/>
  <c r="V182" i="3"/>
  <c r="V183" i="3"/>
  <c r="V187" i="3"/>
  <c r="V191" i="3"/>
  <c r="V192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" i="3"/>
  <c r="E34" i="21"/>
  <c r="F34" i="21"/>
  <c r="G34" i="21"/>
  <c r="H34" i="21"/>
  <c r="I34" i="21"/>
  <c r="A5" i="21"/>
  <c r="B5" i="21"/>
  <c r="A6" i="21"/>
  <c r="B6" i="21"/>
  <c r="A7" i="21"/>
  <c r="B7" i="21"/>
  <c r="A8" i="21"/>
  <c r="B8" i="21"/>
  <c r="A9" i="21"/>
  <c r="B9" i="21"/>
  <c r="A10" i="21"/>
  <c r="B10" i="21"/>
  <c r="A11" i="21"/>
  <c r="B11" i="21"/>
  <c r="A12" i="21"/>
  <c r="B12" i="21"/>
  <c r="A13" i="21"/>
  <c r="B13" i="21"/>
  <c r="A14" i="21"/>
  <c r="B14" i="21"/>
  <c r="A15" i="21"/>
  <c r="B15" i="21"/>
  <c r="A16" i="21"/>
  <c r="B16" i="21"/>
  <c r="A17" i="21"/>
  <c r="B17" i="21"/>
  <c r="A18" i="21"/>
  <c r="B18" i="21"/>
  <c r="A19" i="21"/>
  <c r="B19" i="21"/>
  <c r="A20" i="21"/>
  <c r="B20" i="21"/>
  <c r="A21" i="21"/>
  <c r="B21" i="21"/>
  <c r="A22" i="21"/>
  <c r="B22" i="21"/>
  <c r="A23" i="21"/>
  <c r="B23" i="21"/>
  <c r="A24" i="21"/>
  <c r="B24" i="21"/>
  <c r="A25" i="21"/>
  <c r="B25" i="21"/>
  <c r="A26" i="21"/>
  <c r="B26" i="21"/>
  <c r="A27" i="21"/>
  <c r="B27" i="21"/>
  <c r="H5" i="20"/>
  <c r="H6" i="20"/>
  <c r="H7" i="20"/>
  <c r="H8" i="20"/>
  <c r="H9" i="20"/>
  <c r="H10" i="20"/>
  <c r="H11" i="20"/>
  <c r="A5" i="20"/>
  <c r="B5" i="20"/>
  <c r="A6" i="20"/>
  <c r="B6" i="20"/>
  <c r="A7" i="20"/>
  <c r="B7" i="20"/>
  <c r="A8" i="20"/>
  <c r="B8" i="20"/>
  <c r="A9" i="20"/>
  <c r="B9" i="20"/>
  <c r="A10" i="20"/>
  <c r="B10" i="20"/>
  <c r="A11" i="20"/>
  <c r="B11" i="20"/>
  <c r="A12" i="20"/>
  <c r="B12" i="20"/>
  <c r="A13" i="20"/>
  <c r="B13" i="20"/>
  <c r="A14" i="20"/>
  <c r="B14" i="20"/>
  <c r="A15" i="20"/>
  <c r="B15" i="20"/>
  <c r="A16" i="20"/>
  <c r="B16" i="20"/>
  <c r="A17" i="20"/>
  <c r="B17" i="20"/>
  <c r="A18" i="20"/>
  <c r="B18" i="20"/>
  <c r="A19" i="20"/>
  <c r="B19" i="20"/>
  <c r="A20" i="20"/>
  <c r="B20" i="20"/>
  <c r="A21" i="20"/>
  <c r="B21" i="20"/>
  <c r="A22" i="20"/>
  <c r="B22" i="20"/>
  <c r="A23" i="20"/>
  <c r="B23" i="20"/>
  <c r="A24" i="20"/>
  <c r="B24" i="20"/>
  <c r="A25" i="20"/>
  <c r="B25" i="20"/>
  <c r="A26" i="20"/>
  <c r="B26" i="20"/>
  <c r="A27" i="20"/>
  <c r="B27" i="20"/>
  <c r="B30" i="18"/>
  <c r="C30" i="18"/>
  <c r="D30" i="18"/>
  <c r="E30" i="18"/>
  <c r="F30" i="18"/>
  <c r="B31" i="18"/>
  <c r="C31" i="18"/>
  <c r="D31" i="18"/>
  <c r="E31" i="18"/>
  <c r="F31" i="18"/>
  <c r="B32" i="18"/>
  <c r="C32" i="18"/>
  <c r="D32" i="18"/>
  <c r="E32" i="18"/>
  <c r="F32" i="18"/>
  <c r="B33" i="18"/>
  <c r="C33" i="18"/>
  <c r="D33" i="18"/>
  <c r="E33" i="18"/>
  <c r="F33" i="18"/>
  <c r="B34" i="18"/>
  <c r="C34" i="18"/>
  <c r="D34" i="18"/>
  <c r="E34" i="18"/>
  <c r="F34" i="18"/>
  <c r="B35" i="18"/>
  <c r="C35" i="18"/>
  <c r="D35" i="18"/>
  <c r="E35" i="18"/>
  <c r="F35" i="18"/>
  <c r="B36" i="18"/>
  <c r="C36" i="18"/>
  <c r="D36" i="18"/>
  <c r="E36" i="18"/>
  <c r="F36" i="18"/>
  <c r="E6" i="18"/>
  <c r="E7" i="18"/>
  <c r="E8" i="18"/>
  <c r="E9" i="18"/>
  <c r="E10" i="18"/>
  <c r="E11" i="18"/>
  <c r="E102" i="4"/>
  <c r="C104" i="4"/>
  <c r="C105" i="4"/>
  <c r="A38" i="16"/>
  <c r="B38" i="16"/>
  <c r="A37" i="16"/>
  <c r="B37" i="16"/>
  <c r="A36" i="16"/>
  <c r="B36" i="16"/>
  <c r="D5" i="1"/>
  <c r="U213" i="2"/>
  <c r="A231" i="3"/>
  <c r="T234" i="2"/>
  <c r="A230" i="3"/>
  <c r="T233" i="2"/>
  <c r="A229" i="3"/>
  <c r="A228" i="3"/>
  <c r="T231" i="2"/>
  <c r="A227" i="3"/>
  <c r="T230" i="2"/>
  <c r="A226" i="3"/>
  <c r="T229" i="2"/>
  <c r="A225" i="3"/>
  <c r="T228" i="2"/>
  <c r="A224" i="3"/>
  <c r="T227" i="2"/>
  <c r="A223" i="3"/>
  <c r="T226" i="2"/>
  <c r="A222" i="3"/>
  <c r="T225" i="2"/>
  <c r="A221" i="3"/>
  <c r="A220" i="3"/>
  <c r="T223" i="2"/>
  <c r="A219" i="3"/>
  <c r="T222" i="2"/>
  <c r="A218" i="3"/>
  <c r="T221" i="2"/>
  <c r="A217" i="3"/>
  <c r="T220" i="2"/>
  <c r="A216" i="3"/>
  <c r="T219" i="2"/>
  <c r="A215" i="3"/>
  <c r="T218" i="2"/>
  <c r="A214" i="3"/>
  <c r="T217" i="2"/>
  <c r="A213" i="3"/>
  <c r="A212" i="3"/>
  <c r="T215" i="2"/>
  <c r="A211" i="3"/>
  <c r="T214" i="2"/>
  <c r="A210" i="3"/>
  <c r="T213" i="2"/>
  <c r="A209" i="3"/>
  <c r="T212" i="2"/>
  <c r="A208" i="3"/>
  <c r="T211" i="2"/>
  <c r="A207" i="3"/>
  <c r="T210" i="2"/>
  <c r="A206" i="3"/>
  <c r="T209" i="2"/>
  <c r="A205" i="3"/>
  <c r="A204" i="3"/>
  <c r="T207" i="2"/>
  <c r="A203" i="3"/>
  <c r="T206" i="2"/>
  <c r="A202" i="3"/>
  <c r="T205" i="2"/>
  <c r="AF92" i="13"/>
  <c r="AF178" i="13"/>
  <c r="A44" i="16"/>
  <c r="B44" i="16" s="1"/>
  <c r="A45" i="16"/>
  <c r="D45" i="16" s="1"/>
  <c r="A46" i="16"/>
  <c r="B46" i="16" s="1"/>
  <c r="A47" i="16"/>
  <c r="B47" i="16" s="1"/>
  <c r="A48" i="16"/>
  <c r="C48" i="16" s="1"/>
  <c r="A49" i="16"/>
  <c r="B49" i="16" s="1"/>
  <c r="A50" i="16"/>
  <c r="A40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A27" i="16"/>
  <c r="B27" i="16"/>
  <c r="A28" i="16"/>
  <c r="B28" i="16"/>
  <c r="A29" i="16"/>
  <c r="B29" i="16"/>
  <c r="A30" i="16"/>
  <c r="B30" i="16"/>
  <c r="A31" i="16"/>
  <c r="B31" i="16"/>
  <c r="A32" i="16"/>
  <c r="B32" i="16"/>
  <c r="A33" i="16"/>
  <c r="B33" i="16"/>
  <c r="A34" i="16"/>
  <c r="B34" i="16"/>
  <c r="A35" i="16"/>
  <c r="B35" i="16"/>
  <c r="F12" i="16"/>
  <c r="D4" i="16"/>
  <c r="B4" i="16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V8" i="13"/>
  <c r="R15" i="13"/>
  <c r="R16" i="13"/>
  <c r="R50" i="13"/>
  <c r="Q24" i="13"/>
  <c r="Q55" i="13"/>
  <c r="Q70" i="13"/>
  <c r="Q71" i="13"/>
  <c r="P35" i="13"/>
  <c r="P36" i="13"/>
  <c r="O7" i="13"/>
  <c r="O15" i="13"/>
  <c r="O16" i="13"/>
  <c r="O26" i="13"/>
  <c r="O40" i="13"/>
  <c r="O42" i="13"/>
  <c r="O70" i="13"/>
  <c r="O71" i="13"/>
  <c r="O80" i="13"/>
  <c r="O105" i="13"/>
  <c r="N11" i="13"/>
  <c r="N23" i="13"/>
  <c r="M12" i="13"/>
  <c r="L11" i="13"/>
  <c r="L12" i="13"/>
  <c r="L18" i="13"/>
  <c r="L33" i="13"/>
  <c r="L34" i="13"/>
  <c r="L44" i="13"/>
  <c r="L59" i="13"/>
  <c r="L60" i="13"/>
  <c r="L82" i="13"/>
  <c r="L91" i="13"/>
  <c r="K8" i="13"/>
  <c r="K16" i="13"/>
  <c r="K24" i="13"/>
  <c r="K25" i="13"/>
  <c r="K30" i="13"/>
  <c r="K32" i="13"/>
  <c r="K40" i="13"/>
  <c r="K48" i="13"/>
  <c r="K56" i="13"/>
  <c r="K57" i="13"/>
  <c r="K62" i="13"/>
  <c r="K64" i="13"/>
  <c r="K72" i="13"/>
  <c r="K80" i="13"/>
  <c r="K88" i="13"/>
  <c r="K89" i="13"/>
  <c r="K94" i="13"/>
  <c r="K96" i="13"/>
  <c r="K104" i="13"/>
  <c r="K120" i="13"/>
  <c r="K121" i="13"/>
  <c r="K126" i="13"/>
  <c r="K128" i="13"/>
  <c r="K136" i="13"/>
  <c r="K152" i="13"/>
  <c r="K153" i="13"/>
  <c r="K158" i="13"/>
  <c r="K168" i="13"/>
  <c r="K184" i="13"/>
  <c r="K185" i="13"/>
  <c r="K190" i="13"/>
  <c r="J6" i="13"/>
  <c r="AF12" i="13"/>
  <c r="S14" i="13"/>
  <c r="M15" i="13"/>
  <c r="U27" i="13"/>
  <c r="AF28" i="13"/>
  <c r="AF29" i="13"/>
  <c r="P33" i="13"/>
  <c r="AF35" i="13"/>
  <c r="N38" i="13"/>
  <c r="L40" i="13"/>
  <c r="L43" i="13"/>
  <c r="K46" i="13"/>
  <c r="L50" i="13"/>
  <c r="AF51" i="13"/>
  <c r="S54" i="13"/>
  <c r="O55" i="13"/>
  <c r="AF59" i="13"/>
  <c r="R60" i="13"/>
  <c r="M62" i="13"/>
  <c r="L65" i="13"/>
  <c r="L66" i="13"/>
  <c r="AF67" i="13"/>
  <c r="N71" i="13"/>
  <c r="L72" i="13"/>
  <c r="AF73" i="13"/>
  <c r="AF75" i="13"/>
  <c r="AF77" i="13"/>
  <c r="K78" i="13"/>
  <c r="Q81" i="13"/>
  <c r="AF82" i="13"/>
  <c r="M86" i="13"/>
  <c r="N89" i="13"/>
  <c r="AF91" i="13"/>
  <c r="U92" i="13"/>
  <c r="O94" i="13"/>
  <c r="P98" i="13"/>
  <c r="AF99" i="13"/>
  <c r="M102" i="13"/>
  <c r="Z105" i="13"/>
  <c r="K110" i="13"/>
  <c r="AF114" i="13"/>
  <c r="O121" i="13"/>
  <c r="L123" i="13"/>
  <c r="M126" i="13"/>
  <c r="O130" i="13"/>
  <c r="AF131" i="13"/>
  <c r="R135" i="13"/>
  <c r="Y138" i="13"/>
  <c r="S139" i="13"/>
  <c r="M142" i="13"/>
  <c r="Q143" i="13"/>
  <c r="O145" i="13"/>
  <c r="AF146" i="13"/>
  <c r="V150" i="13"/>
  <c r="K160" i="13"/>
  <c r="L161" i="13"/>
  <c r="L169" i="13"/>
  <c r="O174" i="13"/>
  <c r="P177" i="13"/>
  <c r="L178" i="13"/>
  <c r="Y182" i="13"/>
  <c r="O183" i="13"/>
  <c r="X186" i="13"/>
  <c r="M190" i="13"/>
  <c r="K192" i="13"/>
  <c r="T194" i="13"/>
  <c r="P201" i="13"/>
  <c r="N206" i="13"/>
  <c r="K209" i="13"/>
  <c r="AF214" i="13"/>
  <c r="AF215" i="13"/>
  <c r="AF219" i="13"/>
  <c r="AF220" i="13"/>
  <c r="R224" i="13"/>
  <c r="L225" i="13"/>
  <c r="O233" i="13"/>
  <c r="L235" i="13"/>
  <c r="AF239" i="13"/>
  <c r="K241" i="13"/>
  <c r="AF243" i="13"/>
  <c r="P250" i="13"/>
  <c r="AF251" i="13"/>
  <c r="AF256" i="13"/>
  <c r="L257" i="13"/>
  <c r="AF263" i="13"/>
  <c r="AF264" i="13"/>
  <c r="R267" i="13"/>
  <c r="N272" i="13"/>
  <c r="K273" i="13"/>
  <c r="U275" i="13"/>
  <c r="AF276" i="13"/>
  <c r="O282" i="13"/>
  <c r="AF283" i="13"/>
  <c r="L289" i="13"/>
  <c r="AF294" i="13"/>
  <c r="AF299" i="13"/>
  <c r="AF302" i="13"/>
  <c r="AF303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201" i="3"/>
  <c r="S204" i="2"/>
  <c r="A200" i="3"/>
  <c r="Y203" i="2"/>
  <c r="A199" i="3"/>
  <c r="S202" i="2"/>
  <c r="A198" i="3"/>
  <c r="A197" i="3"/>
  <c r="A196" i="3"/>
  <c r="A195" i="3"/>
  <c r="S198" i="2"/>
  <c r="A194" i="3"/>
  <c r="S197" i="2"/>
  <c r="A193" i="3"/>
  <c r="Q196" i="2"/>
  <c r="A192" i="3"/>
  <c r="Y195" i="2"/>
  <c r="A191" i="3"/>
  <c r="A190" i="3"/>
  <c r="A189" i="3"/>
  <c r="A188" i="3"/>
  <c r="A187" i="3"/>
  <c r="S190" i="2"/>
  <c r="A186" i="3"/>
  <c r="S189" i="2"/>
  <c r="A185" i="3"/>
  <c r="Q188" i="2"/>
  <c r="A184" i="3"/>
  <c r="Y187" i="2"/>
  <c r="A183" i="3"/>
  <c r="A182" i="3"/>
  <c r="A181" i="3"/>
  <c r="A180" i="3"/>
  <c r="A179" i="3"/>
  <c r="S182" i="2"/>
  <c r="A178" i="3"/>
  <c r="S181" i="2"/>
  <c r="A177" i="3"/>
  <c r="Q180" i="2"/>
  <c r="A176" i="3"/>
  <c r="Y179" i="2"/>
  <c r="A175" i="3"/>
  <c r="S178" i="2"/>
  <c r="A174" i="3"/>
  <c r="A173" i="3"/>
  <c r="A172" i="3"/>
  <c r="S175" i="2"/>
  <c r="A171" i="3"/>
  <c r="S174" i="2"/>
  <c r="A170" i="3"/>
  <c r="S173" i="2"/>
  <c r="A169" i="3"/>
  <c r="S172" i="2"/>
  <c r="A168" i="3"/>
  <c r="S171" i="2"/>
  <c r="A167" i="3"/>
  <c r="S170" i="2"/>
  <c r="A166" i="3"/>
  <c r="S169" i="2"/>
  <c r="A165" i="3"/>
  <c r="S168" i="2"/>
  <c r="A164" i="3"/>
  <c r="S167" i="2"/>
  <c r="A163" i="3"/>
  <c r="S166" i="2"/>
  <c r="A162" i="3"/>
  <c r="S165" i="2"/>
  <c r="C89" i="4"/>
  <c r="C88" i="4"/>
  <c r="E86" i="4"/>
  <c r="C80" i="4"/>
  <c r="C79" i="4"/>
  <c r="C78" i="4"/>
  <c r="E76" i="4"/>
  <c r="C69" i="4"/>
  <c r="C68" i="4"/>
  <c r="C67" i="4"/>
  <c r="C66" i="4"/>
  <c r="C65" i="4"/>
  <c r="E63" i="4"/>
  <c r="C57" i="4"/>
  <c r="C56" i="4"/>
  <c r="C55" i="4"/>
  <c r="E53" i="4"/>
  <c r="C47" i="4"/>
  <c r="C46" i="4"/>
  <c r="C45" i="4"/>
  <c r="C44" i="4"/>
  <c r="E42" i="4"/>
  <c r="C31" i="4"/>
  <c r="C30" i="4"/>
  <c r="C29" i="4"/>
  <c r="C27" i="4"/>
  <c r="E25" i="4"/>
  <c r="C13" i="4"/>
  <c r="C12" i="4"/>
  <c r="C10" i="4"/>
  <c r="E8" i="4"/>
  <c r="A161" i="3"/>
  <c r="A160" i="3"/>
  <c r="A159" i="3"/>
  <c r="A158" i="3"/>
  <c r="Y161" i="2"/>
  <c r="A157" i="3"/>
  <c r="U160" i="2"/>
  <c r="A156" i="3"/>
  <c r="S159" i="2"/>
  <c r="A155" i="3"/>
  <c r="S158" i="2"/>
  <c r="A154" i="3"/>
  <c r="S157" i="2"/>
  <c r="A153" i="3"/>
  <c r="A152" i="3"/>
  <c r="A151" i="3"/>
  <c r="A150" i="3"/>
  <c r="Z153" i="2"/>
  <c r="A149" i="3"/>
  <c r="H152" i="2"/>
  <c r="A148" i="3"/>
  <c r="S151" i="2"/>
  <c r="A147" i="3"/>
  <c r="S150" i="2"/>
  <c r="A146" i="3"/>
  <c r="S149" i="2"/>
  <c r="A145" i="3"/>
  <c r="A144" i="3"/>
  <c r="A143" i="3"/>
  <c r="A142" i="3"/>
  <c r="A141" i="3"/>
  <c r="P144" i="2"/>
  <c r="A140" i="3"/>
  <c r="S143" i="2"/>
  <c r="A139" i="3"/>
  <c r="S142" i="2"/>
  <c r="A138" i="3"/>
  <c r="S141" i="2"/>
  <c r="A137" i="3"/>
  <c r="A136" i="3"/>
  <c r="A135" i="3"/>
  <c r="A134" i="3"/>
  <c r="A133" i="3"/>
  <c r="U136" i="2"/>
  <c r="A132" i="3"/>
  <c r="S135" i="2"/>
  <c r="A131" i="3"/>
  <c r="S134" i="2"/>
  <c r="A130" i="3"/>
  <c r="S133" i="2"/>
  <c r="A129" i="3"/>
  <c r="A128" i="3"/>
  <c r="S131" i="2"/>
  <c r="A127" i="3"/>
  <c r="A126" i="3"/>
  <c r="A125" i="3"/>
  <c r="A128" i="2"/>
  <c r="A124" i="3"/>
  <c r="S127" i="2"/>
  <c r="A123" i="3"/>
  <c r="S126" i="2"/>
  <c r="A122" i="3"/>
  <c r="S125" i="2"/>
  <c r="A121" i="3"/>
  <c r="A120" i="3"/>
  <c r="S123" i="2"/>
  <c r="A119" i="3"/>
  <c r="A118" i="3"/>
  <c r="A117" i="3"/>
  <c r="K120" i="2"/>
  <c r="A116" i="3"/>
  <c r="S119" i="2"/>
  <c r="A115" i="3"/>
  <c r="S118" i="2"/>
  <c r="A114" i="3"/>
  <c r="S117" i="2"/>
  <c r="A113" i="3"/>
  <c r="A112" i="3"/>
  <c r="S115" i="2"/>
  <c r="A111" i="3"/>
  <c r="A110" i="3"/>
  <c r="A109" i="3"/>
  <c r="E112" i="2"/>
  <c r="A108" i="3"/>
  <c r="S111" i="2"/>
  <c r="A107" i="3"/>
  <c r="S110" i="2"/>
  <c r="A106" i="3"/>
  <c r="S109" i="2"/>
  <c r="A105" i="3"/>
  <c r="A104" i="3"/>
  <c r="S107" i="2"/>
  <c r="A103" i="3"/>
  <c r="A102" i="3"/>
  <c r="A101" i="3"/>
  <c r="O104" i="2"/>
  <c r="A100" i="3"/>
  <c r="S103" i="2"/>
  <c r="A99" i="3"/>
  <c r="A98" i="3"/>
  <c r="S101" i="2"/>
  <c r="A97" i="3"/>
  <c r="A96" i="3"/>
  <c r="S99" i="2"/>
  <c r="A95" i="3"/>
  <c r="L98" i="2"/>
  <c r="A94" i="3"/>
  <c r="Z97" i="2"/>
  <c r="A93" i="3"/>
  <c r="A92" i="3"/>
  <c r="S95" i="2"/>
  <c r="A91" i="3"/>
  <c r="A90" i="3"/>
  <c r="S93" i="2"/>
  <c r="A89" i="3"/>
  <c r="A88" i="3"/>
  <c r="S91" i="2"/>
  <c r="A87" i="3"/>
  <c r="A86" i="3"/>
  <c r="A85" i="3"/>
  <c r="N88" i="2"/>
  <c r="A84" i="3"/>
  <c r="A83" i="3"/>
  <c r="A82" i="3"/>
  <c r="S85" i="2"/>
  <c r="A81" i="3"/>
  <c r="A80" i="3"/>
  <c r="S83" i="2"/>
  <c r="A79" i="3"/>
  <c r="A78" i="3"/>
  <c r="A77" i="3"/>
  <c r="J80" i="2"/>
  <c r="A76" i="3"/>
  <c r="A75" i="3"/>
  <c r="A74" i="3"/>
  <c r="S77" i="2"/>
  <c r="A73" i="3"/>
  <c r="A72" i="3"/>
  <c r="S75" i="2"/>
  <c r="A71" i="3"/>
  <c r="A70" i="3"/>
  <c r="A69" i="3"/>
  <c r="O72" i="2"/>
  <c r="A68" i="3"/>
  <c r="A67" i="3"/>
  <c r="A66" i="3"/>
  <c r="S69" i="2"/>
  <c r="A65" i="3"/>
  <c r="A64" i="3"/>
  <c r="S67" i="2"/>
  <c r="A63" i="3"/>
  <c r="A62" i="3"/>
  <c r="U65" i="2"/>
  <c r="A61" i="3"/>
  <c r="M64" i="2"/>
  <c r="A60" i="3"/>
  <c r="S63" i="2"/>
  <c r="A59" i="3"/>
  <c r="S62" i="2"/>
  <c r="A58" i="3"/>
  <c r="S61" i="2"/>
  <c r="A57" i="3"/>
  <c r="S60" i="2"/>
  <c r="A56" i="3"/>
  <c r="S59" i="2"/>
  <c r="A55" i="3"/>
  <c r="A54" i="3"/>
  <c r="M57" i="2"/>
  <c r="A53" i="3"/>
  <c r="Q56" i="2"/>
  <c r="A52" i="3"/>
  <c r="S55" i="2"/>
  <c r="A51" i="3"/>
  <c r="S54" i="2"/>
  <c r="A50" i="3"/>
  <c r="S53" i="2"/>
  <c r="A49" i="3"/>
  <c r="S52" i="2"/>
  <c r="A48" i="3"/>
  <c r="S51" i="2"/>
  <c r="A47" i="3"/>
  <c r="A46" i="3"/>
  <c r="U49" i="2"/>
  <c r="A45" i="3"/>
  <c r="M48" i="2"/>
  <c r="A44" i="3"/>
  <c r="S47" i="2"/>
  <c r="A43" i="3"/>
  <c r="S46" i="2"/>
  <c r="A42" i="3"/>
  <c r="A41" i="3"/>
  <c r="A40" i="3"/>
  <c r="A39" i="3"/>
  <c r="S42" i="2"/>
  <c r="A38" i="3"/>
  <c r="S41" i="2"/>
  <c r="A37" i="3"/>
  <c r="A36" i="3"/>
  <c r="A35" i="3"/>
  <c r="S38" i="2"/>
  <c r="A34" i="3"/>
  <c r="A33" i="3"/>
  <c r="S36" i="2"/>
  <c r="A32" i="3"/>
  <c r="P35" i="2"/>
  <c r="A31" i="3"/>
  <c r="A30" i="3"/>
  <c r="S33" i="2"/>
  <c r="A29" i="3"/>
  <c r="S32" i="2"/>
  <c r="A28" i="3"/>
  <c r="S31" i="2"/>
  <c r="A27" i="3"/>
  <c r="A26" i="3"/>
  <c r="H29" i="2"/>
  <c r="A25" i="3"/>
  <c r="U28" i="2"/>
  <c r="A24" i="3"/>
  <c r="S27" i="2"/>
  <c r="A23" i="3"/>
  <c r="S26" i="2"/>
  <c r="A22" i="3"/>
  <c r="A21" i="3"/>
  <c r="A20" i="3"/>
  <c r="J23" i="2"/>
  <c r="A19" i="3"/>
  <c r="A18" i="3"/>
  <c r="A17" i="3"/>
  <c r="S20" i="2"/>
  <c r="A16" i="3"/>
  <c r="A15" i="3"/>
  <c r="K18" i="2"/>
  <c r="A14" i="3"/>
  <c r="A13" i="3"/>
  <c r="G16" i="2"/>
  <c r="A12" i="3"/>
  <c r="S15" i="2"/>
  <c r="U15" i="2"/>
  <c r="A11" i="3"/>
  <c r="Y14" i="2"/>
  <c r="A10" i="3"/>
  <c r="U13" i="2"/>
  <c r="A9" i="3"/>
  <c r="Y12" i="2"/>
  <c r="A8" i="3"/>
  <c r="S11" i="2"/>
  <c r="A7" i="3"/>
  <c r="A6" i="3"/>
  <c r="S9" i="2"/>
  <c r="A5" i="3"/>
  <c r="Y8" i="2"/>
  <c r="A4" i="3"/>
  <c r="U7" i="2"/>
  <c r="A3" i="3"/>
  <c r="S6" i="2"/>
  <c r="A2" i="3"/>
  <c r="S5" i="2"/>
  <c r="U164" i="2"/>
  <c r="O164" i="2"/>
  <c r="G164" i="2"/>
  <c r="Y163" i="2"/>
  <c r="U163" i="2"/>
  <c r="R163" i="2"/>
  <c r="Q163" i="2"/>
  <c r="P163" i="2"/>
  <c r="M163" i="2"/>
  <c r="L163" i="2"/>
  <c r="K163" i="2"/>
  <c r="J163" i="2"/>
  <c r="I163" i="2"/>
  <c r="H163" i="2"/>
  <c r="E163" i="2"/>
  <c r="D163" i="2"/>
  <c r="C163" i="2"/>
  <c r="B163" i="2"/>
  <c r="A163" i="2"/>
  <c r="R162" i="2"/>
  <c r="O162" i="2"/>
  <c r="M162" i="2"/>
  <c r="J162" i="2"/>
  <c r="G162" i="2"/>
  <c r="F162" i="2"/>
  <c r="E162" i="2"/>
  <c r="P161" i="2"/>
  <c r="O161" i="2"/>
  <c r="M161" i="2"/>
  <c r="L161" i="2"/>
  <c r="K161" i="2"/>
  <c r="M160" i="2"/>
  <c r="F160" i="2"/>
  <c r="B160" i="2"/>
  <c r="A160" i="2"/>
  <c r="Y159" i="2"/>
  <c r="R159" i="2"/>
  <c r="Q159" i="2"/>
  <c r="P159" i="2"/>
  <c r="O159" i="2"/>
  <c r="M159" i="2"/>
  <c r="L159" i="2"/>
  <c r="K159" i="2"/>
  <c r="I159" i="2"/>
  <c r="H159" i="2"/>
  <c r="G159" i="2"/>
  <c r="E159" i="2"/>
  <c r="D159" i="2"/>
  <c r="C159" i="2"/>
  <c r="B159" i="2"/>
  <c r="Z158" i="2"/>
  <c r="Y158" i="2"/>
  <c r="U158" i="2"/>
  <c r="R158" i="2"/>
  <c r="Q158" i="2"/>
  <c r="P158" i="2"/>
  <c r="O158" i="2"/>
  <c r="M158" i="2"/>
  <c r="L158" i="2"/>
  <c r="K158" i="2"/>
  <c r="J158" i="2"/>
  <c r="I158" i="2"/>
  <c r="H158" i="2"/>
  <c r="G158" i="2"/>
  <c r="E158" i="2"/>
  <c r="D158" i="2"/>
  <c r="C158" i="2"/>
  <c r="B158" i="2"/>
  <c r="A158" i="2"/>
  <c r="Z157" i="2"/>
  <c r="R157" i="2"/>
  <c r="P157" i="2"/>
  <c r="O157" i="2"/>
  <c r="N157" i="2"/>
  <c r="M157" i="2"/>
  <c r="L157" i="2"/>
  <c r="H157" i="2"/>
  <c r="G157" i="2"/>
  <c r="F157" i="2"/>
  <c r="E157" i="2"/>
  <c r="D157" i="2"/>
  <c r="C157" i="2"/>
  <c r="P156" i="2"/>
  <c r="E156" i="2"/>
  <c r="D156" i="2"/>
  <c r="Z155" i="2"/>
  <c r="R155" i="2"/>
  <c r="Q155" i="2"/>
  <c r="P155" i="2"/>
  <c r="O155" i="2"/>
  <c r="N155" i="2"/>
  <c r="M155" i="2"/>
  <c r="J155" i="2"/>
  <c r="I155" i="2"/>
  <c r="H155" i="2"/>
  <c r="G155" i="2"/>
  <c r="F155" i="2"/>
  <c r="E155" i="2"/>
  <c r="B155" i="2"/>
  <c r="A155" i="2"/>
  <c r="U154" i="2"/>
  <c r="N154" i="2"/>
  <c r="M154" i="2"/>
  <c r="L154" i="2"/>
  <c r="H154" i="2"/>
  <c r="G154" i="2"/>
  <c r="U153" i="2"/>
  <c r="R153" i="2"/>
  <c r="Q153" i="2"/>
  <c r="L153" i="2"/>
  <c r="E153" i="2"/>
  <c r="D153" i="2"/>
  <c r="C152" i="2"/>
  <c r="Z151" i="2"/>
  <c r="Y151" i="2"/>
  <c r="U151" i="2"/>
  <c r="R151" i="2"/>
  <c r="P151" i="2"/>
  <c r="O151" i="2"/>
  <c r="N151" i="2"/>
  <c r="M151" i="2"/>
  <c r="K151" i="2"/>
  <c r="J151" i="2"/>
  <c r="I151" i="2"/>
  <c r="G151" i="2"/>
  <c r="F151" i="2"/>
  <c r="E151" i="2"/>
  <c r="C151" i="2"/>
  <c r="B151" i="2"/>
  <c r="A151" i="2"/>
  <c r="Z150" i="2"/>
  <c r="U150" i="2"/>
  <c r="R150" i="2"/>
  <c r="Q150" i="2"/>
  <c r="P150" i="2"/>
  <c r="O150" i="2"/>
  <c r="N150" i="2"/>
  <c r="M150" i="2"/>
  <c r="K150" i="2"/>
  <c r="J150" i="2"/>
  <c r="I150" i="2"/>
  <c r="H150" i="2"/>
  <c r="G150" i="2"/>
  <c r="F150" i="2"/>
  <c r="E150" i="2"/>
  <c r="C150" i="2"/>
  <c r="B150" i="2"/>
  <c r="A150" i="2"/>
  <c r="Z149" i="2"/>
  <c r="Y149" i="2"/>
  <c r="P149" i="2"/>
  <c r="N149" i="2"/>
  <c r="M149" i="2"/>
  <c r="L149" i="2"/>
  <c r="K149" i="2"/>
  <c r="J149" i="2"/>
  <c r="G149" i="2"/>
  <c r="F149" i="2"/>
  <c r="E149" i="2"/>
  <c r="D149" i="2"/>
  <c r="C149" i="2"/>
  <c r="B149" i="2"/>
  <c r="O148" i="2"/>
  <c r="G148" i="2"/>
  <c r="F148" i="2"/>
  <c r="Z147" i="2"/>
  <c r="Y147" i="2"/>
  <c r="U147" i="2"/>
  <c r="R147" i="2"/>
  <c r="P147" i="2"/>
  <c r="O147" i="2"/>
  <c r="N147" i="2"/>
  <c r="M147" i="2"/>
  <c r="L147" i="2"/>
  <c r="K147" i="2"/>
  <c r="J147" i="2"/>
  <c r="H147" i="2"/>
  <c r="G147" i="2"/>
  <c r="F147" i="2"/>
  <c r="E147" i="2"/>
  <c r="D147" i="2"/>
  <c r="C147" i="2"/>
  <c r="B147" i="2"/>
  <c r="Q146" i="2"/>
  <c r="O146" i="2"/>
  <c r="M146" i="2"/>
  <c r="L146" i="2"/>
  <c r="K146" i="2"/>
  <c r="H146" i="2"/>
  <c r="C146" i="2"/>
  <c r="B146" i="2"/>
  <c r="A146" i="2"/>
  <c r="R145" i="2"/>
  <c r="Q145" i="2"/>
  <c r="P145" i="2"/>
  <c r="H145" i="2"/>
  <c r="G145" i="2"/>
  <c r="F145" i="2"/>
  <c r="E145" i="2"/>
  <c r="C145" i="2"/>
  <c r="Z143" i="2"/>
  <c r="Y143" i="2"/>
  <c r="U143" i="2"/>
  <c r="R143" i="2"/>
  <c r="Q143" i="2"/>
  <c r="O143" i="2"/>
  <c r="N143" i="2"/>
  <c r="M143" i="2"/>
  <c r="L143" i="2"/>
  <c r="K143" i="2"/>
  <c r="J143" i="2"/>
  <c r="I143" i="2"/>
  <c r="G143" i="2"/>
  <c r="F143" i="2"/>
  <c r="E143" i="2"/>
  <c r="D143" i="2"/>
  <c r="C143" i="2"/>
  <c r="B143" i="2"/>
  <c r="A143" i="2"/>
  <c r="Y142" i="2"/>
  <c r="U142" i="2"/>
  <c r="R142" i="2"/>
  <c r="Q142" i="2"/>
  <c r="P142" i="2"/>
  <c r="O142" i="2"/>
  <c r="N142" i="2"/>
  <c r="L142" i="2"/>
  <c r="K142" i="2"/>
  <c r="J142" i="2"/>
  <c r="I142" i="2"/>
  <c r="H142" i="2"/>
  <c r="G142" i="2"/>
  <c r="F142" i="2"/>
  <c r="D142" i="2"/>
  <c r="C142" i="2"/>
  <c r="B142" i="2"/>
  <c r="A142" i="2"/>
  <c r="Z141" i="2"/>
  <c r="Y141" i="2"/>
  <c r="Q141" i="2"/>
  <c r="P141" i="2"/>
  <c r="O141" i="2"/>
  <c r="N141" i="2"/>
  <c r="M141" i="2"/>
  <c r="L141" i="2"/>
  <c r="I141" i="2"/>
  <c r="H141" i="2"/>
  <c r="G141" i="2"/>
  <c r="F141" i="2"/>
  <c r="E141" i="2"/>
  <c r="D141" i="2"/>
  <c r="A141" i="2"/>
  <c r="K140" i="2"/>
  <c r="G140" i="2"/>
  <c r="F140" i="2"/>
  <c r="Z139" i="2"/>
  <c r="Y139" i="2"/>
  <c r="U139" i="2"/>
  <c r="R139" i="2"/>
  <c r="Q139" i="2"/>
  <c r="P139" i="2"/>
  <c r="N139" i="2"/>
  <c r="M139" i="2"/>
  <c r="L139" i="2"/>
  <c r="K139" i="2"/>
  <c r="J139" i="2"/>
  <c r="I139" i="2"/>
  <c r="H139" i="2"/>
  <c r="F139" i="2"/>
  <c r="E139" i="2"/>
  <c r="D139" i="2"/>
  <c r="C139" i="2"/>
  <c r="B139" i="2"/>
  <c r="A139" i="2"/>
  <c r="Z138" i="2"/>
  <c r="Q138" i="2"/>
  <c r="O138" i="2"/>
  <c r="N138" i="2"/>
  <c r="M138" i="2"/>
  <c r="F138" i="2"/>
  <c r="E138" i="2"/>
  <c r="C138" i="2"/>
  <c r="B138" i="2"/>
  <c r="A138" i="2"/>
  <c r="Z137" i="2"/>
  <c r="N137" i="2"/>
  <c r="M137" i="2"/>
  <c r="L137" i="2"/>
  <c r="H137" i="2"/>
  <c r="G137" i="2"/>
  <c r="B137" i="2"/>
  <c r="R136" i="2"/>
  <c r="J136" i="2"/>
  <c r="H136" i="2"/>
  <c r="G136" i="2"/>
  <c r="Z135" i="2"/>
  <c r="Y135" i="2"/>
  <c r="U135" i="2"/>
  <c r="R135" i="2"/>
  <c r="Q135" i="2"/>
  <c r="N135" i="2"/>
  <c r="M135" i="2"/>
  <c r="L135" i="2"/>
  <c r="K135" i="2"/>
  <c r="J135" i="2"/>
  <c r="I135" i="2"/>
  <c r="F135" i="2"/>
  <c r="E135" i="2"/>
  <c r="D135" i="2"/>
  <c r="C135" i="2"/>
  <c r="B135" i="2"/>
  <c r="A135" i="2"/>
  <c r="Z134" i="2"/>
  <c r="R134" i="2"/>
  <c r="Q134" i="2"/>
  <c r="P134" i="2"/>
  <c r="O134" i="2"/>
  <c r="N134" i="2"/>
  <c r="K134" i="2"/>
  <c r="J134" i="2"/>
  <c r="I134" i="2"/>
  <c r="H134" i="2"/>
  <c r="G134" i="2"/>
  <c r="F134" i="2"/>
  <c r="E134" i="2"/>
  <c r="C134" i="2"/>
  <c r="B134" i="2"/>
  <c r="A134" i="2"/>
  <c r="Z133" i="2"/>
  <c r="Y133" i="2"/>
  <c r="U133" i="2"/>
  <c r="P133" i="2"/>
  <c r="O133" i="2"/>
  <c r="N133" i="2"/>
  <c r="M133" i="2"/>
  <c r="L133" i="2"/>
  <c r="K133" i="2"/>
  <c r="H133" i="2"/>
  <c r="G133" i="2"/>
  <c r="F133" i="2"/>
  <c r="E133" i="2"/>
  <c r="D133" i="2"/>
  <c r="C133" i="2"/>
  <c r="R132" i="2"/>
  <c r="Q132" i="2"/>
  <c r="P132" i="2"/>
  <c r="F132" i="2"/>
  <c r="B132" i="2"/>
  <c r="A132" i="2"/>
  <c r="Z131" i="2"/>
  <c r="Y131" i="2"/>
  <c r="U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Z130" i="2"/>
  <c r="Y130" i="2"/>
  <c r="U130" i="2"/>
  <c r="O130" i="2"/>
  <c r="N130" i="2"/>
  <c r="K130" i="2"/>
  <c r="I130" i="2"/>
  <c r="F130" i="2"/>
  <c r="E130" i="2"/>
  <c r="D130" i="2"/>
  <c r="C130" i="2"/>
  <c r="R129" i="2"/>
  <c r="Q129" i="2"/>
  <c r="O129" i="2"/>
  <c r="N129" i="2"/>
  <c r="M129" i="2"/>
  <c r="F129" i="2"/>
  <c r="E129" i="2"/>
  <c r="D129" i="2"/>
  <c r="A129" i="2"/>
  <c r="Y128" i="2"/>
  <c r="L128" i="2"/>
  <c r="U127" i="2"/>
  <c r="R127" i="2"/>
  <c r="Q127" i="2"/>
  <c r="P127" i="2"/>
  <c r="O127" i="2"/>
  <c r="N127" i="2"/>
  <c r="K127" i="2"/>
  <c r="J127" i="2"/>
  <c r="I127" i="2"/>
  <c r="H127" i="2"/>
  <c r="G127" i="2"/>
  <c r="F127" i="2"/>
  <c r="C127" i="2"/>
  <c r="B127" i="2"/>
  <c r="A127" i="2"/>
  <c r="Z126" i="2"/>
  <c r="Y126" i="2"/>
  <c r="P126" i="2"/>
  <c r="O126" i="2"/>
  <c r="N126" i="2"/>
  <c r="M126" i="2"/>
  <c r="L126" i="2"/>
  <c r="K126" i="2"/>
  <c r="H126" i="2"/>
  <c r="G126" i="2"/>
  <c r="F126" i="2"/>
  <c r="E126" i="2"/>
  <c r="D126" i="2"/>
  <c r="C126" i="2"/>
  <c r="Z125" i="2"/>
  <c r="Y125" i="2"/>
  <c r="U125" i="2"/>
  <c r="R125" i="2"/>
  <c r="Q125" i="2"/>
  <c r="P125" i="2"/>
  <c r="M125" i="2"/>
  <c r="L125" i="2"/>
  <c r="K125" i="2"/>
  <c r="J125" i="2"/>
  <c r="I125" i="2"/>
  <c r="H125" i="2"/>
  <c r="E125" i="2"/>
  <c r="D125" i="2"/>
  <c r="C125" i="2"/>
  <c r="B125" i="2"/>
  <c r="A125" i="2"/>
  <c r="Z124" i="2"/>
  <c r="N124" i="2"/>
  <c r="M124" i="2"/>
  <c r="L124" i="2"/>
  <c r="G124" i="2"/>
  <c r="E124" i="2"/>
  <c r="Z123" i="2"/>
  <c r="Y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Y122" i="2"/>
  <c r="U122" i="2"/>
  <c r="R122" i="2"/>
  <c r="L122" i="2"/>
  <c r="K122" i="2"/>
  <c r="J122" i="2"/>
  <c r="I122" i="2"/>
  <c r="F122" i="2"/>
  <c r="D122" i="2"/>
  <c r="A122" i="2"/>
  <c r="Z121" i="2"/>
  <c r="R121" i="2"/>
  <c r="Q121" i="2"/>
  <c r="P121" i="2"/>
  <c r="O121" i="2"/>
  <c r="H121" i="2"/>
  <c r="G121" i="2"/>
  <c r="F121" i="2"/>
  <c r="E121" i="2"/>
  <c r="D121" i="2"/>
  <c r="C120" i="2"/>
  <c r="B120" i="2"/>
  <c r="A120" i="2"/>
  <c r="Z119" i="2"/>
  <c r="Y119" i="2"/>
  <c r="U119" i="2"/>
  <c r="P119" i="2"/>
  <c r="O119" i="2"/>
  <c r="N119" i="2"/>
  <c r="M119" i="2"/>
  <c r="L119" i="2"/>
  <c r="K119" i="2"/>
  <c r="H119" i="2"/>
  <c r="G119" i="2"/>
  <c r="F119" i="2"/>
  <c r="E119" i="2"/>
  <c r="D119" i="2"/>
  <c r="C119" i="2"/>
  <c r="Z118" i="2"/>
  <c r="Y118" i="2"/>
  <c r="U118" i="2"/>
  <c r="R118" i="2"/>
  <c r="Q118" i="2"/>
  <c r="P118" i="2"/>
  <c r="M118" i="2"/>
  <c r="L118" i="2"/>
  <c r="K118" i="2"/>
  <c r="J118" i="2"/>
  <c r="I118" i="2"/>
  <c r="H118" i="2"/>
  <c r="E118" i="2"/>
  <c r="D118" i="2"/>
  <c r="C118" i="2"/>
  <c r="B118" i="2"/>
  <c r="A118" i="2"/>
  <c r="Z117" i="2"/>
  <c r="R117" i="2"/>
  <c r="Q117" i="2"/>
  <c r="P117" i="2"/>
  <c r="O117" i="2"/>
  <c r="N117" i="2"/>
  <c r="M117" i="2"/>
  <c r="J117" i="2"/>
  <c r="I117" i="2"/>
  <c r="H117" i="2"/>
  <c r="G117" i="2"/>
  <c r="F117" i="2"/>
  <c r="E117" i="2"/>
  <c r="B117" i="2"/>
  <c r="A117" i="2"/>
  <c r="Z116" i="2"/>
  <c r="U116" i="2"/>
  <c r="L116" i="2"/>
  <c r="K116" i="2"/>
  <c r="J116" i="2"/>
  <c r="I116" i="2"/>
  <c r="C116" i="2"/>
  <c r="Z115" i="2"/>
  <c r="Y115" i="2"/>
  <c r="U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R114" i="2"/>
  <c r="P114" i="2"/>
  <c r="O114" i="2"/>
  <c r="N114" i="2"/>
  <c r="M114" i="2"/>
  <c r="L114" i="2"/>
  <c r="F114" i="2"/>
  <c r="E114" i="2"/>
  <c r="D114" i="2"/>
  <c r="C114" i="2"/>
  <c r="Y113" i="2"/>
  <c r="P113" i="2"/>
  <c r="L113" i="2"/>
  <c r="K113" i="2"/>
  <c r="J113" i="2"/>
  <c r="I113" i="2"/>
  <c r="B113" i="2"/>
  <c r="A113" i="2"/>
  <c r="Z112" i="2"/>
  <c r="U112" i="2"/>
  <c r="R112" i="2"/>
  <c r="K112" i="2"/>
  <c r="Z111" i="2"/>
  <c r="Y111" i="2"/>
  <c r="U111" i="2"/>
  <c r="R111" i="2"/>
  <c r="Q111" i="2"/>
  <c r="P111" i="2"/>
  <c r="N111" i="2"/>
  <c r="M111" i="2"/>
  <c r="L111" i="2"/>
  <c r="K111" i="2"/>
  <c r="J111" i="2"/>
  <c r="I111" i="2"/>
  <c r="H111" i="2"/>
  <c r="F111" i="2"/>
  <c r="E111" i="2"/>
  <c r="D111" i="2"/>
  <c r="C111" i="2"/>
  <c r="B111" i="2"/>
  <c r="A111" i="2"/>
  <c r="U110" i="2"/>
  <c r="R110" i="2"/>
  <c r="Q110" i="2"/>
  <c r="P110" i="2"/>
  <c r="O110" i="2"/>
  <c r="N110" i="2"/>
  <c r="K110" i="2"/>
  <c r="J110" i="2"/>
  <c r="I110" i="2"/>
  <c r="H110" i="2"/>
  <c r="G110" i="2"/>
  <c r="F110" i="2"/>
  <c r="C110" i="2"/>
  <c r="B110" i="2"/>
  <c r="A110" i="2"/>
  <c r="Z109" i="2"/>
  <c r="Y109" i="2"/>
  <c r="U109" i="2"/>
  <c r="P109" i="2"/>
  <c r="O109" i="2"/>
  <c r="N109" i="2"/>
  <c r="M109" i="2"/>
  <c r="L109" i="2"/>
  <c r="K109" i="2"/>
  <c r="H109" i="2"/>
  <c r="G109" i="2"/>
  <c r="F109" i="2"/>
  <c r="E109" i="2"/>
  <c r="D109" i="2"/>
  <c r="C109" i="2"/>
  <c r="Z108" i="2"/>
  <c r="Q108" i="2"/>
  <c r="P108" i="2"/>
  <c r="O108" i="2"/>
  <c r="L108" i="2"/>
  <c r="I108" i="2"/>
  <c r="F108" i="2"/>
  <c r="B108" i="2"/>
  <c r="A108" i="2"/>
  <c r="Z107" i="2"/>
  <c r="Y107" i="2"/>
  <c r="U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Y106" i="2"/>
  <c r="U106" i="2"/>
  <c r="R106" i="2"/>
  <c r="O106" i="2"/>
  <c r="K106" i="2"/>
  <c r="J106" i="2"/>
  <c r="I106" i="2"/>
  <c r="H106" i="2"/>
  <c r="G106" i="2"/>
  <c r="A106" i="2"/>
  <c r="Z105" i="2"/>
  <c r="Y105" i="2"/>
  <c r="U105" i="2"/>
  <c r="R105" i="2"/>
  <c r="O105" i="2"/>
  <c r="J105" i="2"/>
  <c r="I105" i="2"/>
  <c r="F105" i="2"/>
  <c r="E105" i="2"/>
  <c r="C105" i="2"/>
  <c r="N104" i="2"/>
  <c r="M104" i="2"/>
  <c r="F104" i="2"/>
  <c r="E104" i="2"/>
  <c r="Z103" i="2"/>
  <c r="Y103" i="2"/>
  <c r="U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Z102" i="2"/>
  <c r="Y102" i="2"/>
  <c r="Q102" i="2"/>
  <c r="P102" i="2"/>
  <c r="O102" i="2"/>
  <c r="N102" i="2"/>
  <c r="M102" i="2"/>
  <c r="I102" i="2"/>
  <c r="H102" i="2"/>
  <c r="G102" i="2"/>
  <c r="F102" i="2"/>
  <c r="E102" i="2"/>
  <c r="D102" i="2"/>
  <c r="A102" i="2"/>
  <c r="Z101" i="2"/>
  <c r="Y101" i="2"/>
  <c r="U101" i="2"/>
  <c r="R101" i="2"/>
  <c r="Q101" i="2"/>
  <c r="O101" i="2"/>
  <c r="N101" i="2"/>
  <c r="M101" i="2"/>
  <c r="L101" i="2"/>
  <c r="K101" i="2"/>
  <c r="J101" i="2"/>
  <c r="I101" i="2"/>
  <c r="G101" i="2"/>
  <c r="F101" i="2"/>
  <c r="E101" i="2"/>
  <c r="D101" i="2"/>
  <c r="C101" i="2"/>
  <c r="B101" i="2"/>
  <c r="A101" i="2"/>
  <c r="R100" i="2"/>
  <c r="Q100" i="2"/>
  <c r="O100" i="2"/>
  <c r="N100" i="2"/>
  <c r="J100" i="2"/>
  <c r="G100" i="2"/>
  <c r="F100" i="2"/>
  <c r="E100" i="2"/>
  <c r="B100" i="2"/>
  <c r="Z99" i="2"/>
  <c r="Y99" i="2"/>
  <c r="U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Z98" i="2"/>
  <c r="Y98" i="2"/>
  <c r="U98" i="2"/>
  <c r="P98" i="2"/>
  <c r="O98" i="2"/>
  <c r="N98" i="2"/>
  <c r="K98" i="2"/>
  <c r="H98" i="2"/>
  <c r="G98" i="2"/>
  <c r="F98" i="2"/>
  <c r="E98" i="2"/>
  <c r="D98" i="2"/>
  <c r="U97" i="2"/>
  <c r="R97" i="2"/>
  <c r="Q97" i="2"/>
  <c r="N97" i="2"/>
  <c r="J97" i="2"/>
  <c r="I97" i="2"/>
  <c r="F97" i="2"/>
  <c r="E97" i="2"/>
  <c r="D97" i="2"/>
  <c r="U96" i="2"/>
  <c r="R96" i="2"/>
  <c r="Q96" i="2"/>
  <c r="P96" i="2"/>
  <c r="D96" i="2"/>
  <c r="Z95" i="2"/>
  <c r="Y95" i="2"/>
  <c r="U95" i="2"/>
  <c r="R95" i="2"/>
  <c r="Q95" i="2"/>
  <c r="N95" i="2"/>
  <c r="M95" i="2"/>
  <c r="L95" i="2"/>
  <c r="K95" i="2"/>
  <c r="J95" i="2"/>
  <c r="I95" i="2"/>
  <c r="F95" i="2"/>
  <c r="E95" i="2"/>
  <c r="D95" i="2"/>
  <c r="C95" i="2"/>
  <c r="B95" i="2"/>
  <c r="A95" i="2"/>
  <c r="U94" i="2"/>
  <c r="R94" i="2"/>
  <c r="Q94" i="2"/>
  <c r="P94" i="2"/>
  <c r="O94" i="2"/>
  <c r="N94" i="2"/>
  <c r="K94" i="2"/>
  <c r="J94" i="2"/>
  <c r="I94" i="2"/>
  <c r="H94" i="2"/>
  <c r="G94" i="2"/>
  <c r="F94" i="2"/>
  <c r="C94" i="2"/>
  <c r="B94" i="2"/>
  <c r="A94" i="2"/>
  <c r="Z93" i="2"/>
  <c r="Y93" i="2"/>
  <c r="U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Z92" i="2"/>
  <c r="Y92" i="2"/>
  <c r="U92" i="2"/>
  <c r="Q92" i="2"/>
  <c r="L92" i="2"/>
  <c r="K92" i="2"/>
  <c r="J92" i="2"/>
  <c r="I92" i="2"/>
  <c r="E92" i="2"/>
  <c r="B92" i="2"/>
  <c r="A92" i="2"/>
  <c r="Z91" i="2"/>
  <c r="Y91" i="2"/>
  <c r="U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Z90" i="2"/>
  <c r="R90" i="2"/>
  <c r="Q90" i="2"/>
  <c r="P90" i="2"/>
  <c r="M90" i="2"/>
  <c r="L90" i="2"/>
  <c r="K90" i="2"/>
  <c r="H90" i="2"/>
  <c r="E90" i="2"/>
  <c r="D90" i="2"/>
  <c r="C90" i="2"/>
  <c r="B90" i="2"/>
  <c r="A90" i="2"/>
  <c r="Q89" i="2"/>
  <c r="P89" i="2"/>
  <c r="O89" i="2"/>
  <c r="N89" i="2"/>
  <c r="K89" i="2"/>
  <c r="G89" i="2"/>
  <c r="F89" i="2"/>
  <c r="C89" i="2"/>
  <c r="B89" i="2"/>
  <c r="A89" i="2"/>
  <c r="M88" i="2"/>
  <c r="G88" i="2"/>
  <c r="F88" i="2"/>
  <c r="E88" i="2"/>
  <c r="Z87" i="2"/>
  <c r="R87" i="2"/>
  <c r="Q87" i="2"/>
  <c r="P87" i="2"/>
  <c r="O87" i="2"/>
  <c r="N87" i="2"/>
  <c r="M87" i="2"/>
  <c r="J87" i="2"/>
  <c r="I87" i="2"/>
  <c r="H87" i="2"/>
  <c r="G87" i="2"/>
  <c r="F87" i="2"/>
  <c r="E87" i="2"/>
  <c r="B87" i="2"/>
  <c r="A87" i="2"/>
  <c r="Z86" i="2"/>
  <c r="Y86" i="2"/>
  <c r="U86" i="2"/>
  <c r="R86" i="2"/>
  <c r="O86" i="2"/>
  <c r="N86" i="2"/>
  <c r="M86" i="2"/>
  <c r="L86" i="2"/>
  <c r="K86" i="2"/>
  <c r="J86" i="2"/>
  <c r="G86" i="2"/>
  <c r="F86" i="2"/>
  <c r="E86" i="2"/>
  <c r="D86" i="2"/>
  <c r="C86" i="2"/>
  <c r="B86" i="2"/>
  <c r="Z85" i="2"/>
  <c r="Y85" i="2"/>
  <c r="U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L84" i="2"/>
  <c r="G84" i="2"/>
  <c r="F84" i="2"/>
  <c r="E84" i="2"/>
  <c r="D84" i="2"/>
  <c r="Z83" i="2"/>
  <c r="Y83" i="2"/>
  <c r="U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Z82" i="2"/>
  <c r="R82" i="2"/>
  <c r="Q82" i="2"/>
  <c r="P82" i="2"/>
  <c r="M82" i="2"/>
  <c r="J82" i="2"/>
  <c r="I82" i="2"/>
  <c r="H82" i="2"/>
  <c r="G82" i="2"/>
  <c r="F82" i="2"/>
  <c r="A82" i="2"/>
  <c r="Z81" i="2"/>
  <c r="Y81" i="2"/>
  <c r="U81" i="2"/>
  <c r="P81" i="2"/>
  <c r="L81" i="2"/>
  <c r="K81" i="2"/>
  <c r="H81" i="2"/>
  <c r="G81" i="2"/>
  <c r="F81" i="2"/>
  <c r="Y80" i="2"/>
  <c r="U80" i="2"/>
  <c r="R80" i="2"/>
  <c r="Q80" i="2"/>
  <c r="E80" i="2"/>
  <c r="A80" i="2"/>
  <c r="Z79" i="2"/>
  <c r="Y79" i="2"/>
  <c r="U79" i="2"/>
  <c r="R79" i="2"/>
  <c r="Q79" i="2"/>
  <c r="P79" i="2"/>
  <c r="M79" i="2"/>
  <c r="L79" i="2"/>
  <c r="K79" i="2"/>
  <c r="J79" i="2"/>
  <c r="I79" i="2"/>
  <c r="H79" i="2"/>
  <c r="G79" i="2"/>
  <c r="E79" i="2"/>
  <c r="D79" i="2"/>
  <c r="C79" i="2"/>
  <c r="B79" i="2"/>
  <c r="A79" i="2"/>
  <c r="Z78" i="2"/>
  <c r="Y78" i="2"/>
  <c r="R78" i="2"/>
  <c r="Q78" i="2"/>
  <c r="P78" i="2"/>
  <c r="O78" i="2"/>
  <c r="N78" i="2"/>
  <c r="M78" i="2"/>
  <c r="L78" i="2"/>
  <c r="J78" i="2"/>
  <c r="I78" i="2"/>
  <c r="H78" i="2"/>
  <c r="G78" i="2"/>
  <c r="F78" i="2"/>
  <c r="E78" i="2"/>
  <c r="D78" i="2"/>
  <c r="B78" i="2"/>
  <c r="A78" i="2"/>
  <c r="Z77" i="2"/>
  <c r="Y77" i="2"/>
  <c r="U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Y76" i="2"/>
  <c r="Q76" i="2"/>
  <c r="P76" i="2"/>
  <c r="O76" i="2"/>
  <c r="N76" i="2"/>
  <c r="K76" i="2"/>
  <c r="H76" i="2"/>
  <c r="G76" i="2"/>
  <c r="F76" i="2"/>
  <c r="D76" i="2"/>
  <c r="B76" i="2"/>
  <c r="Z75" i="2"/>
  <c r="Y75" i="2"/>
  <c r="U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U74" i="2"/>
  <c r="R74" i="2"/>
  <c r="Q74" i="2"/>
  <c r="N74" i="2"/>
  <c r="M74" i="2"/>
  <c r="L74" i="2"/>
  <c r="I74" i="2"/>
  <c r="F74" i="2"/>
  <c r="E74" i="2"/>
  <c r="D74" i="2"/>
  <c r="C74" i="2"/>
  <c r="B74" i="2"/>
  <c r="R73" i="2"/>
  <c r="Q73" i="2"/>
  <c r="P73" i="2"/>
  <c r="O73" i="2"/>
  <c r="L73" i="2"/>
  <c r="H73" i="2"/>
  <c r="G73" i="2"/>
  <c r="D73" i="2"/>
  <c r="C73" i="2"/>
  <c r="B73" i="2"/>
  <c r="N72" i="2"/>
  <c r="H72" i="2"/>
  <c r="G72" i="2"/>
  <c r="F72" i="2"/>
  <c r="Z71" i="2"/>
  <c r="Y71" i="2"/>
  <c r="U71" i="2"/>
  <c r="R71" i="2"/>
  <c r="P71" i="2"/>
  <c r="O71" i="2"/>
  <c r="N71" i="2"/>
  <c r="M71" i="2"/>
  <c r="L71" i="2"/>
  <c r="K71" i="2"/>
  <c r="J71" i="2"/>
  <c r="H71" i="2"/>
  <c r="G71" i="2"/>
  <c r="F71" i="2"/>
  <c r="E71" i="2"/>
  <c r="D71" i="2"/>
  <c r="C71" i="2"/>
  <c r="B71" i="2"/>
  <c r="Z70" i="2"/>
  <c r="Y70" i="2"/>
  <c r="U70" i="2"/>
  <c r="R70" i="2"/>
  <c r="Q70" i="2"/>
  <c r="P70" i="2"/>
  <c r="O70" i="2"/>
  <c r="M70" i="2"/>
  <c r="L70" i="2"/>
  <c r="K70" i="2"/>
  <c r="J70" i="2"/>
  <c r="I70" i="2"/>
  <c r="H70" i="2"/>
  <c r="G70" i="2"/>
  <c r="E70" i="2"/>
  <c r="D70" i="2"/>
  <c r="C70" i="2"/>
  <c r="B70" i="2"/>
  <c r="A70" i="2"/>
  <c r="Z69" i="2"/>
  <c r="Y69" i="2"/>
  <c r="U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Z68" i="2"/>
  <c r="Y68" i="2"/>
  <c r="U68" i="2"/>
  <c r="R68" i="2"/>
  <c r="O68" i="2"/>
  <c r="M68" i="2"/>
  <c r="L68" i="2"/>
  <c r="K68" i="2"/>
  <c r="J68" i="2"/>
  <c r="I68" i="2"/>
  <c r="F68" i="2"/>
  <c r="D68" i="2"/>
  <c r="C68" i="2"/>
  <c r="B68" i="2"/>
  <c r="A68" i="2"/>
  <c r="Z67" i="2"/>
  <c r="Y67" i="2"/>
  <c r="U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Z66" i="2"/>
  <c r="R66" i="2"/>
  <c r="Q66" i="2"/>
  <c r="P66" i="2"/>
  <c r="M66" i="2"/>
  <c r="L66" i="2"/>
  <c r="K66" i="2"/>
  <c r="H66" i="2"/>
  <c r="E66" i="2"/>
  <c r="D66" i="2"/>
  <c r="C66" i="2"/>
  <c r="B66" i="2"/>
  <c r="A66" i="2"/>
  <c r="Q65" i="2"/>
  <c r="P65" i="2"/>
  <c r="O65" i="2"/>
  <c r="N65" i="2"/>
  <c r="K65" i="2"/>
  <c r="G65" i="2"/>
  <c r="F65" i="2"/>
  <c r="C65" i="2"/>
  <c r="B65" i="2"/>
  <c r="A65" i="2"/>
  <c r="P64" i="2"/>
  <c r="O64" i="2"/>
  <c r="E64" i="2"/>
  <c r="D64" i="2"/>
  <c r="C64" i="2"/>
  <c r="Z63" i="2"/>
  <c r="Y63" i="2"/>
  <c r="U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Z62" i="2"/>
  <c r="Y62" i="2"/>
  <c r="U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Z61" i="2"/>
  <c r="Y61" i="2"/>
  <c r="U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Z60" i="2"/>
  <c r="U60" i="2"/>
  <c r="Q60" i="2"/>
  <c r="P60" i="2"/>
  <c r="O60" i="2"/>
  <c r="N60" i="2"/>
  <c r="M60" i="2"/>
  <c r="K60" i="2"/>
  <c r="I60" i="2"/>
  <c r="H60" i="2"/>
  <c r="G60" i="2"/>
  <c r="F60" i="2"/>
  <c r="E60" i="2"/>
  <c r="C60" i="2"/>
  <c r="A60" i="2"/>
  <c r="Z59" i="2"/>
  <c r="Y59" i="2"/>
  <c r="U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Z58" i="2"/>
  <c r="Y58" i="2"/>
  <c r="Q58" i="2"/>
  <c r="P58" i="2"/>
  <c r="O58" i="2"/>
  <c r="L58" i="2"/>
  <c r="I58" i="2"/>
  <c r="H58" i="2"/>
  <c r="G58" i="2"/>
  <c r="F58" i="2"/>
  <c r="E58" i="2"/>
  <c r="Y57" i="2"/>
  <c r="U57" i="2"/>
  <c r="R57" i="2"/>
  <c r="O57" i="2"/>
  <c r="K57" i="2"/>
  <c r="J57" i="2"/>
  <c r="G57" i="2"/>
  <c r="F57" i="2"/>
  <c r="E57" i="2"/>
  <c r="P56" i="2"/>
  <c r="J56" i="2"/>
  <c r="I56" i="2"/>
  <c r="H56" i="2"/>
  <c r="Z55" i="2"/>
  <c r="Y55" i="2"/>
  <c r="U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Z54" i="2"/>
  <c r="Y54" i="2"/>
  <c r="U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Z53" i="2"/>
  <c r="Y53" i="2"/>
  <c r="U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Z52" i="2"/>
  <c r="U52" i="2"/>
  <c r="R52" i="2"/>
  <c r="Q52" i="2"/>
  <c r="P52" i="2"/>
  <c r="O52" i="2"/>
  <c r="M52" i="2"/>
  <c r="K52" i="2"/>
  <c r="J52" i="2"/>
  <c r="I52" i="2"/>
  <c r="H52" i="2"/>
  <c r="G52" i="2"/>
  <c r="E52" i="2"/>
  <c r="C52" i="2"/>
  <c r="B52" i="2"/>
  <c r="A52" i="2"/>
  <c r="Z51" i="2"/>
  <c r="Y51" i="2"/>
  <c r="U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Z50" i="2"/>
  <c r="R50" i="2"/>
  <c r="Q50" i="2"/>
  <c r="P50" i="2"/>
  <c r="M50" i="2"/>
  <c r="L50" i="2"/>
  <c r="K50" i="2"/>
  <c r="H50" i="2"/>
  <c r="E50" i="2"/>
  <c r="D50" i="2"/>
  <c r="C50" i="2"/>
  <c r="B50" i="2"/>
  <c r="A50" i="2"/>
  <c r="Q49" i="2"/>
  <c r="P49" i="2"/>
  <c r="O49" i="2"/>
  <c r="N49" i="2"/>
  <c r="K49" i="2"/>
  <c r="G49" i="2"/>
  <c r="F49" i="2"/>
  <c r="C49" i="2"/>
  <c r="B49" i="2"/>
  <c r="A49" i="2"/>
  <c r="Q48" i="2"/>
  <c r="P48" i="2"/>
  <c r="O48" i="2"/>
  <c r="E48" i="2"/>
  <c r="D48" i="2"/>
  <c r="A48" i="2"/>
  <c r="Z47" i="2"/>
  <c r="Y47" i="2"/>
  <c r="U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Z46" i="2"/>
  <c r="Y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N45" i="2"/>
  <c r="M45" i="2"/>
  <c r="E45" i="2"/>
  <c r="D45" i="2"/>
  <c r="Z44" i="2"/>
  <c r="R44" i="2"/>
  <c r="Q44" i="2"/>
  <c r="P44" i="2"/>
  <c r="N44" i="2"/>
  <c r="L44" i="2"/>
  <c r="J44" i="2"/>
  <c r="I44" i="2"/>
  <c r="H44" i="2"/>
  <c r="F44" i="2"/>
  <c r="E44" i="2"/>
  <c r="D44" i="2"/>
  <c r="A44" i="2"/>
  <c r="Z43" i="2"/>
  <c r="P43" i="2"/>
  <c r="O43" i="2"/>
  <c r="N43" i="2"/>
  <c r="M43" i="2"/>
  <c r="L43" i="2"/>
  <c r="I43" i="2"/>
  <c r="F43" i="2"/>
  <c r="E43" i="2"/>
  <c r="D43" i="2"/>
  <c r="A43" i="2"/>
  <c r="Z42" i="2"/>
  <c r="Y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Z41" i="2"/>
  <c r="Y41" i="2"/>
  <c r="U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Q40" i="2"/>
  <c r="G40" i="2"/>
  <c r="F40" i="2"/>
  <c r="E40" i="2"/>
  <c r="D40" i="2"/>
  <c r="Z39" i="2"/>
  <c r="R39" i="2"/>
  <c r="Q39" i="2"/>
  <c r="P39" i="2"/>
  <c r="N39" i="2"/>
  <c r="M39" i="2"/>
  <c r="L39" i="2"/>
  <c r="J39" i="2"/>
  <c r="I39" i="2"/>
  <c r="H39" i="2"/>
  <c r="F39" i="2"/>
  <c r="E39" i="2"/>
  <c r="D39" i="2"/>
  <c r="B39" i="2"/>
  <c r="A39" i="2"/>
  <c r="Z38" i="2"/>
  <c r="Y38" i="2"/>
  <c r="U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Z37" i="2"/>
  <c r="Q37" i="2"/>
  <c r="P37" i="2"/>
  <c r="N37" i="2"/>
  <c r="M37" i="2"/>
  <c r="L37" i="2"/>
  <c r="J37" i="2"/>
  <c r="F37" i="2"/>
  <c r="E37" i="2"/>
  <c r="D37" i="2"/>
  <c r="B37" i="2"/>
  <c r="A37" i="2"/>
  <c r="Z36" i="2"/>
  <c r="R36" i="2"/>
  <c r="Q36" i="2"/>
  <c r="P36" i="2"/>
  <c r="N36" i="2"/>
  <c r="M36" i="2"/>
  <c r="L36" i="2"/>
  <c r="J36" i="2"/>
  <c r="I36" i="2"/>
  <c r="H36" i="2"/>
  <c r="F36" i="2"/>
  <c r="E36" i="2"/>
  <c r="D36" i="2"/>
  <c r="B36" i="2"/>
  <c r="A36" i="2"/>
  <c r="M35" i="2"/>
  <c r="J35" i="2"/>
  <c r="F35" i="2"/>
  <c r="E35" i="2"/>
  <c r="M34" i="2"/>
  <c r="L34" i="2"/>
  <c r="K34" i="2"/>
  <c r="J34" i="2"/>
  <c r="Z33" i="2"/>
  <c r="Y33" i="2"/>
  <c r="U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Z32" i="2"/>
  <c r="Y32" i="2"/>
  <c r="U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Z31" i="2"/>
  <c r="R31" i="2"/>
  <c r="Q31" i="2"/>
  <c r="P31" i="2"/>
  <c r="N31" i="2"/>
  <c r="M31" i="2"/>
  <c r="L31" i="2"/>
  <c r="J31" i="2"/>
  <c r="I31" i="2"/>
  <c r="H31" i="2"/>
  <c r="F31" i="2"/>
  <c r="E31" i="2"/>
  <c r="D31" i="2"/>
  <c r="B31" i="2"/>
  <c r="A31" i="2"/>
  <c r="Z30" i="2"/>
  <c r="Y30" i="2"/>
  <c r="R30" i="2"/>
  <c r="Q30" i="2"/>
  <c r="N30" i="2"/>
  <c r="K30" i="2"/>
  <c r="J30" i="2"/>
  <c r="I30" i="2"/>
  <c r="F30" i="2"/>
  <c r="E30" i="2"/>
  <c r="D30" i="2"/>
  <c r="A30" i="2"/>
  <c r="R29" i="2"/>
  <c r="Q29" i="2"/>
  <c r="P29" i="2"/>
  <c r="N29" i="2"/>
  <c r="M29" i="2"/>
  <c r="E29" i="2"/>
  <c r="D29" i="2"/>
  <c r="B29" i="2"/>
  <c r="A29" i="2"/>
  <c r="R28" i="2"/>
  <c r="M28" i="2"/>
  <c r="L28" i="2"/>
  <c r="Z27" i="2"/>
  <c r="Y27" i="2"/>
  <c r="U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Z26" i="2"/>
  <c r="Y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Y25" i="2"/>
  <c r="U25" i="2"/>
  <c r="R25" i="2"/>
  <c r="Q25" i="2"/>
  <c r="P25" i="2"/>
  <c r="M25" i="2"/>
  <c r="L25" i="2"/>
  <c r="K25" i="2"/>
  <c r="J25" i="2"/>
  <c r="I25" i="2"/>
  <c r="H25" i="2"/>
  <c r="E25" i="2"/>
  <c r="D25" i="2"/>
  <c r="C25" i="2"/>
  <c r="B25" i="2"/>
  <c r="A25" i="2"/>
  <c r="Z24" i="2"/>
  <c r="R24" i="2"/>
  <c r="Q24" i="2"/>
  <c r="N24" i="2"/>
  <c r="M24" i="2"/>
  <c r="J24" i="2"/>
  <c r="I24" i="2"/>
  <c r="H24" i="2"/>
  <c r="G24" i="2"/>
  <c r="B24" i="2"/>
  <c r="A24" i="2"/>
  <c r="Z23" i="2"/>
  <c r="R23" i="2"/>
  <c r="Q23" i="2"/>
  <c r="P23" i="2"/>
  <c r="H23" i="2"/>
  <c r="F23" i="2"/>
  <c r="E23" i="2"/>
  <c r="A23" i="2"/>
  <c r="L22" i="2"/>
  <c r="K22" i="2"/>
  <c r="E22" i="2"/>
  <c r="D22" i="2"/>
  <c r="M21" i="2"/>
  <c r="L21" i="2"/>
  <c r="H21" i="2"/>
  <c r="F21" i="2"/>
  <c r="M20" i="2"/>
  <c r="B20" i="2"/>
  <c r="U19" i="2"/>
  <c r="R19" i="2"/>
  <c r="Q19" i="2"/>
  <c r="P19" i="2"/>
  <c r="O19" i="2"/>
  <c r="N19" i="2"/>
  <c r="K19" i="2"/>
  <c r="J19" i="2"/>
  <c r="I19" i="2"/>
  <c r="H19" i="2"/>
  <c r="G19" i="2"/>
  <c r="F19" i="2"/>
  <c r="C19" i="2"/>
  <c r="B19" i="2"/>
  <c r="A19" i="2"/>
  <c r="Z18" i="2"/>
  <c r="Y18" i="2"/>
  <c r="R18" i="2"/>
  <c r="O18" i="2"/>
  <c r="N18" i="2"/>
  <c r="J18" i="2"/>
  <c r="G18" i="2"/>
  <c r="F18" i="2"/>
  <c r="E18" i="2"/>
  <c r="D18" i="2"/>
  <c r="U17" i="2"/>
  <c r="R17" i="2"/>
  <c r="Q17" i="2"/>
  <c r="P17" i="2"/>
  <c r="J17" i="2"/>
  <c r="I17" i="2"/>
  <c r="E17" i="2"/>
  <c r="D17" i="2"/>
  <c r="Z16" i="2"/>
  <c r="R16" i="2"/>
  <c r="Q16" i="2"/>
  <c r="P16" i="2"/>
  <c r="F16" i="2"/>
  <c r="E16" i="2"/>
  <c r="Z15" i="2"/>
  <c r="R15" i="2"/>
  <c r="Q15" i="2"/>
  <c r="P15" i="2"/>
  <c r="N15" i="2"/>
  <c r="M15" i="2"/>
  <c r="L15" i="2"/>
  <c r="J15" i="2"/>
  <c r="I15" i="2"/>
  <c r="H15" i="2"/>
  <c r="F15" i="2"/>
  <c r="E15" i="2"/>
  <c r="D15" i="2"/>
  <c r="B15" i="2"/>
  <c r="A15" i="2"/>
  <c r="Z14" i="2"/>
  <c r="J14" i="2"/>
  <c r="Q13" i="2"/>
  <c r="P13" i="2"/>
  <c r="N13" i="2"/>
  <c r="M13" i="2"/>
  <c r="L13" i="2"/>
  <c r="J13" i="2"/>
  <c r="F13" i="2"/>
  <c r="E13" i="2"/>
  <c r="D13" i="2"/>
  <c r="B13" i="2"/>
  <c r="A13" i="2"/>
  <c r="Z12" i="2"/>
  <c r="Q12" i="2"/>
  <c r="P12" i="2"/>
  <c r="J12" i="2"/>
  <c r="F12" i="2"/>
  <c r="E12" i="2"/>
  <c r="D12" i="2"/>
  <c r="B12" i="2"/>
  <c r="Z11" i="2"/>
  <c r="Y11" i="2"/>
  <c r="U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Z10" i="2"/>
  <c r="Y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Z9" i="2"/>
  <c r="Y9" i="2"/>
  <c r="U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Z8" i="2"/>
  <c r="R8" i="2"/>
  <c r="Q8" i="2"/>
  <c r="P8" i="2"/>
  <c r="O8" i="2"/>
  <c r="N8" i="2"/>
  <c r="M8" i="2"/>
  <c r="J8" i="2"/>
  <c r="H8" i="2"/>
  <c r="G8" i="2"/>
  <c r="F8" i="2"/>
  <c r="E8" i="2"/>
  <c r="B8" i="2"/>
  <c r="A8" i="2"/>
  <c r="I7" i="2"/>
  <c r="Z6" i="2"/>
  <c r="Y6" i="2"/>
  <c r="U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Z5" i="2"/>
  <c r="R5" i="2"/>
  <c r="Q5" i="2"/>
  <c r="P5" i="2"/>
  <c r="N5" i="2"/>
  <c r="M5" i="2"/>
  <c r="L5" i="2"/>
  <c r="J5" i="2"/>
  <c r="I5" i="2"/>
  <c r="H5" i="2"/>
  <c r="F5" i="2"/>
  <c r="E5" i="2"/>
  <c r="D5" i="2"/>
  <c r="B5" i="2"/>
  <c r="A5" i="2"/>
  <c r="G5" i="2"/>
  <c r="O5" i="2"/>
  <c r="Y5" i="2"/>
  <c r="G12" i="2"/>
  <c r="G13" i="2"/>
  <c r="O13" i="2"/>
  <c r="Y13" i="2"/>
  <c r="G15" i="2"/>
  <c r="O15" i="2"/>
  <c r="Y15" i="2"/>
  <c r="Y20" i="2"/>
  <c r="G21" i="2"/>
  <c r="O21" i="2"/>
  <c r="G23" i="2"/>
  <c r="O23" i="2"/>
  <c r="G29" i="2"/>
  <c r="O29" i="2"/>
  <c r="Y29" i="2"/>
  <c r="G31" i="2"/>
  <c r="O31" i="2"/>
  <c r="Y31" i="2"/>
  <c r="G36" i="2"/>
  <c r="O36" i="2"/>
  <c r="Y36" i="2"/>
  <c r="G37" i="2"/>
  <c r="O37" i="2"/>
  <c r="Y37" i="2"/>
  <c r="G39" i="2"/>
  <c r="O39" i="2"/>
  <c r="Y39" i="2"/>
  <c r="G44" i="2"/>
  <c r="O44" i="2"/>
  <c r="Y44" i="2"/>
  <c r="G45" i="2"/>
  <c r="O45" i="2"/>
  <c r="C5" i="2"/>
  <c r="K5" i="2"/>
  <c r="C12" i="2"/>
  <c r="K12" i="2"/>
  <c r="C13" i="2"/>
  <c r="K13" i="2"/>
  <c r="C15" i="2"/>
  <c r="K15" i="2"/>
  <c r="C21" i="2"/>
  <c r="K21" i="2"/>
  <c r="K28" i="2"/>
  <c r="C29" i="2"/>
  <c r="K29" i="2"/>
  <c r="C31" i="2"/>
  <c r="K31" i="2"/>
  <c r="C36" i="2"/>
  <c r="K36" i="2"/>
  <c r="C37" i="2"/>
  <c r="K37" i="2"/>
  <c r="C39" i="2"/>
  <c r="K39" i="2"/>
  <c r="C44" i="2"/>
  <c r="K44" i="2"/>
  <c r="D237" i="2"/>
  <c r="L237" i="2"/>
  <c r="T237" i="2"/>
  <c r="D238" i="2"/>
  <c r="L238" i="2"/>
  <c r="T238" i="2"/>
  <c r="D242" i="2"/>
  <c r="L242" i="2"/>
  <c r="T242" i="2"/>
  <c r="E235" i="2"/>
  <c r="M235" i="2"/>
  <c r="U235" i="2"/>
  <c r="E237" i="2"/>
  <c r="M237" i="2"/>
  <c r="U237" i="2"/>
  <c r="E238" i="2"/>
  <c r="M238" i="2"/>
  <c r="U238" i="2"/>
  <c r="E239" i="2"/>
  <c r="M239" i="2"/>
  <c r="U239" i="2"/>
  <c r="E240" i="2"/>
  <c r="M240" i="2"/>
  <c r="U240" i="2"/>
  <c r="E241" i="2"/>
  <c r="M241" i="2"/>
  <c r="U241" i="2"/>
  <c r="E242" i="2"/>
  <c r="M242" i="2"/>
  <c r="U242" i="2"/>
  <c r="E243" i="2"/>
  <c r="M243" i="2"/>
  <c r="U243" i="2"/>
  <c r="C237" i="2"/>
  <c r="K237" i="2"/>
  <c r="F235" i="2"/>
  <c r="N235" i="2"/>
  <c r="F237" i="2"/>
  <c r="N237" i="2"/>
  <c r="F238" i="2"/>
  <c r="N238" i="2"/>
  <c r="F239" i="2"/>
  <c r="N239" i="2"/>
  <c r="F240" i="2"/>
  <c r="N240" i="2"/>
  <c r="F241" i="2"/>
  <c r="N241" i="2"/>
  <c r="F242" i="2"/>
  <c r="N242" i="2"/>
  <c r="F243" i="2"/>
  <c r="N243" i="2"/>
  <c r="U210" i="2"/>
  <c r="G235" i="2"/>
  <c r="O235" i="2"/>
  <c r="Y235" i="2"/>
  <c r="G237" i="2"/>
  <c r="O237" i="2"/>
  <c r="Y237" i="2"/>
  <c r="G238" i="2"/>
  <c r="O238" i="2"/>
  <c r="Y238" i="2"/>
  <c r="G239" i="2"/>
  <c r="O239" i="2"/>
  <c r="Y239" i="2"/>
  <c r="G240" i="2"/>
  <c r="O240" i="2"/>
  <c r="Y240" i="2"/>
  <c r="G241" i="2"/>
  <c r="O241" i="2"/>
  <c r="Y241" i="2"/>
  <c r="G242" i="2"/>
  <c r="O242" i="2"/>
  <c r="Y242" i="2"/>
  <c r="G243" i="2"/>
  <c r="O243" i="2"/>
  <c r="Y243" i="2"/>
  <c r="H237" i="2"/>
  <c r="P237" i="2"/>
  <c r="Z237" i="2"/>
  <c r="H238" i="2"/>
  <c r="P238" i="2"/>
  <c r="Z238" i="2"/>
  <c r="H242" i="2"/>
  <c r="P242" i="2"/>
  <c r="Z242" i="2"/>
  <c r="A235" i="2"/>
  <c r="I235" i="2"/>
  <c r="Q235" i="2"/>
  <c r="A237" i="2"/>
  <c r="I237" i="2"/>
  <c r="Q237" i="2"/>
  <c r="A238" i="2"/>
  <c r="I238" i="2"/>
  <c r="Q238" i="2"/>
  <c r="A242" i="2"/>
  <c r="I242" i="2"/>
  <c r="Q242" i="2"/>
  <c r="A243" i="2"/>
  <c r="I243" i="2"/>
  <c r="Q243" i="2"/>
  <c r="B235" i="2"/>
  <c r="J235" i="2"/>
  <c r="B236" i="2"/>
  <c r="J236" i="2"/>
  <c r="B237" i="2"/>
  <c r="J237" i="2"/>
  <c r="B238" i="2"/>
  <c r="J238" i="2"/>
  <c r="B239" i="2"/>
  <c r="J239" i="2"/>
  <c r="B240" i="2"/>
  <c r="J240" i="2"/>
  <c r="B241" i="2"/>
  <c r="J241" i="2"/>
  <c r="B242" i="2"/>
  <c r="J242" i="2"/>
  <c r="B243" i="2"/>
  <c r="J243" i="2"/>
  <c r="B244" i="2"/>
  <c r="J244" i="2"/>
  <c r="C28" i="21"/>
  <c r="V269" i="13"/>
  <c r="S269" i="13"/>
  <c r="AF269" i="13"/>
  <c r="M269" i="13"/>
  <c r="N261" i="13"/>
  <c r="AF261" i="13"/>
  <c r="P253" i="13"/>
  <c r="AF253" i="13"/>
  <c r="AA245" i="13"/>
  <c r="AF245" i="13"/>
  <c r="AF237" i="13"/>
  <c r="M237" i="13"/>
  <c r="M229" i="13"/>
  <c r="W229" i="13"/>
  <c r="T229" i="13"/>
  <c r="AF229" i="13"/>
  <c r="R221" i="13"/>
  <c r="AF221" i="13"/>
  <c r="M221" i="13"/>
  <c r="Y213" i="13"/>
  <c r="AF213" i="13"/>
  <c r="W205" i="13"/>
  <c r="S205" i="13"/>
  <c r="R205" i="13"/>
  <c r="AF205" i="13"/>
  <c r="N197" i="13"/>
  <c r="T197" i="13"/>
  <c r="AF197" i="13"/>
  <c r="P197" i="13"/>
  <c r="N189" i="13"/>
  <c r="AF189" i="13"/>
  <c r="M189" i="13"/>
  <c r="T181" i="13"/>
  <c r="Y181" i="13"/>
  <c r="AA181" i="13"/>
  <c r="AF181" i="13"/>
  <c r="AF173" i="13"/>
  <c r="M173" i="13"/>
  <c r="M165" i="13"/>
  <c r="Q165" i="13"/>
  <c r="AF165" i="13"/>
  <c r="N165" i="13"/>
  <c r="AE157" i="13"/>
  <c r="AF157" i="13"/>
  <c r="AA157" i="13"/>
  <c r="M157" i="13"/>
  <c r="AC149" i="13"/>
  <c r="R149" i="13"/>
  <c r="AF149" i="13"/>
  <c r="V141" i="13"/>
  <c r="Q141" i="13"/>
  <c r="AF141" i="13"/>
  <c r="R133" i="13"/>
  <c r="AF133" i="13"/>
  <c r="P125" i="13"/>
  <c r="AF125" i="13"/>
  <c r="M125" i="13"/>
  <c r="M117" i="13"/>
  <c r="AF117" i="13"/>
  <c r="AF109" i="13"/>
  <c r="M109" i="13"/>
  <c r="M101" i="13"/>
  <c r="AF101" i="13"/>
  <c r="W93" i="13"/>
  <c r="AF93" i="13"/>
  <c r="M93" i="13"/>
  <c r="S85" i="13"/>
  <c r="AF85" i="13"/>
  <c r="N69" i="13"/>
  <c r="AF69" i="13"/>
  <c r="P69" i="13"/>
  <c r="V61" i="13"/>
  <c r="AF61" i="13"/>
  <c r="M61" i="13"/>
  <c r="S53" i="13"/>
  <c r="Q53" i="13"/>
  <c r="AF53" i="13"/>
  <c r="Z45" i="13"/>
  <c r="P45" i="13"/>
  <c r="AF45" i="13"/>
  <c r="M45" i="13"/>
  <c r="M37" i="13"/>
  <c r="AF37" i="13"/>
  <c r="N37" i="13"/>
  <c r="R21" i="13"/>
  <c r="AF21" i="13"/>
  <c r="T13" i="13"/>
  <c r="M13" i="13"/>
  <c r="AF13" i="13"/>
  <c r="L251" i="13"/>
  <c r="AF300" i="13"/>
  <c r="L300" i="13"/>
  <c r="P300" i="13"/>
  <c r="M300" i="13"/>
  <c r="M292" i="13"/>
  <c r="S292" i="13"/>
  <c r="AF292" i="13"/>
  <c r="P292" i="13"/>
  <c r="Q284" i="13"/>
  <c r="AF284" i="13"/>
  <c r="AF268" i="13"/>
  <c r="Y268" i="13"/>
  <c r="L268" i="13"/>
  <c r="Q260" i="13"/>
  <c r="AF260" i="13"/>
  <c r="S260" i="13"/>
  <c r="N260" i="13"/>
  <c r="U252" i="13"/>
  <c r="AF252" i="13"/>
  <c r="AF244" i="13"/>
  <c r="Q244" i="13"/>
  <c r="AF236" i="13"/>
  <c r="L236" i="13"/>
  <c r="M236" i="13"/>
  <c r="AB236" i="13"/>
  <c r="M228" i="13"/>
  <c r="AF228" i="13"/>
  <c r="P212" i="13"/>
  <c r="AF212" i="13"/>
  <c r="Q204" i="13"/>
  <c r="S204" i="13"/>
  <c r="AF204" i="13"/>
  <c r="L204" i="13"/>
  <c r="R196" i="13"/>
  <c r="AF196" i="13"/>
  <c r="P188" i="13"/>
  <c r="AF188" i="13"/>
  <c r="Q180" i="13"/>
  <c r="AF180" i="13"/>
  <c r="AF172" i="13"/>
  <c r="S172" i="13"/>
  <c r="L164" i="13"/>
  <c r="N164" i="13"/>
  <c r="AF164" i="13"/>
  <c r="P164" i="13"/>
  <c r="M156" i="13"/>
  <c r="L156" i="13"/>
  <c r="AF156" i="13"/>
  <c r="W148" i="13"/>
  <c r="AF148" i="13"/>
  <c r="R148" i="13"/>
  <c r="P148" i="13"/>
  <c r="AB140" i="13"/>
  <c r="Q140" i="13"/>
  <c r="AF140" i="13"/>
  <c r="U132" i="13"/>
  <c r="AF132" i="13"/>
  <c r="L124" i="13"/>
  <c r="AF124" i="13"/>
  <c r="U124" i="13"/>
  <c r="AF116" i="13"/>
  <c r="R116" i="13"/>
  <c r="P108" i="13"/>
  <c r="AF108" i="13"/>
  <c r="Q100" i="13"/>
  <c r="N100" i="13"/>
  <c r="S100" i="13"/>
  <c r="AF100" i="13"/>
  <c r="L299" i="13"/>
  <c r="L172" i="13"/>
  <c r="L73" i="13"/>
  <c r="M220" i="13"/>
  <c r="M172" i="13"/>
  <c r="N177" i="13"/>
  <c r="N110" i="13"/>
  <c r="P73" i="13"/>
  <c r="Q206" i="13"/>
  <c r="T183" i="13"/>
  <c r="P291" i="13"/>
  <c r="AF291" i="13"/>
  <c r="AF275" i="13"/>
  <c r="P275" i="13"/>
  <c r="P267" i="13"/>
  <c r="Y267" i="13"/>
  <c r="AF267" i="13"/>
  <c r="AF259" i="13"/>
  <c r="S259" i="13"/>
  <c r="AF235" i="13"/>
  <c r="U235" i="13"/>
  <c r="R235" i="13"/>
  <c r="N235" i="13"/>
  <c r="AF227" i="13"/>
  <c r="S227" i="13"/>
  <c r="W211" i="13"/>
  <c r="AF211" i="13"/>
  <c r="AC203" i="13"/>
  <c r="AF203" i="13"/>
  <c r="U195" i="13"/>
  <c r="AF195" i="13"/>
  <c r="AF187" i="13"/>
  <c r="N187" i="13"/>
  <c r="AF179" i="13"/>
  <c r="N179" i="13"/>
  <c r="AF171" i="13"/>
  <c r="S171" i="13"/>
  <c r="L171" i="13"/>
  <c r="P163" i="13"/>
  <c r="AF163" i="13"/>
  <c r="U163" i="13"/>
  <c r="AF155" i="13"/>
  <c r="L155" i="13"/>
  <c r="AF147" i="13"/>
  <c r="AD147" i="13"/>
  <c r="AF139" i="13"/>
  <c r="Y139" i="13"/>
  <c r="R139" i="13"/>
  <c r="AF65" i="13"/>
  <c r="X65" i="13"/>
  <c r="K65" i="13"/>
  <c r="O65" i="13"/>
  <c r="T65" i="13"/>
  <c r="T9" i="13"/>
  <c r="P9" i="13"/>
  <c r="AF9" i="13"/>
  <c r="Y9" i="13"/>
  <c r="X9" i="13"/>
  <c r="L9" i="13"/>
  <c r="M29" i="13"/>
  <c r="O193" i="13"/>
  <c r="AF193" i="13"/>
  <c r="K193" i="13"/>
  <c r="P161" i="13"/>
  <c r="AF161" i="13"/>
  <c r="K161" i="13"/>
  <c r="R161" i="13"/>
  <c r="T161" i="13"/>
  <c r="AF137" i="13"/>
  <c r="AJ137" i="13"/>
  <c r="Z113" i="13"/>
  <c r="X113" i="13"/>
  <c r="AF113" i="13"/>
  <c r="W113" i="13"/>
  <c r="K113" i="13"/>
  <c r="N113" i="13"/>
  <c r="AF105" i="13"/>
  <c r="R105" i="13"/>
  <c r="L105" i="13"/>
  <c r="AF89" i="13"/>
  <c r="R89" i="13"/>
  <c r="P89" i="13"/>
  <c r="AA81" i="13"/>
  <c r="AF81" i="13"/>
  <c r="K81" i="13"/>
  <c r="N81" i="13"/>
  <c r="L81" i="13"/>
  <c r="O81" i="13"/>
  <c r="T57" i="13"/>
  <c r="N57" i="13"/>
  <c r="AF57" i="13"/>
  <c r="O57" i="13"/>
  <c r="L57" i="13"/>
  <c r="AD49" i="13"/>
  <c r="P49" i="13"/>
  <c r="R49" i="13"/>
  <c r="AF49" i="13"/>
  <c r="L49" i="13"/>
  <c r="K49" i="13"/>
  <c r="U49" i="13"/>
  <c r="AF41" i="13"/>
  <c r="Q41" i="13"/>
  <c r="AF33" i="13"/>
  <c r="K33" i="13"/>
  <c r="R33" i="13"/>
  <c r="X25" i="13"/>
  <c r="AF25" i="13"/>
  <c r="Q25" i="13"/>
  <c r="L25" i="13"/>
  <c r="P25" i="13"/>
  <c r="AF17" i="13"/>
  <c r="K17" i="13"/>
  <c r="O17" i="13"/>
  <c r="L17" i="13"/>
  <c r="S304" i="13"/>
  <c r="AF304" i="13"/>
  <c r="K304" i="13"/>
  <c r="Q296" i="13"/>
  <c r="R296" i="13"/>
  <c r="N296" i="13"/>
  <c r="AF296" i="13"/>
  <c r="O288" i="13"/>
  <c r="T288" i="13"/>
  <c r="AF288" i="13"/>
  <c r="K288" i="13"/>
  <c r="Z288" i="13"/>
  <c r="T280" i="13"/>
  <c r="AF280" i="13"/>
  <c r="Z280" i="13"/>
  <c r="O272" i="13"/>
  <c r="AF272" i="13"/>
  <c r="K272" i="13"/>
  <c r="V264" i="13"/>
  <c r="W264" i="13"/>
  <c r="V248" i="13"/>
  <c r="O248" i="13"/>
  <c r="AF248" i="13"/>
  <c r="Q240" i="13"/>
  <c r="AF240" i="13"/>
  <c r="K240" i="13"/>
  <c r="N232" i="13"/>
  <c r="Q232" i="13"/>
  <c r="AF232" i="13"/>
  <c r="O232" i="13"/>
  <c r="AF224" i="13"/>
  <c r="K224" i="13"/>
  <c r="N224" i="13"/>
  <c r="V216" i="13"/>
  <c r="N216" i="13"/>
  <c r="AF216" i="13"/>
  <c r="T216" i="13"/>
  <c r="Q216" i="13"/>
  <c r="L208" i="13"/>
  <c r="R208" i="13"/>
  <c r="AF208" i="13"/>
  <c r="X208" i="13"/>
  <c r="K208" i="13"/>
  <c r="Q200" i="13"/>
  <c r="AF200" i="13"/>
  <c r="AC200" i="13"/>
  <c r="O192" i="13"/>
  <c r="Q192" i="13"/>
  <c r="AF192" i="13"/>
  <c r="V184" i="13"/>
  <c r="AF184" i="13"/>
  <c r="O184" i="13"/>
  <c r="AA184" i="13"/>
  <c r="T184" i="13"/>
  <c r="R176" i="13"/>
  <c r="Q176" i="13"/>
  <c r="AF176" i="13"/>
  <c r="L168" i="13"/>
  <c r="Q168" i="13"/>
  <c r="O168" i="13"/>
  <c r="AF168" i="13"/>
  <c r="V168" i="13"/>
  <c r="T160" i="13"/>
  <c r="O160" i="13"/>
  <c r="AF160" i="13"/>
  <c r="L152" i="13"/>
  <c r="AF152" i="13"/>
  <c r="R152" i="13"/>
  <c r="Q152" i="13"/>
  <c r="AA144" i="13"/>
  <c r="X144" i="13"/>
  <c r="AF144" i="13"/>
  <c r="Q136" i="13"/>
  <c r="V136" i="13"/>
  <c r="AF136" i="13"/>
  <c r="AB136" i="13"/>
  <c r="O128" i="13"/>
  <c r="Q128" i="13"/>
  <c r="AF128" i="13"/>
  <c r="AB128" i="13"/>
  <c r="T128" i="13"/>
  <c r="L120" i="13"/>
  <c r="AF120" i="13"/>
  <c r="O120" i="13"/>
  <c r="L112" i="13"/>
  <c r="AF112" i="13"/>
  <c r="L104" i="13"/>
  <c r="R104" i="13"/>
  <c r="AF104" i="13"/>
  <c r="O104" i="13"/>
  <c r="Q96" i="13"/>
  <c r="AF96" i="13"/>
  <c r="O96" i="13"/>
  <c r="X96" i="13"/>
  <c r="T96" i="13"/>
  <c r="L88" i="13"/>
  <c r="V88" i="13"/>
  <c r="R88" i="13"/>
  <c r="Q88" i="13"/>
  <c r="AF88" i="13"/>
  <c r="K176" i="13"/>
  <c r="K144" i="13"/>
  <c r="K112" i="13"/>
  <c r="L267" i="13"/>
  <c r="L203" i="13"/>
  <c r="L97" i="13"/>
  <c r="M284" i="13"/>
  <c r="M150" i="13"/>
  <c r="M108" i="13"/>
  <c r="N208" i="13"/>
  <c r="N143" i="13"/>
  <c r="P276" i="13"/>
  <c r="P147" i="13"/>
  <c r="Q294" i="13"/>
  <c r="S237" i="13"/>
  <c r="T78" i="13"/>
  <c r="X136" i="13"/>
  <c r="L298" i="13"/>
  <c r="O298" i="13"/>
  <c r="AF298" i="13"/>
  <c r="S274" i="13"/>
  <c r="U274" i="13"/>
  <c r="AF274" i="13"/>
  <c r="L274" i="13"/>
  <c r="L250" i="13"/>
  <c r="AF250" i="13"/>
  <c r="X250" i="13"/>
  <c r="U250" i="13"/>
  <c r="P226" i="13"/>
  <c r="AF226" i="13"/>
  <c r="L226" i="13"/>
  <c r="U210" i="13"/>
  <c r="AF210" i="13"/>
  <c r="L210" i="13"/>
  <c r="L186" i="13"/>
  <c r="AF186" i="13"/>
  <c r="L297" i="13"/>
  <c r="AF297" i="13"/>
  <c r="AA297" i="13"/>
  <c r="L265" i="13"/>
  <c r="AF265" i="13"/>
  <c r="T265" i="13"/>
  <c r="W265" i="13"/>
  <c r="AF241" i="13"/>
  <c r="P241" i="13"/>
  <c r="L241" i="13"/>
  <c r="L217" i="13"/>
  <c r="P217" i="13"/>
  <c r="AF217" i="13"/>
  <c r="T217" i="13"/>
  <c r="N217" i="13"/>
  <c r="O185" i="13"/>
  <c r="N185" i="13"/>
  <c r="AF185" i="13"/>
  <c r="W185" i="13"/>
  <c r="L185" i="13"/>
  <c r="AF169" i="13"/>
  <c r="W169" i="13"/>
  <c r="T169" i="13"/>
  <c r="R121" i="13"/>
  <c r="N121" i="13"/>
  <c r="AF121" i="13"/>
  <c r="W121" i="13"/>
  <c r="L121" i="13"/>
  <c r="K295" i="13"/>
  <c r="AF295" i="13"/>
  <c r="T287" i="13"/>
  <c r="AF287" i="13"/>
  <c r="R279" i="13"/>
  <c r="AF279" i="13"/>
  <c r="K271" i="13"/>
  <c r="AF271" i="13"/>
  <c r="S255" i="13"/>
  <c r="AF255" i="13"/>
  <c r="O247" i="13"/>
  <c r="AF247" i="13"/>
  <c r="M231" i="13"/>
  <c r="AF231" i="13"/>
  <c r="S223" i="13"/>
  <c r="AF223" i="13"/>
  <c r="T207" i="13"/>
  <c r="AF207" i="13"/>
  <c r="Q207" i="13"/>
  <c r="R207" i="13"/>
  <c r="N207" i="13"/>
  <c r="M207" i="13"/>
  <c r="Q199" i="13"/>
  <c r="AF199" i="13"/>
  <c r="V199" i="13"/>
  <c r="O199" i="13"/>
  <c r="M199" i="13"/>
  <c r="K199" i="13"/>
  <c r="O191" i="13"/>
  <c r="AF191" i="13"/>
  <c r="AC191" i="13"/>
  <c r="S191" i="13"/>
  <c r="M191" i="13"/>
  <c r="Q191" i="13"/>
  <c r="K191" i="13"/>
  <c r="V183" i="13"/>
  <c r="AF183" i="13"/>
  <c r="Y183" i="13"/>
  <c r="K183" i="13"/>
  <c r="L175" i="13"/>
  <c r="AF175" i="13"/>
  <c r="W175" i="13"/>
  <c r="M175" i="13"/>
  <c r="N175" i="13"/>
  <c r="K175" i="13"/>
  <c r="L167" i="13"/>
  <c r="Y167" i="13"/>
  <c r="AF167" i="13"/>
  <c r="R167" i="13"/>
  <c r="V167" i="13"/>
  <c r="K167" i="13"/>
  <c r="M167" i="13"/>
  <c r="T159" i="13"/>
  <c r="AF159" i="13"/>
  <c r="S159" i="13"/>
  <c r="O159" i="13"/>
  <c r="K159" i="13"/>
  <c r="L151" i="13"/>
  <c r="AF151" i="13"/>
  <c r="T151" i="13"/>
  <c r="S151" i="13"/>
  <c r="R151" i="13"/>
  <c r="Q151" i="13"/>
  <c r="M151" i="13"/>
  <c r="K151" i="13"/>
  <c r="R143" i="13"/>
  <c r="AF143" i="13"/>
  <c r="T143" i="13"/>
  <c r="M143" i="13"/>
  <c r="K143" i="13"/>
  <c r="Q135" i="13"/>
  <c r="AF135" i="13"/>
  <c r="O135" i="13"/>
  <c r="M135" i="13"/>
  <c r="K135" i="13"/>
  <c r="Z135" i="13"/>
  <c r="O127" i="13"/>
  <c r="AF127" i="13"/>
  <c r="M127" i="13"/>
  <c r="K127" i="13"/>
  <c r="L119" i="13"/>
  <c r="AF119" i="13"/>
  <c r="W119" i="13"/>
  <c r="K119" i="13"/>
  <c r="V119" i="13"/>
  <c r="L111" i="13"/>
  <c r="AF111" i="13"/>
  <c r="T111" i="13"/>
  <c r="N111" i="13"/>
  <c r="M111" i="13"/>
  <c r="K111" i="13"/>
  <c r="L103" i="13"/>
  <c r="AF103" i="13"/>
  <c r="K103" i="13"/>
  <c r="N103" i="13"/>
  <c r="M103" i="13"/>
  <c r="L95" i="13"/>
  <c r="AF95" i="13"/>
  <c r="T95" i="13"/>
  <c r="O95" i="13"/>
  <c r="Y95" i="13"/>
  <c r="K95" i="13"/>
  <c r="L87" i="13"/>
  <c r="V87" i="13"/>
  <c r="AF87" i="13"/>
  <c r="Q87" i="13"/>
  <c r="M87" i="13"/>
  <c r="S87" i="13"/>
  <c r="K87" i="13"/>
  <c r="Q79" i="13"/>
  <c r="AF79" i="13"/>
  <c r="O79" i="13"/>
  <c r="N79" i="13"/>
  <c r="R79" i="13"/>
  <c r="M79" i="13"/>
  <c r="K79" i="13"/>
  <c r="W71" i="13"/>
  <c r="AF71" i="13"/>
  <c r="V71" i="13"/>
  <c r="M71" i="13"/>
  <c r="K71" i="13"/>
  <c r="S63" i="13"/>
  <c r="AF63" i="13"/>
  <c r="T63" i="13"/>
  <c r="M63" i="13"/>
  <c r="K63" i="13"/>
  <c r="V55" i="13"/>
  <c r="AA55" i="13"/>
  <c r="AF55" i="13"/>
  <c r="X55" i="13"/>
  <c r="S55" i="13"/>
  <c r="K55" i="13"/>
  <c r="L47" i="13"/>
  <c r="AF47" i="13"/>
  <c r="T47" i="13"/>
  <c r="N47" i="13"/>
  <c r="M47" i="13"/>
  <c r="K47" i="13"/>
  <c r="L39" i="13"/>
  <c r="AF39" i="13"/>
  <c r="N39" i="13"/>
  <c r="AC39" i="13"/>
  <c r="Y39" i="13"/>
  <c r="K39" i="13"/>
  <c r="V39" i="13"/>
  <c r="M39" i="13"/>
  <c r="N31" i="13"/>
  <c r="AF31" i="13"/>
  <c r="M31" i="13"/>
  <c r="R31" i="13"/>
  <c r="T31" i="13"/>
  <c r="O31" i="13"/>
  <c r="K31" i="13"/>
  <c r="L23" i="13"/>
  <c r="AF23" i="13"/>
  <c r="M23" i="13"/>
  <c r="K23" i="13"/>
  <c r="L15" i="13"/>
  <c r="AF15" i="13"/>
  <c r="W15" i="13"/>
  <c r="Q15" i="13"/>
  <c r="K15" i="13"/>
  <c r="L7" i="13"/>
  <c r="AF7" i="13"/>
  <c r="K7" i="13"/>
  <c r="K207" i="13"/>
  <c r="K174" i="13"/>
  <c r="K142" i="13"/>
  <c r="K14" i="13"/>
  <c r="L193" i="13"/>
  <c r="L140" i="13"/>
  <c r="L41" i="13"/>
  <c r="M268" i="13"/>
  <c r="M188" i="13"/>
  <c r="N135" i="13"/>
  <c r="O119" i="13"/>
  <c r="P266" i="13"/>
  <c r="Q269" i="13"/>
  <c r="Q132" i="13"/>
  <c r="Q14" i="13"/>
  <c r="R107" i="13"/>
  <c r="S226" i="13"/>
  <c r="T25" i="13"/>
  <c r="V120" i="13"/>
  <c r="L282" i="13"/>
  <c r="AF282" i="13"/>
  <c r="L234" i="13"/>
  <c r="U234" i="13"/>
  <c r="AF234" i="13"/>
  <c r="R234" i="13"/>
  <c r="P289" i="13"/>
  <c r="U289" i="13"/>
  <c r="W289" i="13"/>
  <c r="AF289" i="13"/>
  <c r="N289" i="13"/>
  <c r="K289" i="13"/>
  <c r="AF257" i="13"/>
  <c r="O257" i="13"/>
  <c r="L233" i="13"/>
  <c r="AF233" i="13"/>
  <c r="T233" i="13"/>
  <c r="U209" i="13"/>
  <c r="AF209" i="13"/>
  <c r="X209" i="13"/>
  <c r="L209" i="13"/>
  <c r="Z177" i="13"/>
  <c r="AF177" i="13"/>
  <c r="L177" i="13"/>
  <c r="K177" i="13"/>
  <c r="X177" i="13"/>
  <c r="AF153" i="13"/>
  <c r="L153" i="13"/>
  <c r="P153" i="13"/>
  <c r="N153" i="13"/>
  <c r="AF129" i="13"/>
  <c r="O129" i="13"/>
  <c r="K129" i="13"/>
  <c r="T129" i="13"/>
  <c r="L129" i="13"/>
  <c r="K286" i="13"/>
  <c r="AF286" i="13"/>
  <c r="O286" i="13"/>
  <c r="N278" i="13"/>
  <c r="AF278" i="13"/>
  <c r="N270" i="13"/>
  <c r="AF270" i="13"/>
  <c r="K262" i="13"/>
  <c r="AF262" i="13"/>
  <c r="Q254" i="13"/>
  <c r="AF254" i="13"/>
  <c r="AF246" i="13"/>
  <c r="V246" i="13"/>
  <c r="AF238" i="13"/>
  <c r="S238" i="13"/>
  <c r="M230" i="13"/>
  <c r="AF230" i="13"/>
  <c r="W230" i="13"/>
  <c r="S222" i="13"/>
  <c r="AF222" i="13"/>
  <c r="T206" i="13"/>
  <c r="AF206" i="13"/>
  <c r="S206" i="13"/>
  <c r="Q198" i="13"/>
  <c r="AF198" i="13"/>
  <c r="V198" i="13"/>
  <c r="O198" i="13"/>
  <c r="M198" i="13"/>
  <c r="K198" i="13"/>
  <c r="N198" i="13"/>
  <c r="O190" i="13"/>
  <c r="AF190" i="13"/>
  <c r="V190" i="13"/>
  <c r="V182" i="13"/>
  <c r="AF182" i="13"/>
  <c r="Z182" i="13"/>
  <c r="K182" i="13"/>
  <c r="O182" i="13"/>
  <c r="L174" i="13"/>
  <c r="AF174" i="13"/>
  <c r="M174" i="13"/>
  <c r="S174" i="13"/>
  <c r="L166" i="13"/>
  <c r="AF166" i="13"/>
  <c r="V166" i="13"/>
  <c r="K166" i="13"/>
  <c r="Q166" i="13"/>
  <c r="L158" i="13"/>
  <c r="AF158" i="13"/>
  <c r="S158" i="13"/>
  <c r="O158" i="13"/>
  <c r="L150" i="13"/>
  <c r="AF150" i="13"/>
  <c r="W150" i="13"/>
  <c r="T150" i="13"/>
  <c r="K150" i="13"/>
  <c r="L142" i="13"/>
  <c r="AF142" i="13"/>
  <c r="V142" i="13"/>
  <c r="Q142" i="13"/>
  <c r="N142" i="13"/>
  <c r="Q134" i="13"/>
  <c r="AF134" i="13"/>
  <c r="M134" i="13"/>
  <c r="K134" i="13"/>
  <c r="O134" i="13"/>
  <c r="V126" i="13"/>
  <c r="AF126" i="13"/>
  <c r="Y126" i="13"/>
  <c r="S126" i="13"/>
  <c r="L118" i="13"/>
  <c r="AF118" i="13"/>
  <c r="S118" i="13"/>
  <c r="K118" i="13"/>
  <c r="V118" i="13"/>
  <c r="S110" i="13"/>
  <c r="AF110" i="13"/>
  <c r="X110" i="13"/>
  <c r="T110" i="13"/>
  <c r="O110" i="13"/>
  <c r="V110" i="13"/>
  <c r="Q110" i="13"/>
  <c r="M110" i="13"/>
  <c r="L102" i="13"/>
  <c r="AF102" i="13"/>
  <c r="K102" i="13"/>
  <c r="L94" i="13"/>
  <c r="AF94" i="13"/>
  <c r="V94" i="13"/>
  <c r="L86" i="13"/>
  <c r="AF86" i="13"/>
  <c r="S86" i="13"/>
  <c r="K86" i="13"/>
  <c r="Q78" i="13"/>
  <c r="AF78" i="13"/>
  <c r="Y78" i="13"/>
  <c r="N78" i="13"/>
  <c r="W70" i="13"/>
  <c r="AF70" i="13"/>
  <c r="V70" i="13"/>
  <c r="M70" i="13"/>
  <c r="K70" i="13"/>
  <c r="N70" i="13"/>
  <c r="S62" i="13"/>
  <c r="AF62" i="13"/>
  <c r="AD62" i="13"/>
  <c r="Z62" i="13"/>
  <c r="V62" i="13"/>
  <c r="V54" i="13"/>
  <c r="AF54" i="13"/>
  <c r="AA54" i="13"/>
  <c r="K54" i="13"/>
  <c r="Q54" i="13"/>
  <c r="O54" i="13"/>
  <c r="Q46" i="13"/>
  <c r="AF46" i="13"/>
  <c r="O46" i="13"/>
  <c r="T46" i="13"/>
  <c r="N46" i="13"/>
  <c r="M46" i="13"/>
  <c r="Z46" i="13"/>
  <c r="L38" i="13"/>
  <c r="AF38" i="13"/>
  <c r="K38" i="13"/>
  <c r="W30" i="13"/>
  <c r="AF30" i="13"/>
  <c r="O30" i="13"/>
  <c r="L22" i="13"/>
  <c r="AF22" i="13"/>
  <c r="V22" i="13"/>
  <c r="S22" i="13"/>
  <c r="M22" i="13"/>
  <c r="K22" i="13"/>
  <c r="N22" i="13"/>
  <c r="L14" i="13"/>
  <c r="AF14" i="13"/>
  <c r="V14" i="13"/>
  <c r="N14" i="13"/>
  <c r="M14" i="13"/>
  <c r="K206" i="13"/>
  <c r="K169" i="13"/>
  <c r="K137" i="13"/>
  <c r="K105" i="13"/>
  <c r="K73" i="13"/>
  <c r="K41" i="13"/>
  <c r="K9" i="13"/>
  <c r="L252" i="13"/>
  <c r="L188" i="13"/>
  <c r="L139" i="13"/>
  <c r="L89" i="13"/>
  <c r="M253" i="13"/>
  <c r="M183" i="13"/>
  <c r="M141" i="13"/>
  <c r="M95" i="13"/>
  <c r="M55" i="13"/>
  <c r="M7" i="13"/>
  <c r="N205" i="13"/>
  <c r="N134" i="13"/>
  <c r="O274" i="13"/>
  <c r="O118" i="13"/>
  <c r="O41" i="13"/>
  <c r="P251" i="13"/>
  <c r="P137" i="13"/>
  <c r="Q268" i="13"/>
  <c r="Q127" i="13"/>
  <c r="Q9" i="13"/>
  <c r="S194" i="13"/>
  <c r="T298" i="13"/>
  <c r="T14" i="13"/>
  <c r="Y127" i="13"/>
  <c r="Q80" i="13"/>
  <c r="AF80" i="13"/>
  <c r="Q64" i="13"/>
  <c r="AH64" i="13"/>
  <c r="AF64" i="13"/>
  <c r="V56" i="13"/>
  <c r="AB56" i="13"/>
  <c r="AF56" i="13"/>
  <c r="L48" i="13"/>
  <c r="R48" i="13"/>
  <c r="AF48" i="13"/>
  <c r="L32" i="13"/>
  <c r="R32" i="13"/>
  <c r="AF32" i="13"/>
  <c r="T32" i="13"/>
  <c r="L24" i="13"/>
  <c r="AF24" i="13"/>
  <c r="L16" i="13"/>
  <c r="AF16" i="13"/>
  <c r="L8" i="13"/>
  <c r="Q8" i="13"/>
  <c r="AF8" i="13"/>
  <c r="L92" i="13"/>
  <c r="O146" i="13"/>
  <c r="Q72" i="13"/>
  <c r="S35" i="13"/>
  <c r="T24" i="13"/>
  <c r="AF72" i="13"/>
  <c r="W51" i="13"/>
  <c r="AF60" i="13"/>
  <c r="W50" i="13"/>
  <c r="X56" i="13"/>
  <c r="AF50" i="13"/>
  <c r="U84" i="13"/>
  <c r="AF84" i="13"/>
  <c r="R76" i="13"/>
  <c r="AF76" i="13"/>
  <c r="L68" i="13"/>
  <c r="AF68" i="13"/>
  <c r="Y52" i="13"/>
  <c r="AF52" i="13"/>
  <c r="Q44" i="13"/>
  <c r="P44" i="13"/>
  <c r="U44" i="13"/>
  <c r="AF44" i="13"/>
  <c r="L36" i="13"/>
  <c r="N36" i="13"/>
  <c r="AF36" i="13"/>
  <c r="S20" i="13"/>
  <c r="AF20" i="13"/>
  <c r="L130" i="13"/>
  <c r="L28" i="13"/>
  <c r="M28" i="13"/>
  <c r="O32" i="13"/>
  <c r="Q114" i="13"/>
  <c r="T64" i="13"/>
  <c r="U28" i="13"/>
  <c r="W28" i="13"/>
  <c r="X24" i="13"/>
  <c r="AF40" i="13"/>
  <c r="AF83" i="13"/>
  <c r="Y83" i="13"/>
  <c r="Y43" i="13"/>
  <c r="U43" i="13"/>
  <c r="AF43" i="13"/>
  <c r="P19" i="13"/>
  <c r="AF19" i="13"/>
  <c r="AB11" i="13"/>
  <c r="AF11" i="13"/>
  <c r="L76" i="13"/>
  <c r="L27" i="13"/>
  <c r="M92" i="13"/>
  <c r="P20" i="13"/>
  <c r="S68" i="13"/>
  <c r="AF27" i="13"/>
  <c r="X178" i="13"/>
  <c r="R178" i="13"/>
  <c r="L170" i="13"/>
  <c r="AF170" i="13"/>
  <c r="R162" i="13"/>
  <c r="T162" i="13"/>
  <c r="AF162" i="13"/>
  <c r="S154" i="13"/>
  <c r="AF154" i="13"/>
  <c r="L138" i="13"/>
  <c r="AF138" i="13"/>
  <c r="S138" i="13"/>
  <c r="Z130" i="13"/>
  <c r="AF130" i="13"/>
  <c r="L122" i="13"/>
  <c r="P122" i="13"/>
  <c r="AF122" i="13"/>
  <c r="W114" i="13"/>
  <c r="P114" i="13"/>
  <c r="L106" i="13"/>
  <c r="AF106" i="13"/>
  <c r="Q98" i="13"/>
  <c r="AF98" i="13"/>
  <c r="L90" i="13"/>
  <c r="S90" i="13"/>
  <c r="AF90" i="13"/>
  <c r="W82" i="13"/>
  <c r="Q82" i="13"/>
  <c r="L74" i="13"/>
  <c r="AF74" i="13"/>
  <c r="O66" i="13"/>
  <c r="AF66" i="13"/>
  <c r="L58" i="13"/>
  <c r="AE58" i="13"/>
  <c r="AF58" i="13"/>
  <c r="Y42" i="13"/>
  <c r="Z42" i="13"/>
  <c r="Q42" i="13"/>
  <c r="AF42" i="13"/>
  <c r="P34" i="13"/>
  <c r="S34" i="13"/>
  <c r="AF34" i="13"/>
  <c r="L26" i="13"/>
  <c r="AF26" i="13"/>
  <c r="AF18" i="13"/>
  <c r="O18" i="13"/>
  <c r="W18" i="13"/>
  <c r="X10" i="13"/>
  <c r="AF10" i="13"/>
  <c r="P10" i="13"/>
  <c r="L98" i="13"/>
  <c r="L75" i="13"/>
  <c r="N12" i="13"/>
  <c r="O56" i="13"/>
  <c r="P11" i="13"/>
  <c r="R59" i="13"/>
  <c r="S67" i="13"/>
  <c r="AA82" i="13"/>
  <c r="AD138" i="13"/>
  <c r="O20" i="2"/>
  <c r="J7" i="2"/>
  <c r="A14" i="2"/>
  <c r="K14" i="2"/>
  <c r="D20" i="2"/>
  <c r="N20" i="2"/>
  <c r="S44" i="2"/>
  <c r="U44" i="2"/>
  <c r="S68" i="2"/>
  <c r="P68" i="2"/>
  <c r="H68" i="2"/>
  <c r="S76" i="2"/>
  <c r="Z76" i="2"/>
  <c r="M76" i="2"/>
  <c r="E76" i="2"/>
  <c r="S84" i="2"/>
  <c r="U84" i="2"/>
  <c r="K84" i="2"/>
  <c r="C84" i="2"/>
  <c r="R84" i="2"/>
  <c r="J84" i="2"/>
  <c r="B84" i="2"/>
  <c r="S92" i="2"/>
  <c r="O92" i="2"/>
  <c r="G92" i="2"/>
  <c r="N92" i="2"/>
  <c r="F92" i="2"/>
  <c r="Z100" i="2"/>
  <c r="L100" i="2"/>
  <c r="D100" i="2"/>
  <c r="Y100" i="2"/>
  <c r="K100" i="2"/>
  <c r="C100" i="2"/>
  <c r="N108" i="2"/>
  <c r="E108" i="2"/>
  <c r="M108" i="2"/>
  <c r="D108" i="2"/>
  <c r="N116" i="2"/>
  <c r="E116" i="2"/>
  <c r="Q116" i="2"/>
  <c r="H116" i="2"/>
  <c r="P116" i="2"/>
  <c r="F116" i="2"/>
  <c r="Q124" i="2"/>
  <c r="H124" i="2"/>
  <c r="Y124" i="2"/>
  <c r="J124" i="2"/>
  <c r="A124" i="2"/>
  <c r="R124" i="2"/>
  <c r="I124" i="2"/>
  <c r="Z132" i="2"/>
  <c r="L132" i="2"/>
  <c r="C132" i="2"/>
  <c r="N132" i="2"/>
  <c r="E132" i="2"/>
  <c r="M132" i="2"/>
  <c r="D132" i="2"/>
  <c r="L140" i="2"/>
  <c r="B140" i="2"/>
  <c r="O140" i="2"/>
  <c r="N140" i="2"/>
  <c r="D140" i="2"/>
  <c r="M140" i="2"/>
  <c r="C140" i="2"/>
  <c r="Y148" i="2"/>
  <c r="I148" i="2"/>
  <c r="N148" i="2"/>
  <c r="C148" i="2"/>
  <c r="M148" i="2"/>
  <c r="B148" i="2"/>
  <c r="Z148" i="2"/>
  <c r="K148" i="2"/>
  <c r="U156" i="2"/>
  <c r="H156" i="2"/>
  <c r="L156" i="2"/>
  <c r="A156" i="2"/>
  <c r="K156" i="2"/>
  <c r="Y156" i="2"/>
  <c r="I156" i="2"/>
  <c r="Z164" i="2"/>
  <c r="J164" i="2"/>
  <c r="N164" i="2"/>
  <c r="B164" i="2"/>
  <c r="L164" i="2"/>
  <c r="K164" i="2"/>
  <c r="G20" i="2"/>
  <c r="Y7" i="2"/>
  <c r="L7" i="2"/>
  <c r="B14" i="2"/>
  <c r="L14" i="2"/>
  <c r="E20" i="2"/>
  <c r="P20" i="2"/>
  <c r="H140" i="2"/>
  <c r="H148" i="2"/>
  <c r="M156" i="2"/>
  <c r="R164" i="2"/>
  <c r="S70" i="2"/>
  <c r="N70" i="2"/>
  <c r="F70" i="2"/>
  <c r="S78" i="2"/>
  <c r="U78" i="2"/>
  <c r="K78" i="2"/>
  <c r="C78" i="2"/>
  <c r="S86" i="2"/>
  <c r="Q86" i="2"/>
  <c r="I86" i="2"/>
  <c r="A86" i="2"/>
  <c r="P86" i="2"/>
  <c r="H86" i="2"/>
  <c r="S94" i="2"/>
  <c r="Z94" i="2"/>
  <c r="M94" i="2"/>
  <c r="E94" i="2"/>
  <c r="Y94" i="2"/>
  <c r="L94" i="2"/>
  <c r="D94" i="2"/>
  <c r="S102" i="2"/>
  <c r="U102" i="2"/>
  <c r="K102" i="2"/>
  <c r="C102" i="2"/>
  <c r="R102" i="2"/>
  <c r="J102" i="2"/>
  <c r="B102" i="2"/>
  <c r="K20" i="2"/>
  <c r="G7" i="2"/>
  <c r="Q7" i="2"/>
  <c r="I76" i="2"/>
  <c r="R76" i="2"/>
  <c r="H84" i="2"/>
  <c r="Y84" i="2"/>
  <c r="C92" i="2"/>
  <c r="M92" i="2"/>
  <c r="H100" i="2"/>
  <c r="U100" i="2"/>
  <c r="G108" i="2"/>
  <c r="R108" i="2"/>
  <c r="A116" i="2"/>
  <c r="M116" i="2"/>
  <c r="B124" i="2"/>
  <c r="O124" i="2"/>
  <c r="H132" i="2"/>
  <c r="Y132" i="2"/>
  <c r="P140" i="2"/>
  <c r="P148" i="2"/>
  <c r="Q156" i="2"/>
  <c r="Y164" i="2"/>
  <c r="S71" i="2"/>
  <c r="Q71" i="2"/>
  <c r="I71" i="2"/>
  <c r="A71" i="2"/>
  <c r="S79" i="2"/>
  <c r="O79" i="2"/>
  <c r="N79" i="2"/>
  <c r="F79" i="2"/>
  <c r="S87" i="2"/>
  <c r="Y87" i="2"/>
  <c r="L87" i="2"/>
  <c r="D87" i="2"/>
  <c r="U87" i="2"/>
  <c r="K87" i="2"/>
  <c r="C87" i="2"/>
  <c r="O7" i="2"/>
  <c r="P7" i="2"/>
  <c r="C14" i="2"/>
  <c r="F20" i="2"/>
  <c r="K7" i="2"/>
  <c r="A7" i="2"/>
  <c r="D14" i="2"/>
  <c r="N14" i="2"/>
  <c r="H20" i="2"/>
  <c r="R20" i="2"/>
  <c r="C20" i="2"/>
  <c r="C7" i="2"/>
  <c r="E7" i="2"/>
  <c r="R7" i="2"/>
  <c r="I8" i="2"/>
  <c r="E14" i="2"/>
  <c r="Q14" i="2"/>
  <c r="I20" i="2"/>
  <c r="Z20" i="2"/>
  <c r="B44" i="2"/>
  <c r="M44" i="2"/>
  <c r="D52" i="2"/>
  <c r="L52" i="2"/>
  <c r="Y52" i="2"/>
  <c r="B60" i="2"/>
  <c r="J60" i="2"/>
  <c r="R60" i="2"/>
  <c r="E68" i="2"/>
  <c r="N68" i="2"/>
  <c r="A76" i="2"/>
  <c r="J76" i="2"/>
  <c r="U76" i="2"/>
  <c r="I84" i="2"/>
  <c r="Z84" i="2"/>
  <c r="D92" i="2"/>
  <c r="P92" i="2"/>
  <c r="I100" i="2"/>
  <c r="H108" i="2"/>
  <c r="Y108" i="2"/>
  <c r="B116" i="2"/>
  <c r="R116" i="2"/>
  <c r="D124" i="2"/>
  <c r="P124" i="2"/>
  <c r="I132" i="2"/>
  <c r="R140" i="2"/>
  <c r="Q148" i="2"/>
  <c r="R156" i="2"/>
  <c r="D164" i="2"/>
  <c r="M14" i="2"/>
  <c r="Q20" i="2"/>
  <c r="F7" i="2"/>
  <c r="F14" i="2"/>
  <c r="J132" i="2"/>
  <c r="Y140" i="2"/>
  <c r="R148" i="2"/>
  <c r="B156" i="2"/>
  <c r="E164" i="2"/>
  <c r="Z7" i="2"/>
  <c r="R14" i="2"/>
  <c r="J20" i="2"/>
  <c r="H7" i="2"/>
  <c r="I14" i="2"/>
  <c r="A20" i="2"/>
  <c r="L20" i="2"/>
  <c r="F52" i="2"/>
  <c r="N52" i="2"/>
  <c r="D60" i="2"/>
  <c r="L60" i="2"/>
  <c r="Y60" i="2"/>
  <c r="G68" i="2"/>
  <c r="Q68" i="2"/>
  <c r="C76" i="2"/>
  <c r="L76" i="2"/>
  <c r="A84" i="2"/>
  <c r="M84" i="2"/>
  <c r="H92" i="2"/>
  <c r="R92" i="2"/>
  <c r="A100" i="2"/>
  <c r="M100" i="2"/>
  <c r="L102" i="2"/>
  <c r="J108" i="2"/>
  <c r="D116" i="2"/>
  <c r="Y116" i="2"/>
  <c r="F124" i="2"/>
  <c r="K132" i="2"/>
  <c r="E140" i="2"/>
  <c r="Z140" i="2"/>
  <c r="E148" i="2"/>
  <c r="C156" i="2"/>
  <c r="F164" i="2"/>
  <c r="U20" i="2"/>
  <c r="G95" i="2"/>
  <c r="O95" i="2"/>
  <c r="A109" i="2"/>
  <c r="I109" i="2"/>
  <c r="Q109" i="2"/>
  <c r="D110" i="2"/>
  <c r="L110" i="2"/>
  <c r="Y110" i="2"/>
  <c r="G111" i="2"/>
  <c r="O111" i="2"/>
  <c r="C117" i="2"/>
  <c r="K117" i="2"/>
  <c r="U117" i="2"/>
  <c r="F118" i="2"/>
  <c r="N118" i="2"/>
  <c r="A119" i="2"/>
  <c r="I119" i="2"/>
  <c r="Q119" i="2"/>
  <c r="F125" i="2"/>
  <c r="N125" i="2"/>
  <c r="A126" i="2"/>
  <c r="I126" i="2"/>
  <c r="Q126" i="2"/>
  <c r="D127" i="2"/>
  <c r="L127" i="2"/>
  <c r="Y127" i="2"/>
  <c r="A133" i="2"/>
  <c r="I133" i="2"/>
  <c r="Q133" i="2"/>
  <c r="D134" i="2"/>
  <c r="L134" i="2"/>
  <c r="Y134" i="2"/>
  <c r="G135" i="2"/>
  <c r="O135" i="2"/>
  <c r="B141" i="2"/>
  <c r="J141" i="2"/>
  <c r="R141" i="2"/>
  <c r="E142" i="2"/>
  <c r="M142" i="2"/>
  <c r="Z142" i="2"/>
  <c r="H143" i="2"/>
  <c r="P143" i="2"/>
  <c r="H149" i="2"/>
  <c r="Q149" i="2"/>
  <c r="D150" i="2"/>
  <c r="L150" i="2"/>
  <c r="Y150" i="2"/>
  <c r="H151" i="2"/>
  <c r="Q151" i="2"/>
  <c r="J157" i="2"/>
  <c r="U157" i="2"/>
  <c r="F158" i="2"/>
  <c r="N158" i="2"/>
  <c r="A159" i="2"/>
  <c r="J159" i="2"/>
  <c r="U159" i="2"/>
  <c r="U5" i="2"/>
  <c r="U23" i="2"/>
  <c r="U29" i="2"/>
  <c r="U36" i="2"/>
  <c r="U42" i="2"/>
  <c r="S211" i="2"/>
  <c r="K211" i="2"/>
  <c r="C211" i="2"/>
  <c r="Q211" i="2"/>
  <c r="I211" i="2"/>
  <c r="A211" i="2"/>
  <c r="H211" i="2"/>
  <c r="R211" i="2"/>
  <c r="G211" i="2"/>
  <c r="P211" i="2"/>
  <c r="F211" i="2"/>
  <c r="O211" i="2"/>
  <c r="E211" i="2"/>
  <c r="N211" i="2"/>
  <c r="D211" i="2"/>
  <c r="M211" i="2"/>
  <c r="B211" i="2"/>
  <c r="Z211" i="2"/>
  <c r="L211" i="2"/>
  <c r="Y211" i="2"/>
  <c r="J211" i="2"/>
  <c r="O219" i="2"/>
  <c r="G219" i="2"/>
  <c r="M219" i="2"/>
  <c r="E219" i="2"/>
  <c r="Y219" i="2"/>
  <c r="L219" i="2"/>
  <c r="B219" i="2"/>
  <c r="K219" i="2"/>
  <c r="A219" i="2"/>
  <c r="U219" i="2"/>
  <c r="J219" i="2"/>
  <c r="S219" i="2"/>
  <c r="I219" i="2"/>
  <c r="R219" i="2"/>
  <c r="H219" i="2"/>
  <c r="Q219" i="2"/>
  <c r="F219" i="2"/>
  <c r="P219" i="2"/>
  <c r="D219" i="2"/>
  <c r="Z219" i="2"/>
  <c r="N219" i="2"/>
  <c r="C219" i="2"/>
  <c r="O227" i="2"/>
  <c r="G227" i="2"/>
  <c r="M227" i="2"/>
  <c r="E227" i="2"/>
  <c r="P227" i="2"/>
  <c r="D227" i="2"/>
  <c r="Z227" i="2"/>
  <c r="N227" i="2"/>
  <c r="C227" i="2"/>
  <c r="Y227" i="2"/>
  <c r="L227" i="2"/>
  <c r="B227" i="2"/>
  <c r="K227" i="2"/>
  <c r="A227" i="2"/>
  <c r="U227" i="2"/>
  <c r="J227" i="2"/>
  <c r="S227" i="2"/>
  <c r="I227" i="2"/>
  <c r="R227" i="2"/>
  <c r="H227" i="2"/>
  <c r="Q227" i="2"/>
  <c r="F227" i="2"/>
  <c r="H95" i="2"/>
  <c r="P95" i="2"/>
  <c r="H101" i="2"/>
  <c r="P101" i="2"/>
  <c r="B109" i="2"/>
  <c r="J109" i="2"/>
  <c r="R109" i="2"/>
  <c r="E110" i="2"/>
  <c r="M110" i="2"/>
  <c r="Z110" i="2"/>
  <c r="D117" i="2"/>
  <c r="L117" i="2"/>
  <c r="Y117" i="2"/>
  <c r="G118" i="2"/>
  <c r="O118" i="2"/>
  <c r="B119" i="2"/>
  <c r="J119" i="2"/>
  <c r="R119" i="2"/>
  <c r="G125" i="2"/>
  <c r="O125" i="2"/>
  <c r="B126" i="2"/>
  <c r="J126" i="2"/>
  <c r="R126" i="2"/>
  <c r="E127" i="2"/>
  <c r="M127" i="2"/>
  <c r="Z127" i="2"/>
  <c r="B133" i="2"/>
  <c r="J133" i="2"/>
  <c r="R133" i="2"/>
  <c r="H135" i="2"/>
  <c r="P135" i="2"/>
  <c r="C141" i="2"/>
  <c r="K141" i="2"/>
  <c r="A149" i="2"/>
  <c r="I149" i="2"/>
  <c r="R149" i="2"/>
  <c r="B157" i="2"/>
  <c r="K157" i="2"/>
  <c r="Y157" i="2"/>
  <c r="U12" i="2"/>
  <c r="Y212" i="2"/>
  <c r="M212" i="2"/>
  <c r="E212" i="2"/>
  <c r="S212" i="2"/>
  <c r="K212" i="2"/>
  <c r="C212" i="2"/>
  <c r="R212" i="2"/>
  <c r="H212" i="2"/>
  <c r="Q212" i="2"/>
  <c r="G212" i="2"/>
  <c r="P212" i="2"/>
  <c r="F212" i="2"/>
  <c r="O212" i="2"/>
  <c r="D212" i="2"/>
  <c r="N212" i="2"/>
  <c r="B212" i="2"/>
  <c r="L212" i="2"/>
  <c r="A212" i="2"/>
  <c r="Z212" i="2"/>
  <c r="J212" i="2"/>
  <c r="I212" i="2"/>
  <c r="N220" i="2"/>
  <c r="F220" i="2"/>
  <c r="U220" i="2"/>
  <c r="L220" i="2"/>
  <c r="D220" i="2"/>
  <c r="S220" i="2"/>
  <c r="I220" i="2"/>
  <c r="R220" i="2"/>
  <c r="H220" i="2"/>
  <c r="Q220" i="2"/>
  <c r="G220" i="2"/>
  <c r="P220" i="2"/>
  <c r="E220" i="2"/>
  <c r="Z220" i="2"/>
  <c r="O220" i="2"/>
  <c r="C220" i="2"/>
  <c r="Y220" i="2"/>
  <c r="M220" i="2"/>
  <c r="B220" i="2"/>
  <c r="K220" i="2"/>
  <c r="A220" i="2"/>
  <c r="J220" i="2"/>
  <c r="N228" i="2"/>
  <c r="F228" i="2"/>
  <c r="U228" i="2"/>
  <c r="L228" i="2"/>
  <c r="D228" i="2"/>
  <c r="K228" i="2"/>
  <c r="A228" i="2"/>
  <c r="J228" i="2"/>
  <c r="S228" i="2"/>
  <c r="I228" i="2"/>
  <c r="R228" i="2"/>
  <c r="H228" i="2"/>
  <c r="Q228" i="2"/>
  <c r="G228" i="2"/>
  <c r="P228" i="2"/>
  <c r="E228" i="2"/>
  <c r="Z228" i="2"/>
  <c r="O228" i="2"/>
  <c r="C228" i="2"/>
  <c r="Y228" i="2"/>
  <c r="M228" i="2"/>
  <c r="B228" i="2"/>
  <c r="N205" i="2"/>
  <c r="F205" i="2"/>
  <c r="M205" i="2"/>
  <c r="E205" i="2"/>
  <c r="U205" i="2"/>
  <c r="L205" i="2"/>
  <c r="D205" i="2"/>
  <c r="S205" i="2"/>
  <c r="K205" i="2"/>
  <c r="C205" i="2"/>
  <c r="R205" i="2"/>
  <c r="J205" i="2"/>
  <c r="B205" i="2"/>
  <c r="Z205" i="2"/>
  <c r="Q205" i="2"/>
  <c r="I205" i="2"/>
  <c r="A205" i="2"/>
  <c r="Y205" i="2"/>
  <c r="P205" i="2"/>
  <c r="H205" i="2"/>
  <c r="O205" i="2"/>
  <c r="G205" i="2"/>
  <c r="O213" i="2"/>
  <c r="G213" i="2"/>
  <c r="Y213" i="2"/>
  <c r="M213" i="2"/>
  <c r="E213" i="2"/>
  <c r="R213" i="2"/>
  <c r="H213" i="2"/>
  <c r="Q213" i="2"/>
  <c r="F213" i="2"/>
  <c r="P213" i="2"/>
  <c r="D213" i="2"/>
  <c r="N213" i="2"/>
  <c r="C213" i="2"/>
  <c r="L213" i="2"/>
  <c r="B213" i="2"/>
  <c r="Z213" i="2"/>
  <c r="K213" i="2"/>
  <c r="A213" i="2"/>
  <c r="J213" i="2"/>
  <c r="S213" i="2"/>
  <c r="I213" i="2"/>
  <c r="M221" i="2"/>
  <c r="E221" i="2"/>
  <c r="S221" i="2"/>
  <c r="K221" i="2"/>
  <c r="C221" i="2"/>
  <c r="P221" i="2"/>
  <c r="F221" i="2"/>
  <c r="Z221" i="2"/>
  <c r="O221" i="2"/>
  <c r="D221" i="2"/>
  <c r="Y221" i="2"/>
  <c r="N221" i="2"/>
  <c r="B221" i="2"/>
  <c r="L221" i="2"/>
  <c r="A221" i="2"/>
  <c r="J221" i="2"/>
  <c r="U221" i="2"/>
  <c r="I221" i="2"/>
  <c r="R221" i="2"/>
  <c r="H221" i="2"/>
  <c r="Q221" i="2"/>
  <c r="G221" i="2"/>
  <c r="M229" i="2"/>
  <c r="E229" i="2"/>
  <c r="S229" i="2"/>
  <c r="K229" i="2"/>
  <c r="C229" i="2"/>
  <c r="R229" i="2"/>
  <c r="H229" i="2"/>
  <c r="Q229" i="2"/>
  <c r="G229" i="2"/>
  <c r="P229" i="2"/>
  <c r="F229" i="2"/>
  <c r="Z229" i="2"/>
  <c r="O229" i="2"/>
  <c r="D229" i="2"/>
  <c r="Y229" i="2"/>
  <c r="N229" i="2"/>
  <c r="B229" i="2"/>
  <c r="L229" i="2"/>
  <c r="A229" i="2"/>
  <c r="J229" i="2"/>
  <c r="U229" i="2"/>
  <c r="I229" i="2"/>
  <c r="U214" i="2"/>
  <c r="M206" i="2"/>
  <c r="E206" i="2"/>
  <c r="U206" i="2"/>
  <c r="L206" i="2"/>
  <c r="D206" i="2"/>
  <c r="S206" i="2"/>
  <c r="K206" i="2"/>
  <c r="C206" i="2"/>
  <c r="R206" i="2"/>
  <c r="J206" i="2"/>
  <c r="B206" i="2"/>
  <c r="Z206" i="2"/>
  <c r="Q206" i="2"/>
  <c r="I206" i="2"/>
  <c r="A206" i="2"/>
  <c r="Y206" i="2"/>
  <c r="P206" i="2"/>
  <c r="H206" i="2"/>
  <c r="O206" i="2"/>
  <c r="G206" i="2"/>
  <c r="N206" i="2"/>
  <c r="F206" i="2"/>
  <c r="Q214" i="2"/>
  <c r="I214" i="2"/>
  <c r="A214" i="2"/>
  <c r="O214" i="2"/>
  <c r="G214" i="2"/>
  <c r="R214" i="2"/>
  <c r="F214" i="2"/>
  <c r="P214" i="2"/>
  <c r="E214" i="2"/>
  <c r="N214" i="2"/>
  <c r="D214" i="2"/>
  <c r="M214" i="2"/>
  <c r="C214" i="2"/>
  <c r="Z214" i="2"/>
  <c r="L214" i="2"/>
  <c r="B214" i="2"/>
  <c r="Y214" i="2"/>
  <c r="K214" i="2"/>
  <c r="J214" i="2"/>
  <c r="S214" i="2"/>
  <c r="H214" i="2"/>
  <c r="U222" i="2"/>
  <c r="L222" i="2"/>
  <c r="D222" i="2"/>
  <c r="R222" i="2"/>
  <c r="J222" i="2"/>
  <c r="B222" i="2"/>
  <c r="M222" i="2"/>
  <c r="A222" i="2"/>
  <c r="K222" i="2"/>
  <c r="I222" i="2"/>
  <c r="S222" i="2"/>
  <c r="H222" i="2"/>
  <c r="Q222" i="2"/>
  <c r="G222" i="2"/>
  <c r="P222" i="2"/>
  <c r="F222" i="2"/>
  <c r="Z222" i="2"/>
  <c r="O222" i="2"/>
  <c r="E222" i="2"/>
  <c r="Y222" i="2"/>
  <c r="N222" i="2"/>
  <c r="C222" i="2"/>
  <c r="U230" i="2"/>
  <c r="L230" i="2"/>
  <c r="D230" i="2"/>
  <c r="R230" i="2"/>
  <c r="J230" i="2"/>
  <c r="B230" i="2"/>
  <c r="Z230" i="2"/>
  <c r="O230" i="2"/>
  <c r="E230" i="2"/>
  <c r="Y230" i="2"/>
  <c r="N230" i="2"/>
  <c r="C230" i="2"/>
  <c r="M230" i="2"/>
  <c r="A230" i="2"/>
  <c r="K230" i="2"/>
  <c r="I230" i="2"/>
  <c r="S230" i="2"/>
  <c r="H230" i="2"/>
  <c r="Q230" i="2"/>
  <c r="G230" i="2"/>
  <c r="P230" i="2"/>
  <c r="F230" i="2"/>
  <c r="U207" i="2"/>
  <c r="L207" i="2"/>
  <c r="D207" i="2"/>
  <c r="S207" i="2"/>
  <c r="K207" i="2"/>
  <c r="C207" i="2"/>
  <c r="R207" i="2"/>
  <c r="J207" i="2"/>
  <c r="B207" i="2"/>
  <c r="Z207" i="2"/>
  <c r="Q207" i="2"/>
  <c r="I207" i="2"/>
  <c r="A207" i="2"/>
  <c r="Y207" i="2"/>
  <c r="P207" i="2"/>
  <c r="H207" i="2"/>
  <c r="O207" i="2"/>
  <c r="G207" i="2"/>
  <c r="N207" i="2"/>
  <c r="F207" i="2"/>
  <c r="M207" i="2"/>
  <c r="E207" i="2"/>
  <c r="S215" i="2"/>
  <c r="K215" i="2"/>
  <c r="C215" i="2"/>
  <c r="Z215" i="2"/>
  <c r="Q215" i="2"/>
  <c r="I215" i="2"/>
  <c r="A215" i="2"/>
  <c r="P215" i="2"/>
  <c r="F215" i="2"/>
  <c r="O215" i="2"/>
  <c r="E215" i="2"/>
  <c r="Y215" i="2"/>
  <c r="N215" i="2"/>
  <c r="D215" i="2"/>
  <c r="M215" i="2"/>
  <c r="B215" i="2"/>
  <c r="L215" i="2"/>
  <c r="J215" i="2"/>
  <c r="U215" i="2"/>
  <c r="H215" i="2"/>
  <c r="R215" i="2"/>
  <c r="G215" i="2"/>
  <c r="S223" i="2"/>
  <c r="K223" i="2"/>
  <c r="C223" i="2"/>
  <c r="Z223" i="2"/>
  <c r="Q223" i="2"/>
  <c r="I223" i="2"/>
  <c r="A223" i="2"/>
  <c r="U223" i="2"/>
  <c r="H223" i="2"/>
  <c r="R223" i="2"/>
  <c r="G223" i="2"/>
  <c r="P223" i="2"/>
  <c r="F223" i="2"/>
  <c r="O223" i="2"/>
  <c r="E223" i="2"/>
  <c r="Y223" i="2"/>
  <c r="N223" i="2"/>
  <c r="D223" i="2"/>
  <c r="M223" i="2"/>
  <c r="B223" i="2"/>
  <c r="L223" i="2"/>
  <c r="J223" i="2"/>
  <c r="S231" i="2"/>
  <c r="K231" i="2"/>
  <c r="C231" i="2"/>
  <c r="Z231" i="2"/>
  <c r="Q231" i="2"/>
  <c r="I231" i="2"/>
  <c r="A231" i="2"/>
  <c r="L231" i="2"/>
  <c r="J231" i="2"/>
  <c r="U231" i="2"/>
  <c r="H231" i="2"/>
  <c r="R231" i="2"/>
  <c r="G231" i="2"/>
  <c r="P231" i="2"/>
  <c r="F231" i="2"/>
  <c r="O231" i="2"/>
  <c r="E231" i="2"/>
  <c r="Y231" i="2"/>
  <c r="N231" i="2"/>
  <c r="D231" i="2"/>
  <c r="M231" i="2"/>
  <c r="B231" i="2"/>
  <c r="U211" i="2"/>
  <c r="Z208" i="2"/>
  <c r="Q208" i="2"/>
  <c r="I208" i="2"/>
  <c r="L208" i="2"/>
  <c r="C208" i="2"/>
  <c r="U208" i="2"/>
  <c r="K208" i="2"/>
  <c r="B208" i="2"/>
  <c r="S208" i="2"/>
  <c r="J208" i="2"/>
  <c r="A208" i="2"/>
  <c r="R208" i="2"/>
  <c r="H208" i="2"/>
  <c r="P208" i="2"/>
  <c r="G208" i="2"/>
  <c r="Y208" i="2"/>
  <c r="O208" i="2"/>
  <c r="F208" i="2"/>
  <c r="N208" i="2"/>
  <c r="E208" i="2"/>
  <c r="M208" i="2"/>
  <c r="D208" i="2"/>
  <c r="R216" i="2"/>
  <c r="J216" i="2"/>
  <c r="B216" i="2"/>
  <c r="Y216" i="2"/>
  <c r="P216" i="2"/>
  <c r="H216" i="2"/>
  <c r="M216" i="2"/>
  <c r="C216" i="2"/>
  <c r="L216" i="2"/>
  <c r="A216" i="2"/>
  <c r="K216" i="2"/>
  <c r="U216" i="2"/>
  <c r="I216" i="2"/>
  <c r="S216" i="2"/>
  <c r="G216" i="2"/>
  <c r="Q216" i="2"/>
  <c r="F216" i="2"/>
  <c r="O216" i="2"/>
  <c r="E216" i="2"/>
  <c r="Z216" i="2"/>
  <c r="N216" i="2"/>
  <c r="D216" i="2"/>
  <c r="R224" i="2"/>
  <c r="J224" i="2"/>
  <c r="B224" i="2"/>
  <c r="Y224" i="2"/>
  <c r="P224" i="2"/>
  <c r="H224" i="2"/>
  <c r="O224" i="2"/>
  <c r="E224" i="2"/>
  <c r="Z224" i="2"/>
  <c r="N224" i="2"/>
  <c r="D224" i="2"/>
  <c r="M224" i="2"/>
  <c r="C224" i="2"/>
  <c r="L224" i="2"/>
  <c r="A224" i="2"/>
  <c r="K224" i="2"/>
  <c r="U224" i="2"/>
  <c r="I224" i="2"/>
  <c r="S224" i="2"/>
  <c r="G224" i="2"/>
  <c r="Q224" i="2"/>
  <c r="F224" i="2"/>
  <c r="R232" i="2"/>
  <c r="J232" i="2"/>
  <c r="B232" i="2"/>
  <c r="Y232" i="2"/>
  <c r="P232" i="2"/>
  <c r="H232" i="2"/>
  <c r="S232" i="2"/>
  <c r="G232" i="2"/>
  <c r="Q232" i="2"/>
  <c r="F232" i="2"/>
  <c r="O232" i="2"/>
  <c r="E232" i="2"/>
  <c r="Z232" i="2"/>
  <c r="N232" i="2"/>
  <c r="D232" i="2"/>
  <c r="M232" i="2"/>
  <c r="C232" i="2"/>
  <c r="L232" i="2"/>
  <c r="A232" i="2"/>
  <c r="K232" i="2"/>
  <c r="U232" i="2"/>
  <c r="I232" i="2"/>
  <c r="Y209" i="2"/>
  <c r="P209" i="2"/>
  <c r="H209" i="2"/>
  <c r="N209" i="2"/>
  <c r="E209" i="2"/>
  <c r="M209" i="2"/>
  <c r="D209" i="2"/>
  <c r="L209" i="2"/>
  <c r="C209" i="2"/>
  <c r="U209" i="2"/>
  <c r="K209" i="2"/>
  <c r="B209" i="2"/>
  <c r="S209" i="2"/>
  <c r="J209" i="2"/>
  <c r="A209" i="2"/>
  <c r="R209" i="2"/>
  <c r="I209" i="2"/>
  <c r="Q209" i="2"/>
  <c r="G209" i="2"/>
  <c r="Z209" i="2"/>
  <c r="O209" i="2"/>
  <c r="F209" i="2"/>
  <c r="Z217" i="2"/>
  <c r="Q217" i="2"/>
  <c r="I217" i="2"/>
  <c r="A217" i="2"/>
  <c r="O217" i="2"/>
  <c r="G217" i="2"/>
  <c r="U217" i="2"/>
  <c r="J217" i="2"/>
  <c r="S217" i="2"/>
  <c r="H217" i="2"/>
  <c r="R217" i="2"/>
  <c r="F217" i="2"/>
  <c r="P217" i="2"/>
  <c r="E217" i="2"/>
  <c r="N217" i="2"/>
  <c r="D217" i="2"/>
  <c r="Y217" i="2"/>
  <c r="M217" i="2"/>
  <c r="C217" i="2"/>
  <c r="L217" i="2"/>
  <c r="B217" i="2"/>
  <c r="K217" i="2"/>
  <c r="Z225" i="2"/>
  <c r="Q225" i="2"/>
  <c r="I225" i="2"/>
  <c r="A225" i="2"/>
  <c r="O225" i="2"/>
  <c r="G225" i="2"/>
  <c r="L225" i="2"/>
  <c r="B225" i="2"/>
  <c r="K225" i="2"/>
  <c r="U225" i="2"/>
  <c r="J225" i="2"/>
  <c r="S225" i="2"/>
  <c r="H225" i="2"/>
  <c r="R225" i="2"/>
  <c r="F225" i="2"/>
  <c r="P225" i="2"/>
  <c r="E225" i="2"/>
  <c r="N225" i="2"/>
  <c r="D225" i="2"/>
  <c r="Y225" i="2"/>
  <c r="M225" i="2"/>
  <c r="C225" i="2"/>
  <c r="Z233" i="2"/>
  <c r="Q233" i="2"/>
  <c r="I233" i="2"/>
  <c r="A233" i="2"/>
  <c r="O233" i="2"/>
  <c r="G233" i="2"/>
  <c r="N233" i="2"/>
  <c r="D233" i="2"/>
  <c r="Y233" i="2"/>
  <c r="M233" i="2"/>
  <c r="C233" i="2"/>
  <c r="L233" i="2"/>
  <c r="B233" i="2"/>
  <c r="K233" i="2"/>
  <c r="U233" i="2"/>
  <c r="J233" i="2"/>
  <c r="S233" i="2"/>
  <c r="H233" i="2"/>
  <c r="R233" i="2"/>
  <c r="F233" i="2"/>
  <c r="P233" i="2"/>
  <c r="E233" i="2"/>
  <c r="U212" i="2"/>
  <c r="Q210" i="2"/>
  <c r="I210" i="2"/>
  <c r="A210" i="2"/>
  <c r="O210" i="2"/>
  <c r="G210" i="2"/>
  <c r="J210" i="2"/>
  <c r="S210" i="2"/>
  <c r="H210" i="2"/>
  <c r="R210" i="2"/>
  <c r="F210" i="2"/>
  <c r="P210" i="2"/>
  <c r="E210" i="2"/>
  <c r="N210" i="2"/>
  <c r="D210" i="2"/>
  <c r="M210" i="2"/>
  <c r="C210" i="2"/>
  <c r="Z210" i="2"/>
  <c r="L210" i="2"/>
  <c r="B210" i="2"/>
  <c r="Y210" i="2"/>
  <c r="K210" i="2"/>
  <c r="Y218" i="2"/>
  <c r="P218" i="2"/>
  <c r="H218" i="2"/>
  <c r="N218" i="2"/>
  <c r="F218" i="2"/>
  <c r="Q218" i="2"/>
  <c r="E218" i="2"/>
  <c r="O218" i="2"/>
  <c r="D218" i="2"/>
  <c r="Z218" i="2"/>
  <c r="M218" i="2"/>
  <c r="C218" i="2"/>
  <c r="L218" i="2"/>
  <c r="B218" i="2"/>
  <c r="K218" i="2"/>
  <c r="A218" i="2"/>
  <c r="U218" i="2"/>
  <c r="J218" i="2"/>
  <c r="S218" i="2"/>
  <c r="I218" i="2"/>
  <c r="R218" i="2"/>
  <c r="G218" i="2"/>
  <c r="Y226" i="2"/>
  <c r="P226" i="2"/>
  <c r="H226" i="2"/>
  <c r="N226" i="2"/>
  <c r="F226" i="2"/>
  <c r="S226" i="2"/>
  <c r="I226" i="2"/>
  <c r="R226" i="2"/>
  <c r="G226" i="2"/>
  <c r="Q226" i="2"/>
  <c r="E226" i="2"/>
  <c r="O226" i="2"/>
  <c r="D226" i="2"/>
  <c r="Z226" i="2"/>
  <c r="M226" i="2"/>
  <c r="C226" i="2"/>
  <c r="L226" i="2"/>
  <c r="B226" i="2"/>
  <c r="K226" i="2"/>
  <c r="A226" i="2"/>
  <c r="U226" i="2"/>
  <c r="J226" i="2"/>
  <c r="Y234" i="2"/>
  <c r="P234" i="2"/>
  <c r="H234" i="2"/>
  <c r="N234" i="2"/>
  <c r="F234" i="2"/>
  <c r="K234" i="2"/>
  <c r="A234" i="2"/>
  <c r="U234" i="2"/>
  <c r="J234" i="2"/>
  <c r="S234" i="2"/>
  <c r="I234" i="2"/>
  <c r="R234" i="2"/>
  <c r="G234" i="2"/>
  <c r="Q234" i="2"/>
  <c r="E234" i="2"/>
  <c r="O234" i="2"/>
  <c r="D234" i="2"/>
  <c r="Z234" i="2"/>
  <c r="M234" i="2"/>
  <c r="C234" i="2"/>
  <c r="L234" i="2"/>
  <c r="B234" i="2"/>
  <c r="D26" i="21"/>
  <c r="D24" i="21"/>
  <c r="D22" i="21"/>
  <c r="D20" i="21"/>
  <c r="D18" i="21"/>
  <c r="D16" i="21"/>
  <c r="D14" i="21"/>
  <c r="D12" i="21"/>
  <c r="D10" i="21"/>
  <c r="D8" i="21"/>
  <c r="D6" i="21"/>
  <c r="C26" i="21"/>
  <c r="C24" i="21"/>
  <c r="C22" i="21"/>
  <c r="C20" i="21"/>
  <c r="C18" i="21"/>
  <c r="C16" i="21"/>
  <c r="C14" i="21"/>
  <c r="C12" i="21"/>
  <c r="C10" i="21"/>
  <c r="C8" i="21"/>
  <c r="C6" i="21"/>
  <c r="D27" i="21"/>
  <c r="D25" i="21"/>
  <c r="D23" i="21"/>
  <c r="D21" i="21"/>
  <c r="D19" i="21"/>
  <c r="D17" i="21"/>
  <c r="D15" i="21"/>
  <c r="D13" i="21"/>
  <c r="D11" i="21"/>
  <c r="D9" i="21"/>
  <c r="D7" i="21"/>
  <c r="D5" i="21"/>
  <c r="C27" i="21"/>
  <c r="C25" i="21"/>
  <c r="C23" i="21"/>
  <c r="C21" i="21"/>
  <c r="C19" i="21"/>
  <c r="C17" i="21"/>
  <c r="C15" i="21"/>
  <c r="C13" i="21"/>
  <c r="C11" i="21"/>
  <c r="C9" i="21"/>
  <c r="C7" i="21"/>
  <c r="C5" i="21"/>
  <c r="S21" i="13"/>
  <c r="U68" i="13"/>
  <c r="W92" i="13"/>
  <c r="X215" i="13"/>
  <c r="U215" i="13"/>
  <c r="P215" i="13"/>
  <c r="R215" i="13"/>
  <c r="O215" i="13"/>
  <c r="S215" i="13"/>
  <c r="L215" i="13"/>
  <c r="K301" i="13"/>
  <c r="AJ261" i="13"/>
  <c r="AD261" i="13"/>
  <c r="AE261" i="13"/>
  <c r="AH261" i="13"/>
  <c r="AC261" i="13"/>
  <c r="AA261" i="13"/>
  <c r="AB261" i="13"/>
  <c r="Y261" i="13"/>
  <c r="W261" i="13"/>
  <c r="X261" i="13"/>
  <c r="Z261" i="13"/>
  <c r="S261" i="13"/>
  <c r="V261" i="13"/>
  <c r="O261" i="13"/>
  <c r="Q261" i="13"/>
  <c r="L261" i="13"/>
  <c r="U261" i="13"/>
  <c r="T261" i="13"/>
  <c r="R261" i="13"/>
  <c r="K261" i="13"/>
  <c r="AJ237" i="13"/>
  <c r="AD237" i="13"/>
  <c r="AE237" i="13"/>
  <c r="AB237" i="13"/>
  <c r="AH237" i="13"/>
  <c r="AC237" i="13"/>
  <c r="AA237" i="13"/>
  <c r="X237" i="13"/>
  <c r="Z237" i="13"/>
  <c r="W237" i="13"/>
  <c r="R237" i="13"/>
  <c r="O237" i="13"/>
  <c r="N237" i="13"/>
  <c r="L237" i="13"/>
  <c r="U237" i="13"/>
  <c r="Q237" i="13"/>
  <c r="V237" i="13"/>
  <c r="K237" i="13"/>
  <c r="AJ205" i="13"/>
  <c r="AH205" i="13"/>
  <c r="AE205" i="13"/>
  <c r="AD205" i="13"/>
  <c r="AB205" i="13"/>
  <c r="Z205" i="13"/>
  <c r="AA205" i="13"/>
  <c r="AC205" i="13"/>
  <c r="X205" i="13"/>
  <c r="Y205" i="13"/>
  <c r="U205" i="13"/>
  <c r="O205" i="13"/>
  <c r="T205" i="13"/>
  <c r="L205" i="13"/>
  <c r="V205" i="13"/>
  <c r="P205" i="13"/>
  <c r="K205" i="13"/>
  <c r="AJ173" i="13"/>
  <c r="AB173" i="13"/>
  <c r="AA173" i="13"/>
  <c r="AD173" i="13"/>
  <c r="AE173" i="13"/>
  <c r="AH173" i="13"/>
  <c r="Y173" i="13"/>
  <c r="X173" i="13"/>
  <c r="AC173" i="13"/>
  <c r="W173" i="13"/>
  <c r="R173" i="13"/>
  <c r="Z173" i="13"/>
  <c r="O173" i="13"/>
  <c r="U173" i="13"/>
  <c r="L173" i="13"/>
  <c r="T173" i="13"/>
  <c r="Q173" i="13"/>
  <c r="N173" i="13"/>
  <c r="K173" i="13"/>
  <c r="AJ141" i="13"/>
  <c r="AH141" i="13"/>
  <c r="AD141" i="13"/>
  <c r="AC141" i="13"/>
  <c r="AB141" i="13"/>
  <c r="AE141" i="13"/>
  <c r="X141" i="13"/>
  <c r="AA141" i="13"/>
  <c r="Y141" i="13"/>
  <c r="W141" i="13"/>
  <c r="U141" i="13"/>
  <c r="O141" i="13"/>
  <c r="Z141" i="13"/>
  <c r="L141" i="13"/>
  <c r="R141" i="13"/>
  <c r="P141" i="13"/>
  <c r="T141" i="13"/>
  <c r="N141" i="13"/>
  <c r="K141" i="13"/>
  <c r="AJ109" i="13"/>
  <c r="AH109" i="13"/>
  <c r="AC109" i="13"/>
  <c r="AE109" i="13"/>
  <c r="AB109" i="13"/>
  <c r="AA109" i="13"/>
  <c r="X109" i="13"/>
  <c r="Z109" i="13"/>
  <c r="AD109" i="13"/>
  <c r="W109" i="13"/>
  <c r="R109" i="13"/>
  <c r="O109" i="13"/>
  <c r="S109" i="13"/>
  <c r="L109" i="13"/>
  <c r="Y109" i="13"/>
  <c r="V109" i="13"/>
  <c r="T109" i="13"/>
  <c r="Q109" i="13"/>
  <c r="N109" i="13"/>
  <c r="K109" i="13"/>
  <c r="AJ77" i="13"/>
  <c r="AE77" i="13"/>
  <c r="AH77" i="13"/>
  <c r="AB77" i="13"/>
  <c r="X77" i="13"/>
  <c r="AD77" i="13"/>
  <c r="AC77" i="13"/>
  <c r="AA77" i="13"/>
  <c r="Z77" i="13"/>
  <c r="W77" i="13"/>
  <c r="Y77" i="13"/>
  <c r="U77" i="13"/>
  <c r="Q77" i="13"/>
  <c r="O77" i="13"/>
  <c r="L77" i="13"/>
  <c r="V77" i="13"/>
  <c r="S77" i="13"/>
  <c r="P77" i="13"/>
  <c r="N77" i="13"/>
  <c r="K77" i="13"/>
  <c r="AJ45" i="13"/>
  <c r="AH45" i="13"/>
  <c r="AE45" i="13"/>
  <c r="AD45" i="13"/>
  <c r="AC45" i="13"/>
  <c r="AB45" i="13"/>
  <c r="X45" i="13"/>
  <c r="AA45" i="13"/>
  <c r="Y45" i="13"/>
  <c r="W45" i="13"/>
  <c r="R45" i="13"/>
  <c r="O45" i="13"/>
  <c r="Q45" i="13"/>
  <c r="L45" i="13"/>
  <c r="S45" i="13"/>
  <c r="N45" i="13"/>
  <c r="K45" i="13"/>
  <c r="AJ13" i="13"/>
  <c r="AE13" i="13"/>
  <c r="AH13" i="13"/>
  <c r="AB13" i="13"/>
  <c r="X13" i="13"/>
  <c r="Y13" i="13"/>
  <c r="AD13" i="13"/>
  <c r="AC13" i="13"/>
  <c r="Z13" i="13"/>
  <c r="W13" i="13"/>
  <c r="AA13" i="13"/>
  <c r="Q13" i="13"/>
  <c r="O13" i="13"/>
  <c r="L13" i="13"/>
  <c r="P13" i="13"/>
  <c r="U13" i="13"/>
  <c r="S13" i="13"/>
  <c r="R13" i="13"/>
  <c r="K13" i="13"/>
  <c r="M279" i="13"/>
  <c r="Q157" i="13"/>
  <c r="R253" i="13"/>
  <c r="U109" i="13"/>
  <c r="V278" i="13"/>
  <c r="AJ300" i="13"/>
  <c r="AD300" i="13"/>
  <c r="AH300" i="13"/>
  <c r="AE300" i="13"/>
  <c r="AB300" i="13"/>
  <c r="AC300" i="13"/>
  <c r="X300" i="13"/>
  <c r="AA300" i="13"/>
  <c r="Y300" i="13"/>
  <c r="W300" i="13"/>
  <c r="T300" i="13"/>
  <c r="Z300" i="13"/>
  <c r="V300" i="13"/>
  <c r="R300" i="13"/>
  <c r="O300" i="13"/>
  <c r="S300" i="13"/>
  <c r="Q300" i="13"/>
  <c r="U300" i="13"/>
  <c r="N300" i="13"/>
  <c r="K300" i="13"/>
  <c r="AD260" i="13"/>
  <c r="AH260" i="13"/>
  <c r="AJ260" i="13"/>
  <c r="AE260" i="13"/>
  <c r="AC260" i="13"/>
  <c r="AB260" i="13"/>
  <c r="AA260" i="13"/>
  <c r="Z260" i="13"/>
  <c r="X260" i="13"/>
  <c r="W260" i="13"/>
  <c r="T260" i="13"/>
  <c r="Y260" i="13"/>
  <c r="V260" i="13"/>
  <c r="O260" i="13"/>
  <c r="U260" i="13"/>
  <c r="R260" i="13"/>
  <c r="K260" i="13"/>
  <c r="P260" i="13"/>
  <c r="AD244" i="13"/>
  <c r="AH244" i="13"/>
  <c r="AE244" i="13"/>
  <c r="AJ244" i="13"/>
  <c r="AB244" i="13"/>
  <c r="X244" i="13"/>
  <c r="AC244" i="13"/>
  <c r="Y244" i="13"/>
  <c r="W244" i="13"/>
  <c r="T244" i="13"/>
  <c r="V244" i="13"/>
  <c r="O244" i="13"/>
  <c r="U244" i="13"/>
  <c r="P244" i="13"/>
  <c r="R244" i="13"/>
  <c r="K244" i="13"/>
  <c r="AA244" i="13"/>
  <c r="AD196" i="13"/>
  <c r="AH196" i="13"/>
  <c r="AE196" i="13"/>
  <c r="AJ196" i="13"/>
  <c r="AC196" i="13"/>
  <c r="AB196" i="13"/>
  <c r="AA196" i="13"/>
  <c r="Z196" i="13"/>
  <c r="X196" i="13"/>
  <c r="T196" i="13"/>
  <c r="V196" i="13"/>
  <c r="Y196" i="13"/>
  <c r="W196" i="13"/>
  <c r="O196" i="13"/>
  <c r="U196" i="13"/>
  <c r="S196" i="13"/>
  <c r="K196" i="13"/>
  <c r="P196" i="13"/>
  <c r="AD156" i="13"/>
  <c r="AJ156" i="13"/>
  <c r="AH156" i="13"/>
  <c r="AE156" i="13"/>
  <c r="AA156" i="13"/>
  <c r="Z156" i="13"/>
  <c r="AC156" i="13"/>
  <c r="AB156" i="13"/>
  <c r="Y156" i="13"/>
  <c r="X156" i="13"/>
  <c r="T156" i="13"/>
  <c r="V156" i="13"/>
  <c r="S156" i="13"/>
  <c r="O156" i="13"/>
  <c r="R156" i="13"/>
  <c r="W156" i="13"/>
  <c r="U156" i="13"/>
  <c r="P156" i="13"/>
  <c r="K156" i="13"/>
  <c r="AD124" i="13"/>
  <c r="AH124" i="13"/>
  <c r="AE124" i="13"/>
  <c r="AA124" i="13"/>
  <c r="Z124" i="13"/>
  <c r="AJ124" i="13"/>
  <c r="AC124" i="13"/>
  <c r="Y124" i="13"/>
  <c r="W124" i="13"/>
  <c r="T124" i="13"/>
  <c r="AB124" i="13"/>
  <c r="V124" i="13"/>
  <c r="X124" i="13"/>
  <c r="S124" i="13"/>
  <c r="O124" i="13"/>
  <c r="R124" i="13"/>
  <c r="Q124" i="13"/>
  <c r="K124" i="13"/>
  <c r="AD116" i="13"/>
  <c r="AJ116" i="13"/>
  <c r="AE116" i="13"/>
  <c r="AA116" i="13"/>
  <c r="AC116" i="13"/>
  <c r="Z116" i="13"/>
  <c r="AB116" i="13"/>
  <c r="Y116" i="13"/>
  <c r="W116" i="13"/>
  <c r="T116" i="13"/>
  <c r="X116" i="13"/>
  <c r="V116" i="13"/>
  <c r="O116" i="13"/>
  <c r="U116" i="13"/>
  <c r="AH116" i="13"/>
  <c r="N116" i="13"/>
  <c r="P116" i="13"/>
  <c r="S116" i="13"/>
  <c r="K116" i="13"/>
  <c r="AH84" i="13"/>
  <c r="AD84" i="13"/>
  <c r="AA84" i="13"/>
  <c r="Z84" i="13"/>
  <c r="AC84" i="13"/>
  <c r="AE84" i="13"/>
  <c r="T84" i="13"/>
  <c r="V84" i="13"/>
  <c r="Y84" i="13"/>
  <c r="Q84" i="13"/>
  <c r="W84" i="13"/>
  <c r="O84" i="13"/>
  <c r="N84" i="13"/>
  <c r="R84" i="13"/>
  <c r="AB84" i="13"/>
  <c r="X84" i="13"/>
  <c r="K84" i="13"/>
  <c r="AJ84" i="13"/>
  <c r="S84" i="13"/>
  <c r="AD60" i="13"/>
  <c r="AJ60" i="13"/>
  <c r="AH60" i="13"/>
  <c r="AE60" i="13"/>
  <c r="AA60" i="13"/>
  <c r="Z60" i="13"/>
  <c r="AB60" i="13"/>
  <c r="Y60" i="13"/>
  <c r="AC60" i="13"/>
  <c r="X60" i="13"/>
  <c r="T60" i="13"/>
  <c r="V60" i="13"/>
  <c r="S60" i="13"/>
  <c r="O60" i="13"/>
  <c r="W60" i="13"/>
  <c r="K60" i="13"/>
  <c r="AD28" i="13"/>
  <c r="AJ28" i="13"/>
  <c r="AE28" i="13"/>
  <c r="AH28" i="13"/>
  <c r="AA28" i="13"/>
  <c r="Z28" i="13"/>
  <c r="Y28" i="13"/>
  <c r="T28" i="13"/>
  <c r="AC28" i="13"/>
  <c r="V28" i="13"/>
  <c r="AB28" i="13"/>
  <c r="S28" i="13"/>
  <c r="O28" i="13"/>
  <c r="R28" i="13"/>
  <c r="X28" i="13"/>
  <c r="P28" i="13"/>
  <c r="K28" i="13"/>
  <c r="M278" i="13"/>
  <c r="P213" i="13"/>
  <c r="P85" i="13"/>
  <c r="P60" i="13"/>
  <c r="Q231" i="13"/>
  <c r="Q156" i="13"/>
  <c r="R252" i="13"/>
  <c r="R77" i="13"/>
  <c r="R20" i="13"/>
  <c r="S287" i="13"/>
  <c r="V270" i="13"/>
  <c r="AJ299" i="13"/>
  <c r="AE299" i="13"/>
  <c r="Z299" i="13"/>
  <c r="AB299" i="13"/>
  <c r="AD299" i="13"/>
  <c r="AC299" i="13"/>
  <c r="AH299" i="13"/>
  <c r="X299" i="13"/>
  <c r="T299" i="13"/>
  <c r="V299" i="13"/>
  <c r="O299" i="13"/>
  <c r="W299" i="13"/>
  <c r="S299" i="13"/>
  <c r="Q299" i="13"/>
  <c r="U299" i="13"/>
  <c r="R299" i="13"/>
  <c r="N299" i="13"/>
  <c r="AA299" i="13"/>
  <c r="K299" i="13"/>
  <c r="Y299" i="13"/>
  <c r="P299" i="13"/>
  <c r="M299" i="13"/>
  <c r="AJ291" i="13"/>
  <c r="AH291" i="13"/>
  <c r="AB291" i="13"/>
  <c r="Z291" i="13"/>
  <c r="AD291" i="13"/>
  <c r="AC291" i="13"/>
  <c r="X291" i="13"/>
  <c r="AA291" i="13"/>
  <c r="T291" i="13"/>
  <c r="V291" i="13"/>
  <c r="Y291" i="13"/>
  <c r="R291" i="13"/>
  <c r="O291" i="13"/>
  <c r="S291" i="13"/>
  <c r="Q291" i="13"/>
  <c r="N291" i="13"/>
  <c r="K291" i="13"/>
  <c r="AE291" i="13"/>
  <c r="M291" i="13"/>
  <c r="AH283" i="13"/>
  <c r="Z283" i="13"/>
  <c r="AD283" i="13"/>
  <c r="AC283" i="13"/>
  <c r="AE283" i="13"/>
  <c r="AA283" i="13"/>
  <c r="AJ283" i="13"/>
  <c r="Y283" i="13"/>
  <c r="X283" i="13"/>
  <c r="T283" i="13"/>
  <c r="V283" i="13"/>
  <c r="O283" i="13"/>
  <c r="W283" i="13"/>
  <c r="R283" i="13"/>
  <c r="U283" i="13"/>
  <c r="Q283" i="13"/>
  <c r="N283" i="13"/>
  <c r="P283" i="13"/>
  <c r="K283" i="13"/>
  <c r="S283" i="13"/>
  <c r="M283" i="13"/>
  <c r="AJ275" i="13"/>
  <c r="Z275" i="13"/>
  <c r="AB275" i="13"/>
  <c r="X275" i="13"/>
  <c r="AA275" i="13"/>
  <c r="AC275" i="13"/>
  <c r="T275" i="13"/>
  <c r="AH275" i="13"/>
  <c r="Y275" i="13"/>
  <c r="V275" i="13"/>
  <c r="O275" i="13"/>
  <c r="AD275" i="13"/>
  <c r="R275" i="13"/>
  <c r="Q275" i="13"/>
  <c r="AE275" i="13"/>
  <c r="N275" i="13"/>
  <c r="K275" i="13"/>
  <c r="W275" i="13"/>
  <c r="M275" i="13"/>
  <c r="AH267" i="13"/>
  <c r="AE267" i="13"/>
  <c r="AD267" i="13"/>
  <c r="Z267" i="13"/>
  <c r="AJ267" i="13"/>
  <c r="AC267" i="13"/>
  <c r="X267" i="13"/>
  <c r="T267" i="13"/>
  <c r="V267" i="13"/>
  <c r="AA267" i="13"/>
  <c r="U267" i="13"/>
  <c r="O267" i="13"/>
  <c r="W267" i="13"/>
  <c r="AB267" i="13"/>
  <c r="Q267" i="13"/>
  <c r="K267" i="13"/>
  <c r="S267" i="13"/>
  <c r="N267" i="13"/>
  <c r="M267" i="13"/>
  <c r="AE259" i="13"/>
  <c r="AH259" i="13"/>
  <c r="AB259" i="13"/>
  <c r="Z259" i="13"/>
  <c r="X259" i="13"/>
  <c r="AD259" i="13"/>
  <c r="T259" i="13"/>
  <c r="Y259" i="13"/>
  <c r="V259" i="13"/>
  <c r="AC259" i="13"/>
  <c r="AA259" i="13"/>
  <c r="AJ259" i="13"/>
  <c r="O259" i="13"/>
  <c r="Q259" i="13"/>
  <c r="U259" i="13"/>
  <c r="R259" i="13"/>
  <c r="K259" i="13"/>
  <c r="P259" i="13"/>
  <c r="N259" i="13"/>
  <c r="M259" i="13"/>
  <c r="AH251" i="13"/>
  <c r="AD251" i="13"/>
  <c r="AJ251" i="13"/>
  <c r="AE251" i="13"/>
  <c r="Z251" i="13"/>
  <c r="AC251" i="13"/>
  <c r="AA251" i="13"/>
  <c r="AB251" i="13"/>
  <c r="Y251" i="13"/>
  <c r="X251" i="13"/>
  <c r="T251" i="13"/>
  <c r="V251" i="13"/>
  <c r="S251" i="13"/>
  <c r="O251" i="13"/>
  <c r="W251" i="13"/>
  <c r="Q251" i="13"/>
  <c r="K251" i="13"/>
  <c r="M251" i="13"/>
  <c r="AH243" i="13"/>
  <c r="AE243" i="13"/>
  <c r="AJ243" i="13"/>
  <c r="Z243" i="13"/>
  <c r="AD243" i="13"/>
  <c r="AB243" i="13"/>
  <c r="X243" i="13"/>
  <c r="AC243" i="13"/>
  <c r="AA243" i="13"/>
  <c r="W243" i="13"/>
  <c r="T243" i="13"/>
  <c r="V243" i="13"/>
  <c r="O243" i="13"/>
  <c r="U243" i="13"/>
  <c r="S243" i="13"/>
  <c r="Q243" i="13"/>
  <c r="P243" i="13"/>
  <c r="Y243" i="13"/>
  <c r="R243" i="13"/>
  <c r="K243" i="13"/>
  <c r="M243" i="13"/>
  <c r="AJ235" i="13"/>
  <c r="AH235" i="13"/>
  <c r="Z235" i="13"/>
  <c r="AD235" i="13"/>
  <c r="X235" i="13"/>
  <c r="T235" i="13"/>
  <c r="W235" i="13"/>
  <c r="AE235" i="13"/>
  <c r="V235" i="13"/>
  <c r="AB235" i="13"/>
  <c r="Y235" i="13"/>
  <c r="O235" i="13"/>
  <c r="Q235" i="13"/>
  <c r="AC235" i="13"/>
  <c r="K235" i="13"/>
  <c r="AA235" i="13"/>
  <c r="S235" i="13"/>
  <c r="P235" i="13"/>
  <c r="M235" i="13"/>
  <c r="AJ227" i="13"/>
  <c r="AE227" i="13"/>
  <c r="AD227" i="13"/>
  <c r="AB227" i="13"/>
  <c r="Z227" i="13"/>
  <c r="AC227" i="13"/>
  <c r="X227" i="13"/>
  <c r="T227" i="13"/>
  <c r="AA227" i="13"/>
  <c r="W227" i="13"/>
  <c r="V227" i="13"/>
  <c r="R227" i="13"/>
  <c r="O227" i="13"/>
  <c r="AH227" i="13"/>
  <c r="Y227" i="13"/>
  <c r="Q227" i="13"/>
  <c r="K227" i="13"/>
  <c r="M227" i="13"/>
  <c r="AH219" i="13"/>
  <c r="AJ219" i="13"/>
  <c r="AE219" i="13"/>
  <c r="Z219" i="13"/>
  <c r="AC219" i="13"/>
  <c r="AA219" i="13"/>
  <c r="AD219" i="13"/>
  <c r="AB219" i="13"/>
  <c r="Y219" i="13"/>
  <c r="X219" i="13"/>
  <c r="T219" i="13"/>
  <c r="V219" i="13"/>
  <c r="W219" i="13"/>
  <c r="S219" i="13"/>
  <c r="O219" i="13"/>
  <c r="R219" i="13"/>
  <c r="U219" i="13"/>
  <c r="Q219" i="13"/>
  <c r="N219" i="13"/>
  <c r="P219" i="13"/>
  <c r="K219" i="13"/>
  <c r="M219" i="13"/>
  <c r="AJ211" i="13"/>
  <c r="AE211" i="13"/>
  <c r="AH211" i="13"/>
  <c r="AD211" i="13"/>
  <c r="Z211" i="13"/>
  <c r="AC211" i="13"/>
  <c r="X211" i="13"/>
  <c r="T211" i="13"/>
  <c r="V211" i="13"/>
  <c r="O211" i="13"/>
  <c r="S211" i="13"/>
  <c r="R211" i="13"/>
  <c r="Q211" i="13"/>
  <c r="AA211" i="13"/>
  <c r="N211" i="13"/>
  <c r="K211" i="13"/>
  <c r="AB211" i="13"/>
  <c r="Y211" i="13"/>
  <c r="M211" i="13"/>
  <c r="AH203" i="13"/>
  <c r="AE203" i="13"/>
  <c r="AJ203" i="13"/>
  <c r="Z203" i="13"/>
  <c r="AB203" i="13"/>
  <c r="AA203" i="13"/>
  <c r="X203" i="13"/>
  <c r="AD203" i="13"/>
  <c r="T203" i="13"/>
  <c r="Y203" i="13"/>
  <c r="V203" i="13"/>
  <c r="U203" i="13"/>
  <c r="O203" i="13"/>
  <c r="Q203" i="13"/>
  <c r="K203" i="13"/>
  <c r="R203" i="13"/>
  <c r="N203" i="13"/>
  <c r="S203" i="13"/>
  <c r="M203" i="13"/>
  <c r="AH195" i="13"/>
  <c r="AE195" i="13"/>
  <c r="AD195" i="13"/>
  <c r="AJ195" i="13"/>
  <c r="AB195" i="13"/>
  <c r="Z195" i="13"/>
  <c r="AC195" i="13"/>
  <c r="X195" i="13"/>
  <c r="T195" i="13"/>
  <c r="AA195" i="13"/>
  <c r="V195" i="13"/>
  <c r="W195" i="13"/>
  <c r="O195" i="13"/>
  <c r="Q195" i="13"/>
  <c r="S195" i="13"/>
  <c r="Y195" i="13"/>
  <c r="K195" i="13"/>
  <c r="P195" i="13"/>
  <c r="N195" i="13"/>
  <c r="M195" i="13"/>
  <c r="AH187" i="13"/>
  <c r="AJ187" i="13"/>
  <c r="AD187" i="13"/>
  <c r="AE187" i="13"/>
  <c r="Z187" i="13"/>
  <c r="AC187" i="13"/>
  <c r="AB187" i="13"/>
  <c r="AA187" i="13"/>
  <c r="Y187" i="13"/>
  <c r="X187" i="13"/>
  <c r="T187" i="13"/>
  <c r="V187" i="13"/>
  <c r="S187" i="13"/>
  <c r="O187" i="13"/>
  <c r="Q187" i="13"/>
  <c r="W187" i="13"/>
  <c r="K187" i="13"/>
  <c r="R187" i="13"/>
  <c r="M187" i="13"/>
  <c r="AH179" i="13"/>
  <c r="Z179" i="13"/>
  <c r="AJ179" i="13"/>
  <c r="AE179" i="13"/>
  <c r="AC179" i="13"/>
  <c r="X179" i="13"/>
  <c r="AB179" i="13"/>
  <c r="W179" i="13"/>
  <c r="T179" i="13"/>
  <c r="AD179" i="13"/>
  <c r="V179" i="13"/>
  <c r="Y179" i="13"/>
  <c r="O179" i="13"/>
  <c r="U179" i="13"/>
  <c r="AA179" i="13"/>
  <c r="S179" i="13"/>
  <c r="Q179" i="13"/>
  <c r="P179" i="13"/>
  <c r="K179" i="13"/>
  <c r="M179" i="13"/>
  <c r="AH171" i="13"/>
  <c r="AJ171" i="13"/>
  <c r="Z171" i="13"/>
  <c r="AD171" i="13"/>
  <c r="AB171" i="13"/>
  <c r="X171" i="13"/>
  <c r="T171" i="13"/>
  <c r="AC171" i="13"/>
  <c r="W171" i="13"/>
  <c r="AA171" i="13"/>
  <c r="V171" i="13"/>
  <c r="O171" i="13"/>
  <c r="Y171" i="13"/>
  <c r="Q171" i="13"/>
  <c r="AE171" i="13"/>
  <c r="N171" i="13"/>
  <c r="K171" i="13"/>
  <c r="R171" i="13"/>
  <c r="P171" i="13"/>
  <c r="M171" i="13"/>
  <c r="AJ163" i="13"/>
  <c r="AD163" i="13"/>
  <c r="AB163" i="13"/>
  <c r="AA163" i="13"/>
  <c r="Z163" i="13"/>
  <c r="AH163" i="13"/>
  <c r="AE163" i="13"/>
  <c r="AC163" i="13"/>
  <c r="X163" i="13"/>
  <c r="T163" i="13"/>
  <c r="W163" i="13"/>
  <c r="V163" i="13"/>
  <c r="Y163" i="13"/>
  <c r="R163" i="13"/>
  <c r="O163" i="13"/>
  <c r="Q163" i="13"/>
  <c r="S163" i="13"/>
  <c r="K163" i="13"/>
  <c r="N163" i="13"/>
  <c r="M163" i="13"/>
  <c r="AE155" i="13"/>
  <c r="AJ155" i="13"/>
  <c r="AD155" i="13"/>
  <c r="AH155" i="13"/>
  <c r="Z155" i="13"/>
  <c r="AC155" i="13"/>
  <c r="AA155" i="13"/>
  <c r="Y155" i="13"/>
  <c r="X155" i="13"/>
  <c r="T155" i="13"/>
  <c r="V155" i="13"/>
  <c r="AB155" i="13"/>
  <c r="W155" i="13"/>
  <c r="S155" i="13"/>
  <c r="O155" i="13"/>
  <c r="R155" i="13"/>
  <c r="U155" i="13"/>
  <c r="Q155" i="13"/>
  <c r="P155" i="13"/>
  <c r="K155" i="13"/>
  <c r="M155" i="13"/>
  <c r="AJ147" i="13"/>
  <c r="AH147" i="13"/>
  <c r="Z147" i="13"/>
  <c r="AE147" i="13"/>
  <c r="AC147" i="13"/>
  <c r="AB147" i="13"/>
  <c r="AA147" i="13"/>
  <c r="X147" i="13"/>
  <c r="T147" i="13"/>
  <c r="Y147" i="13"/>
  <c r="V147" i="13"/>
  <c r="O147" i="13"/>
  <c r="W147" i="13"/>
  <c r="S147" i="13"/>
  <c r="R147" i="13"/>
  <c r="Q147" i="13"/>
  <c r="K147" i="13"/>
  <c r="M147" i="13"/>
  <c r="AH139" i="13"/>
  <c r="AJ139" i="13"/>
  <c r="AD139" i="13"/>
  <c r="AE139" i="13"/>
  <c r="Z139" i="13"/>
  <c r="AA139" i="13"/>
  <c r="X139" i="13"/>
  <c r="AB139" i="13"/>
  <c r="T139" i="13"/>
  <c r="V139" i="13"/>
  <c r="U139" i="13"/>
  <c r="O139" i="13"/>
  <c r="Q139" i="13"/>
  <c r="N139" i="13"/>
  <c r="K139" i="13"/>
  <c r="AC139" i="13"/>
  <c r="M139" i="13"/>
  <c r="AE131" i="13"/>
  <c r="AD131" i="13"/>
  <c r="AH131" i="13"/>
  <c r="AB131" i="13"/>
  <c r="Z131" i="13"/>
  <c r="AC131" i="13"/>
  <c r="AJ131" i="13"/>
  <c r="AA131" i="13"/>
  <c r="T131" i="13"/>
  <c r="Y131" i="13"/>
  <c r="V131" i="13"/>
  <c r="X131" i="13"/>
  <c r="O131" i="13"/>
  <c r="Q131" i="13"/>
  <c r="W131" i="13"/>
  <c r="K131" i="13"/>
  <c r="S131" i="13"/>
  <c r="P131" i="13"/>
  <c r="R131" i="13"/>
  <c r="N131" i="13"/>
  <c r="M131" i="13"/>
  <c r="AH123" i="13"/>
  <c r="AD123" i="13"/>
  <c r="AE123" i="13"/>
  <c r="Z123" i="13"/>
  <c r="AJ123" i="13"/>
  <c r="AC123" i="13"/>
  <c r="Y123" i="13"/>
  <c r="T123" i="13"/>
  <c r="Q123" i="13"/>
  <c r="AB123" i="13"/>
  <c r="V123" i="13"/>
  <c r="X123" i="13"/>
  <c r="S123" i="13"/>
  <c r="O123" i="13"/>
  <c r="W123" i="13"/>
  <c r="K123" i="13"/>
  <c r="AA123" i="13"/>
  <c r="M123" i="13"/>
  <c r="AJ115" i="13"/>
  <c r="AE115" i="13"/>
  <c r="AD115" i="13"/>
  <c r="Z115" i="13"/>
  <c r="AH115" i="13"/>
  <c r="AB115" i="13"/>
  <c r="AA115" i="13"/>
  <c r="W115" i="13"/>
  <c r="T115" i="13"/>
  <c r="AC115" i="13"/>
  <c r="X115" i="13"/>
  <c r="Q115" i="13"/>
  <c r="V115" i="13"/>
  <c r="O115" i="13"/>
  <c r="Y115" i="13"/>
  <c r="U115" i="13"/>
  <c r="S115" i="13"/>
  <c r="P115" i="13"/>
  <c r="K115" i="13"/>
  <c r="R115" i="13"/>
  <c r="M115" i="13"/>
  <c r="AH107" i="13"/>
  <c r="Z107" i="13"/>
  <c r="AC107" i="13"/>
  <c r="AJ107" i="13"/>
  <c r="AD107" i="13"/>
  <c r="AA107" i="13"/>
  <c r="AB107" i="13"/>
  <c r="T107" i="13"/>
  <c r="AE107" i="13"/>
  <c r="W107" i="13"/>
  <c r="Q107" i="13"/>
  <c r="V107" i="13"/>
  <c r="Y107" i="13"/>
  <c r="O107" i="13"/>
  <c r="X107" i="13"/>
  <c r="N107" i="13"/>
  <c r="K107" i="13"/>
  <c r="P107" i="13"/>
  <c r="M107" i="13"/>
  <c r="AJ99" i="13"/>
  <c r="AH99" i="13"/>
  <c r="AC99" i="13"/>
  <c r="AA99" i="13"/>
  <c r="AE99" i="13"/>
  <c r="AD99" i="13"/>
  <c r="AB99" i="13"/>
  <c r="Z99" i="13"/>
  <c r="X99" i="13"/>
  <c r="T99" i="13"/>
  <c r="Q99" i="13"/>
  <c r="W99" i="13"/>
  <c r="V99" i="13"/>
  <c r="R99" i="13"/>
  <c r="O99" i="13"/>
  <c r="Y99" i="13"/>
  <c r="K99" i="13"/>
  <c r="U99" i="13"/>
  <c r="S99" i="13"/>
  <c r="N99" i="13"/>
  <c r="M99" i="13"/>
  <c r="AJ91" i="13"/>
  <c r="AE91" i="13"/>
  <c r="AA91" i="13"/>
  <c r="AD91" i="13"/>
  <c r="AC91" i="13"/>
  <c r="Z91" i="13"/>
  <c r="AH91" i="13"/>
  <c r="AB91" i="13"/>
  <c r="Y91" i="13"/>
  <c r="X91" i="13"/>
  <c r="T91" i="13"/>
  <c r="Q91" i="13"/>
  <c r="V91" i="13"/>
  <c r="S91" i="13"/>
  <c r="O91" i="13"/>
  <c r="R91" i="13"/>
  <c r="W91" i="13"/>
  <c r="U91" i="13"/>
  <c r="P91" i="13"/>
  <c r="K91" i="13"/>
  <c r="M91" i="13"/>
  <c r="AH83" i="13"/>
  <c r="AA83" i="13"/>
  <c r="AE83" i="13"/>
  <c r="Z83" i="13"/>
  <c r="AC83" i="13"/>
  <c r="T83" i="13"/>
  <c r="Q83" i="13"/>
  <c r="V83" i="13"/>
  <c r="AB83" i="13"/>
  <c r="AD83" i="13"/>
  <c r="W83" i="13"/>
  <c r="O83" i="13"/>
  <c r="S83" i="13"/>
  <c r="R83" i="13"/>
  <c r="X83" i="13"/>
  <c r="K83" i="13"/>
  <c r="AJ83" i="13"/>
  <c r="M83" i="13"/>
  <c r="AH75" i="13"/>
  <c r="AJ75" i="13"/>
  <c r="AA75" i="13"/>
  <c r="Z75" i="13"/>
  <c r="AD75" i="13"/>
  <c r="AB75" i="13"/>
  <c r="AC75" i="13"/>
  <c r="W75" i="13"/>
  <c r="T75" i="13"/>
  <c r="Y75" i="13"/>
  <c r="Q75" i="13"/>
  <c r="X75" i="13"/>
  <c r="V75" i="13"/>
  <c r="U75" i="13"/>
  <c r="O75" i="13"/>
  <c r="N75" i="13"/>
  <c r="K75" i="13"/>
  <c r="M75" i="13"/>
  <c r="AE67" i="13"/>
  <c r="AH67" i="13"/>
  <c r="AA67" i="13"/>
  <c r="AD67" i="13"/>
  <c r="AB67" i="13"/>
  <c r="Z67" i="13"/>
  <c r="AJ67" i="13"/>
  <c r="AC67" i="13"/>
  <c r="T67" i="13"/>
  <c r="Q67" i="13"/>
  <c r="W67" i="13"/>
  <c r="V67" i="13"/>
  <c r="X67" i="13"/>
  <c r="O67" i="13"/>
  <c r="R67" i="13"/>
  <c r="Y67" i="13"/>
  <c r="K67" i="13"/>
  <c r="P67" i="13"/>
  <c r="N67" i="13"/>
  <c r="M67" i="13"/>
  <c r="AE59" i="13"/>
  <c r="AH59" i="13"/>
  <c r="AD59" i="13"/>
  <c r="AA59" i="13"/>
  <c r="AJ59" i="13"/>
  <c r="Z59" i="13"/>
  <c r="AC59" i="13"/>
  <c r="AB59" i="13"/>
  <c r="Y59" i="13"/>
  <c r="X59" i="13"/>
  <c r="T59" i="13"/>
  <c r="Q59" i="13"/>
  <c r="V59" i="13"/>
  <c r="S59" i="13"/>
  <c r="O59" i="13"/>
  <c r="K59" i="13"/>
  <c r="U59" i="13"/>
  <c r="M59" i="13"/>
  <c r="AD51" i="13"/>
  <c r="AJ51" i="13"/>
  <c r="AH51" i="13"/>
  <c r="AA51" i="13"/>
  <c r="Z51" i="13"/>
  <c r="AE51" i="13"/>
  <c r="AB51" i="13"/>
  <c r="T51" i="13"/>
  <c r="Q51" i="13"/>
  <c r="V51" i="13"/>
  <c r="Y51" i="13"/>
  <c r="O51" i="13"/>
  <c r="U51" i="13"/>
  <c r="X51" i="13"/>
  <c r="S51" i="13"/>
  <c r="R51" i="13"/>
  <c r="P51" i="13"/>
  <c r="K51" i="13"/>
  <c r="M51" i="13"/>
  <c r="AE43" i="13"/>
  <c r="AD43" i="13"/>
  <c r="AA43" i="13"/>
  <c r="AC43" i="13"/>
  <c r="Z43" i="13"/>
  <c r="AB43" i="13"/>
  <c r="X43" i="13"/>
  <c r="W43" i="13"/>
  <c r="T43" i="13"/>
  <c r="Q43" i="13"/>
  <c r="AH43" i="13"/>
  <c r="V43" i="13"/>
  <c r="O43" i="13"/>
  <c r="AJ43" i="13"/>
  <c r="S43" i="13"/>
  <c r="N43" i="13"/>
  <c r="K43" i="13"/>
  <c r="P43" i="13"/>
  <c r="M43" i="13"/>
  <c r="AH35" i="13"/>
  <c r="AJ35" i="13"/>
  <c r="AC35" i="13"/>
  <c r="AA35" i="13"/>
  <c r="AB35" i="13"/>
  <c r="Z35" i="13"/>
  <c r="AE35" i="13"/>
  <c r="AD35" i="13"/>
  <c r="T35" i="13"/>
  <c r="Q35" i="13"/>
  <c r="W35" i="13"/>
  <c r="V35" i="13"/>
  <c r="Y35" i="13"/>
  <c r="R35" i="13"/>
  <c r="O35" i="13"/>
  <c r="X35" i="13"/>
  <c r="K35" i="13"/>
  <c r="U35" i="13"/>
  <c r="N35" i="13"/>
  <c r="M35" i="13"/>
  <c r="AA27" i="13"/>
  <c r="AJ27" i="13"/>
  <c r="AC27" i="13"/>
  <c r="AH27" i="13"/>
  <c r="Z27" i="13"/>
  <c r="AE27" i="13"/>
  <c r="Y27" i="13"/>
  <c r="X27" i="13"/>
  <c r="AD27" i="13"/>
  <c r="AB27" i="13"/>
  <c r="T27" i="13"/>
  <c r="Q27" i="13"/>
  <c r="V27" i="13"/>
  <c r="S27" i="13"/>
  <c r="O27" i="13"/>
  <c r="R27" i="13"/>
  <c r="W27" i="13"/>
  <c r="P27" i="13"/>
  <c r="K27" i="13"/>
  <c r="M27" i="13"/>
  <c r="AJ19" i="13"/>
  <c r="AE19" i="13"/>
  <c r="AA19" i="13"/>
  <c r="AD19" i="13"/>
  <c r="AC19" i="13"/>
  <c r="Z19" i="13"/>
  <c r="AH19" i="13"/>
  <c r="AB19" i="13"/>
  <c r="T19" i="13"/>
  <c r="Q19" i="13"/>
  <c r="Y19" i="13"/>
  <c r="X19" i="13"/>
  <c r="V19" i="13"/>
  <c r="W19" i="13"/>
  <c r="O19" i="13"/>
  <c r="S19" i="13"/>
  <c r="R19" i="13"/>
  <c r="N19" i="13"/>
  <c r="K19" i="13"/>
  <c r="M19" i="13"/>
  <c r="AH11" i="13"/>
  <c r="AA11" i="13"/>
  <c r="AE11" i="13"/>
  <c r="Z11" i="13"/>
  <c r="AJ11" i="13"/>
  <c r="AC11" i="13"/>
  <c r="AD11" i="13"/>
  <c r="W11" i="13"/>
  <c r="T11" i="13"/>
  <c r="Q11" i="13"/>
  <c r="V11" i="13"/>
  <c r="X11" i="13"/>
  <c r="O11" i="13"/>
  <c r="Y11" i="13"/>
  <c r="U11" i="13"/>
  <c r="S11" i="13"/>
  <c r="R11" i="13"/>
  <c r="K11" i="13"/>
  <c r="M11" i="13"/>
  <c r="K303" i="13"/>
  <c r="K287" i="13"/>
  <c r="K255" i="13"/>
  <c r="K239" i="13"/>
  <c r="K223" i="13"/>
  <c r="L154" i="13"/>
  <c r="L42" i="13"/>
  <c r="L10" i="13"/>
  <c r="M261" i="13"/>
  <c r="M245" i="13"/>
  <c r="M213" i="13"/>
  <c r="M197" i="13"/>
  <c r="M181" i="13"/>
  <c r="M149" i="13"/>
  <c r="M133" i="13"/>
  <c r="M85" i="13"/>
  <c r="M69" i="13"/>
  <c r="M53" i="13"/>
  <c r="M21" i="13"/>
  <c r="N304" i="13"/>
  <c r="N288" i="13"/>
  <c r="N252" i="13"/>
  <c r="N233" i="13"/>
  <c r="N215" i="13"/>
  <c r="N155" i="13"/>
  <c r="N133" i="13"/>
  <c r="N91" i="13"/>
  <c r="O297" i="13"/>
  <c r="O222" i="13"/>
  <c r="O194" i="13"/>
  <c r="P265" i="13"/>
  <c r="P237" i="13"/>
  <c r="P187" i="13"/>
  <c r="P162" i="13"/>
  <c r="P109" i="13"/>
  <c r="P84" i="13"/>
  <c r="P59" i="13"/>
  <c r="Q280" i="13"/>
  <c r="Q255" i="13"/>
  <c r="Q230" i="13"/>
  <c r="Q205" i="13"/>
  <c r="R280" i="13"/>
  <c r="R251" i="13"/>
  <c r="R223" i="13"/>
  <c r="S286" i="13"/>
  <c r="T281" i="13"/>
  <c r="T248" i="13"/>
  <c r="T215" i="13"/>
  <c r="T149" i="13"/>
  <c r="T45" i="13"/>
  <c r="T10" i="13"/>
  <c r="U227" i="13"/>
  <c r="U187" i="13"/>
  <c r="U147" i="13"/>
  <c r="U107" i="13"/>
  <c r="U67" i="13"/>
  <c r="U19" i="13"/>
  <c r="V13" i="13"/>
  <c r="W259" i="13"/>
  <c r="W204" i="13"/>
  <c r="X245" i="13"/>
  <c r="X108" i="13"/>
  <c r="Y222" i="13"/>
  <c r="Z244" i="13"/>
  <c r="AA265" i="13"/>
  <c r="AE295" i="13"/>
  <c r="AB295" i="13"/>
  <c r="AD295" i="13"/>
  <c r="AA295" i="13"/>
  <c r="AH295" i="13"/>
  <c r="Z295" i="13"/>
  <c r="AJ295" i="13"/>
  <c r="AC295" i="13"/>
  <c r="U295" i="13"/>
  <c r="W295" i="13"/>
  <c r="T295" i="13"/>
  <c r="P295" i="13"/>
  <c r="Y295" i="13"/>
  <c r="X295" i="13"/>
  <c r="S295" i="13"/>
  <c r="L295" i="13"/>
  <c r="O295" i="13"/>
  <c r="AE271" i="13"/>
  <c r="AB271" i="13"/>
  <c r="AJ271" i="13"/>
  <c r="AD271" i="13"/>
  <c r="AC271" i="13"/>
  <c r="AA271" i="13"/>
  <c r="AH271" i="13"/>
  <c r="Y271" i="13"/>
  <c r="U271" i="13"/>
  <c r="Z271" i="13"/>
  <c r="X271" i="13"/>
  <c r="W271" i="13"/>
  <c r="V271" i="13"/>
  <c r="S271" i="13"/>
  <c r="P271" i="13"/>
  <c r="T271" i="13"/>
  <c r="R271" i="13"/>
  <c r="L271" i="13"/>
  <c r="AE247" i="13"/>
  <c r="AJ247" i="13"/>
  <c r="AD247" i="13"/>
  <c r="AB247" i="13"/>
  <c r="AA247" i="13"/>
  <c r="AH247" i="13"/>
  <c r="AC247" i="13"/>
  <c r="Z247" i="13"/>
  <c r="X247" i="13"/>
  <c r="U247" i="13"/>
  <c r="Y247" i="13"/>
  <c r="R247" i="13"/>
  <c r="P247" i="13"/>
  <c r="Q247" i="13"/>
  <c r="W247" i="13"/>
  <c r="S247" i="13"/>
  <c r="N247" i="13"/>
  <c r="L247" i="13"/>
  <c r="AE223" i="13"/>
  <c r="AH223" i="13"/>
  <c r="AB223" i="13"/>
  <c r="AD223" i="13"/>
  <c r="AJ223" i="13"/>
  <c r="AA223" i="13"/>
  <c r="Z223" i="13"/>
  <c r="U223" i="13"/>
  <c r="AC223" i="13"/>
  <c r="V223" i="13"/>
  <c r="P223" i="13"/>
  <c r="X223" i="13"/>
  <c r="T223" i="13"/>
  <c r="Q223" i="13"/>
  <c r="L223" i="13"/>
  <c r="W223" i="13"/>
  <c r="K263" i="13"/>
  <c r="K215" i="13"/>
  <c r="AD303" i="13"/>
  <c r="AH294" i="13"/>
  <c r="AJ294" i="13"/>
  <c r="AE294" i="13"/>
  <c r="AB294" i="13"/>
  <c r="AD294" i="13"/>
  <c r="AA294" i="13"/>
  <c r="AC294" i="13"/>
  <c r="Y294" i="13"/>
  <c r="U294" i="13"/>
  <c r="R294" i="13"/>
  <c r="W294" i="13"/>
  <c r="T294" i="13"/>
  <c r="P294" i="13"/>
  <c r="Z294" i="13"/>
  <c r="X294" i="13"/>
  <c r="S294" i="13"/>
  <c r="L294" i="13"/>
  <c r="O294" i="13"/>
  <c r="N294" i="13"/>
  <c r="AD270" i="13"/>
  <c r="AH270" i="13"/>
  <c r="AB270" i="13"/>
  <c r="AJ270" i="13"/>
  <c r="AC270" i="13"/>
  <c r="AJ197" i="13"/>
  <c r="AD197" i="13"/>
  <c r="AH197" i="13"/>
  <c r="AC197" i="13"/>
  <c r="AA197" i="13"/>
  <c r="Y197" i="13"/>
  <c r="AE197" i="13"/>
  <c r="W197" i="13"/>
  <c r="X197" i="13"/>
  <c r="Z197" i="13"/>
  <c r="S197" i="13"/>
  <c r="AB197" i="13"/>
  <c r="V197" i="13"/>
  <c r="O197" i="13"/>
  <c r="R197" i="13"/>
  <c r="Q197" i="13"/>
  <c r="L197" i="13"/>
  <c r="U197" i="13"/>
  <c r="K197" i="13"/>
  <c r="AJ165" i="13"/>
  <c r="AE165" i="13"/>
  <c r="AH165" i="13"/>
  <c r="AD165" i="13"/>
  <c r="AC165" i="13"/>
  <c r="AA165" i="13"/>
  <c r="Z165" i="13"/>
  <c r="Y165" i="13"/>
  <c r="AB165" i="13"/>
  <c r="X165" i="13"/>
  <c r="S165" i="13"/>
  <c r="U165" i="13"/>
  <c r="W165" i="13"/>
  <c r="V165" i="13"/>
  <c r="R165" i="13"/>
  <c r="O165" i="13"/>
  <c r="P165" i="13"/>
  <c r="L165" i="13"/>
  <c r="K165" i="13"/>
  <c r="AJ133" i="13"/>
  <c r="AH133" i="13"/>
  <c r="AD133" i="13"/>
  <c r="AE133" i="13"/>
  <c r="Z133" i="13"/>
  <c r="X133" i="13"/>
  <c r="AB133" i="13"/>
  <c r="Y133" i="13"/>
  <c r="AC133" i="13"/>
  <c r="AA133" i="13"/>
  <c r="W133" i="13"/>
  <c r="S133" i="13"/>
  <c r="V133" i="13"/>
  <c r="O133" i="13"/>
  <c r="U133" i="13"/>
  <c r="Q133" i="13"/>
  <c r="L133" i="13"/>
  <c r="K133" i="13"/>
  <c r="AJ101" i="13"/>
  <c r="AE101" i="13"/>
  <c r="AD101" i="13"/>
  <c r="AH101" i="13"/>
  <c r="AA101" i="13"/>
  <c r="AB101" i="13"/>
  <c r="Z101" i="13"/>
  <c r="X101" i="13"/>
  <c r="Y101" i="13"/>
  <c r="AC101" i="13"/>
  <c r="S101" i="13"/>
  <c r="U101" i="13"/>
  <c r="V101" i="13"/>
  <c r="R101" i="13"/>
  <c r="O101" i="13"/>
  <c r="T101" i="13"/>
  <c r="P101" i="13"/>
  <c r="L101" i="13"/>
  <c r="W101" i="13"/>
  <c r="K101" i="13"/>
  <c r="AJ69" i="13"/>
  <c r="AD69" i="13"/>
  <c r="AH69" i="13"/>
  <c r="AE69" i="13"/>
  <c r="AC69" i="13"/>
  <c r="AA69" i="13"/>
  <c r="Z69" i="13"/>
  <c r="X69" i="13"/>
  <c r="Y69" i="13"/>
  <c r="AB69" i="13"/>
  <c r="S69" i="13"/>
  <c r="W69" i="13"/>
  <c r="V69" i="13"/>
  <c r="O69" i="13"/>
  <c r="L69" i="13"/>
  <c r="T69" i="13"/>
  <c r="R69" i="13"/>
  <c r="K69" i="13"/>
  <c r="AJ37" i="13"/>
  <c r="AH37" i="13"/>
  <c r="AD37" i="13"/>
  <c r="AE37" i="13"/>
  <c r="AA37" i="13"/>
  <c r="Z37" i="13"/>
  <c r="X37" i="13"/>
  <c r="Y37" i="13"/>
  <c r="AC37" i="13"/>
  <c r="AB37" i="13"/>
  <c r="S37" i="13"/>
  <c r="U37" i="13"/>
  <c r="V37" i="13"/>
  <c r="R37" i="13"/>
  <c r="O37" i="13"/>
  <c r="P37" i="13"/>
  <c r="L37" i="13"/>
  <c r="W37" i="13"/>
  <c r="T37" i="13"/>
  <c r="K37" i="13"/>
  <c r="M295" i="13"/>
  <c r="N157" i="13"/>
  <c r="P61" i="13"/>
  <c r="R285" i="13"/>
  <c r="U69" i="13"/>
  <c r="V222" i="13"/>
  <c r="AH276" i="13"/>
  <c r="AD276" i="13"/>
  <c r="AE276" i="13"/>
  <c r="AJ276" i="13"/>
  <c r="Z276" i="13"/>
  <c r="AB276" i="13"/>
  <c r="X276" i="13"/>
  <c r="AA276" i="13"/>
  <c r="W276" i="13"/>
  <c r="T276" i="13"/>
  <c r="Y276" i="13"/>
  <c r="V276" i="13"/>
  <c r="O276" i="13"/>
  <c r="AC276" i="13"/>
  <c r="U276" i="13"/>
  <c r="Q276" i="13"/>
  <c r="R276" i="13"/>
  <c r="N276" i="13"/>
  <c r="K276" i="13"/>
  <c r="AJ236" i="13"/>
  <c r="AD236" i="13"/>
  <c r="AH236" i="13"/>
  <c r="AA236" i="13"/>
  <c r="X236" i="13"/>
  <c r="T236" i="13"/>
  <c r="Z236" i="13"/>
  <c r="W236" i="13"/>
  <c r="AE236" i="13"/>
  <c r="V236" i="13"/>
  <c r="AC236" i="13"/>
  <c r="R236" i="13"/>
  <c r="O236" i="13"/>
  <c r="Y236" i="13"/>
  <c r="U236" i="13"/>
  <c r="Q236" i="13"/>
  <c r="K236" i="13"/>
  <c r="S236" i="13"/>
  <c r="AH212" i="13"/>
  <c r="AD212" i="13"/>
  <c r="AJ212" i="13"/>
  <c r="AE212" i="13"/>
  <c r="AC212" i="13"/>
  <c r="X212" i="13"/>
  <c r="T212" i="13"/>
  <c r="V212" i="13"/>
  <c r="O212" i="13"/>
  <c r="W212" i="13"/>
  <c r="AA212" i="13"/>
  <c r="Q212" i="13"/>
  <c r="Z212" i="13"/>
  <c r="N212" i="13"/>
  <c r="K212" i="13"/>
  <c r="AB212" i="13"/>
  <c r="Y212" i="13"/>
  <c r="AD180" i="13"/>
  <c r="AA180" i="13"/>
  <c r="AE180" i="13"/>
  <c r="AH180" i="13"/>
  <c r="Z180" i="13"/>
  <c r="AJ180" i="13"/>
  <c r="AC180" i="13"/>
  <c r="AB180" i="13"/>
  <c r="X180" i="13"/>
  <c r="W180" i="13"/>
  <c r="T180" i="13"/>
  <c r="V180" i="13"/>
  <c r="O180" i="13"/>
  <c r="Y180" i="13"/>
  <c r="U180" i="13"/>
  <c r="S180" i="13"/>
  <c r="N180" i="13"/>
  <c r="P180" i="13"/>
  <c r="K180" i="13"/>
  <c r="AH148" i="13"/>
  <c r="AD148" i="13"/>
  <c r="AA148" i="13"/>
  <c r="Z148" i="13"/>
  <c r="AJ148" i="13"/>
  <c r="AE148" i="13"/>
  <c r="AC148" i="13"/>
  <c r="X148" i="13"/>
  <c r="AB148" i="13"/>
  <c r="T148" i="13"/>
  <c r="Y148" i="13"/>
  <c r="V148" i="13"/>
  <c r="O148" i="13"/>
  <c r="N148" i="13"/>
  <c r="S148" i="13"/>
  <c r="Q148" i="13"/>
  <c r="K148" i="13"/>
  <c r="AD100" i="13"/>
  <c r="AE100" i="13"/>
  <c r="AC100" i="13"/>
  <c r="AA100" i="13"/>
  <c r="AB100" i="13"/>
  <c r="Z100" i="13"/>
  <c r="AJ100" i="13"/>
  <c r="X100" i="13"/>
  <c r="AH100" i="13"/>
  <c r="Y100" i="13"/>
  <c r="T100" i="13"/>
  <c r="W100" i="13"/>
  <c r="V100" i="13"/>
  <c r="U100" i="13"/>
  <c r="R100" i="13"/>
  <c r="O100" i="13"/>
  <c r="K100" i="13"/>
  <c r="AD52" i="13"/>
  <c r="AE52" i="13"/>
  <c r="AJ52" i="13"/>
  <c r="AH52" i="13"/>
  <c r="AA52" i="13"/>
  <c r="Z52" i="13"/>
  <c r="T52" i="13"/>
  <c r="AB52" i="13"/>
  <c r="V52" i="13"/>
  <c r="AC52" i="13"/>
  <c r="O52" i="13"/>
  <c r="U52" i="13"/>
  <c r="N52" i="13"/>
  <c r="R52" i="13"/>
  <c r="P52" i="13"/>
  <c r="K52" i="13"/>
  <c r="X52" i="13"/>
  <c r="Q52" i="13"/>
  <c r="AH20" i="13"/>
  <c r="AD20" i="13"/>
  <c r="AJ20" i="13"/>
  <c r="AA20" i="13"/>
  <c r="AC20" i="13"/>
  <c r="Z20" i="13"/>
  <c r="AE20" i="13"/>
  <c r="T20" i="13"/>
  <c r="Y20" i="13"/>
  <c r="X20" i="13"/>
  <c r="V20" i="13"/>
  <c r="U20" i="13"/>
  <c r="Q20" i="13"/>
  <c r="W20" i="13"/>
  <c r="O20" i="13"/>
  <c r="N20" i="13"/>
  <c r="K20" i="13"/>
  <c r="M294" i="13"/>
  <c r="N156" i="13"/>
  <c r="N92" i="13"/>
  <c r="O223" i="13"/>
  <c r="AH298" i="13"/>
  <c r="AJ298" i="13"/>
  <c r="AD298" i="13"/>
  <c r="AC298" i="13"/>
  <c r="AE298" i="13"/>
  <c r="AB298" i="13"/>
  <c r="X298" i="13"/>
  <c r="Z298" i="13"/>
  <c r="V298" i="13"/>
  <c r="W298" i="13"/>
  <c r="S298" i="13"/>
  <c r="Q298" i="13"/>
  <c r="AA298" i="13"/>
  <c r="K298" i="13"/>
  <c r="Y298" i="13"/>
  <c r="P298" i="13"/>
  <c r="M298" i="13"/>
  <c r="AH290" i="13"/>
  <c r="AJ290" i="13"/>
  <c r="AC290" i="13"/>
  <c r="AD290" i="13"/>
  <c r="AA290" i="13"/>
  <c r="Z290" i="13"/>
  <c r="AB290" i="13"/>
  <c r="V290" i="13"/>
  <c r="Y290" i="13"/>
  <c r="X290" i="13"/>
  <c r="S290" i="13"/>
  <c r="Q290" i="13"/>
  <c r="K290" i="13"/>
  <c r="T290" i="13"/>
  <c r="O290" i="13"/>
  <c r="AE290" i="13"/>
  <c r="M290" i="13"/>
  <c r="R290" i="13"/>
  <c r="AH282" i="13"/>
  <c r="AJ282" i="13"/>
  <c r="AC282" i="13"/>
  <c r="AD282" i="13"/>
  <c r="AE282" i="13"/>
  <c r="AB282" i="13"/>
  <c r="AA282" i="13"/>
  <c r="Z282" i="13"/>
  <c r="V282" i="13"/>
  <c r="Y282" i="13"/>
  <c r="W282" i="13"/>
  <c r="T282" i="13"/>
  <c r="R282" i="13"/>
  <c r="U282" i="13"/>
  <c r="Q282" i="13"/>
  <c r="X282" i="13"/>
  <c r="S282" i="13"/>
  <c r="N282" i="13"/>
  <c r="P282" i="13"/>
  <c r="K282" i="13"/>
  <c r="M282" i="13"/>
  <c r="AH274" i="13"/>
  <c r="AJ274" i="13"/>
  <c r="AC274" i="13"/>
  <c r="AB274" i="13"/>
  <c r="AD274" i="13"/>
  <c r="AA274" i="13"/>
  <c r="Y274" i="13"/>
  <c r="V274" i="13"/>
  <c r="X274" i="13"/>
  <c r="R274" i="13"/>
  <c r="Q274" i="13"/>
  <c r="AE274" i="13"/>
  <c r="T274" i="13"/>
  <c r="N274" i="13"/>
  <c r="K274" i="13"/>
  <c r="W274" i="13"/>
  <c r="M274" i="13"/>
  <c r="Z274" i="13"/>
  <c r="P274" i="13"/>
  <c r="AH266" i="13"/>
  <c r="AJ266" i="13"/>
  <c r="AC266" i="13"/>
  <c r="AD266" i="13"/>
  <c r="AE266" i="13"/>
  <c r="X266" i="13"/>
  <c r="Z266" i="13"/>
  <c r="V266" i="13"/>
  <c r="AB266" i="13"/>
  <c r="W266" i="13"/>
  <c r="Q266" i="13"/>
  <c r="Y266" i="13"/>
  <c r="R266" i="13"/>
  <c r="N266" i="13"/>
  <c r="K266" i="13"/>
  <c r="S266" i="13"/>
  <c r="O266" i="13"/>
  <c r="M266" i="13"/>
  <c r="AH258" i="13"/>
  <c r="AE258" i="13"/>
  <c r="AD258" i="13"/>
  <c r="AC258" i="13"/>
  <c r="Z258" i="13"/>
  <c r="AB258" i="13"/>
  <c r="AA258" i="13"/>
  <c r="Y258" i="13"/>
  <c r="V258" i="13"/>
  <c r="X258" i="13"/>
  <c r="Q258" i="13"/>
  <c r="U258" i="13"/>
  <c r="N258" i="13"/>
  <c r="R258" i="13"/>
  <c r="K258" i="13"/>
  <c r="P258" i="13"/>
  <c r="T258" i="13"/>
  <c r="M258" i="13"/>
  <c r="AH250" i="13"/>
  <c r="AJ250" i="13"/>
  <c r="AE250" i="13"/>
  <c r="AC250" i="13"/>
  <c r="AB250" i="13"/>
  <c r="AA250" i="13"/>
  <c r="Z250" i="13"/>
  <c r="AD250" i="13"/>
  <c r="V250" i="13"/>
  <c r="W250" i="13"/>
  <c r="T250" i="13"/>
  <c r="Q250" i="13"/>
  <c r="N250" i="13"/>
  <c r="O250" i="13"/>
  <c r="K250" i="13"/>
  <c r="Y250" i="13"/>
  <c r="S250" i="13"/>
  <c r="M250" i="13"/>
  <c r="AH242" i="13"/>
  <c r="AD242" i="13"/>
  <c r="AE242" i="13"/>
  <c r="AC242" i="13"/>
  <c r="AA242" i="13"/>
  <c r="Z242" i="13"/>
  <c r="Y242" i="13"/>
  <c r="V242" i="13"/>
  <c r="AB242" i="13"/>
  <c r="U242" i="13"/>
  <c r="S242" i="13"/>
  <c r="Q242" i="13"/>
  <c r="T242" i="13"/>
  <c r="N242" i="13"/>
  <c r="W242" i="13"/>
  <c r="R242" i="13"/>
  <c r="K242" i="13"/>
  <c r="M242" i="13"/>
  <c r="O242" i="13"/>
  <c r="AH234" i="13"/>
  <c r="AC234" i="13"/>
  <c r="AJ234" i="13"/>
  <c r="AE234" i="13"/>
  <c r="AB234" i="13"/>
  <c r="X234" i="13"/>
  <c r="W234" i="13"/>
  <c r="AD234" i="13"/>
  <c r="Z234" i="13"/>
  <c r="V234" i="13"/>
  <c r="Y234" i="13"/>
  <c r="Q234" i="13"/>
  <c r="AA234" i="13"/>
  <c r="N234" i="13"/>
  <c r="K234" i="13"/>
  <c r="S234" i="13"/>
  <c r="P234" i="13"/>
  <c r="M234" i="13"/>
  <c r="AH226" i="13"/>
  <c r="AJ226" i="13"/>
  <c r="AD226" i="13"/>
  <c r="AC226" i="13"/>
  <c r="AE226" i="13"/>
  <c r="AB226" i="13"/>
  <c r="AA226" i="13"/>
  <c r="W226" i="13"/>
  <c r="V226" i="13"/>
  <c r="X226" i="13"/>
  <c r="Z226" i="13"/>
  <c r="Y226" i="13"/>
  <c r="Q226" i="13"/>
  <c r="N226" i="13"/>
  <c r="R226" i="13"/>
  <c r="K226" i="13"/>
  <c r="O226" i="13"/>
  <c r="M226" i="13"/>
  <c r="T226" i="13"/>
  <c r="AH218" i="13"/>
  <c r="AJ218" i="13"/>
  <c r="AC218" i="13"/>
  <c r="AB218" i="13"/>
  <c r="AE218" i="13"/>
  <c r="AA218" i="13"/>
  <c r="AD218" i="13"/>
  <c r="Z218" i="13"/>
  <c r="V218" i="13"/>
  <c r="Y218" i="13"/>
  <c r="W218" i="13"/>
  <c r="T218" i="13"/>
  <c r="R218" i="13"/>
  <c r="U218" i="13"/>
  <c r="Q218" i="13"/>
  <c r="X218" i="13"/>
  <c r="N218" i="13"/>
  <c r="P218" i="13"/>
  <c r="K218" i="13"/>
  <c r="M218" i="13"/>
  <c r="S218" i="13"/>
  <c r="AH210" i="13"/>
  <c r="AJ210" i="13"/>
  <c r="AC210" i="13"/>
  <c r="AD210" i="13"/>
  <c r="AA210" i="13"/>
  <c r="Y210" i="13"/>
  <c r="AB210" i="13"/>
  <c r="AE210" i="13"/>
  <c r="V210" i="13"/>
  <c r="W210" i="13"/>
  <c r="X210" i="13"/>
  <c r="S210" i="13"/>
  <c r="R210" i="13"/>
  <c r="Q210" i="13"/>
  <c r="T210" i="13"/>
  <c r="N210" i="13"/>
  <c r="K210" i="13"/>
  <c r="Z210" i="13"/>
  <c r="M210" i="13"/>
  <c r="P210" i="13"/>
  <c r="AH202" i="13"/>
  <c r="AJ202" i="13"/>
  <c r="AC202" i="13"/>
  <c r="AE202" i="13"/>
  <c r="AB202" i="13"/>
  <c r="AD202" i="13"/>
  <c r="Z202" i="13"/>
  <c r="Y202" i="13"/>
  <c r="X202" i="13"/>
  <c r="V202" i="13"/>
  <c r="AA202" i="13"/>
  <c r="Q202" i="13"/>
  <c r="W202" i="13"/>
  <c r="R202" i="13"/>
  <c r="N202" i="13"/>
  <c r="K202" i="13"/>
  <c r="S202" i="13"/>
  <c r="O202" i="13"/>
  <c r="M202" i="13"/>
  <c r="U202" i="13"/>
  <c r="AH194" i="13"/>
  <c r="AE194" i="13"/>
  <c r="AD194" i="13"/>
  <c r="AJ194" i="13"/>
  <c r="AC194" i="13"/>
  <c r="Z194" i="13"/>
  <c r="AA194" i="13"/>
  <c r="V194" i="13"/>
  <c r="X194" i="13"/>
  <c r="AB194" i="13"/>
  <c r="Q194" i="13"/>
  <c r="U194" i="13"/>
  <c r="N194" i="13"/>
  <c r="Y194" i="13"/>
  <c r="K194" i="13"/>
  <c r="P194" i="13"/>
  <c r="M194" i="13"/>
  <c r="W194" i="13"/>
  <c r="AH186" i="13"/>
  <c r="AE186" i="13"/>
  <c r="AC186" i="13"/>
  <c r="AD186" i="13"/>
  <c r="AB186" i="13"/>
  <c r="AA186" i="13"/>
  <c r="Z186" i="13"/>
  <c r="Y186" i="13"/>
  <c r="V186" i="13"/>
  <c r="AJ186" i="13"/>
  <c r="T186" i="13"/>
  <c r="Q186" i="13"/>
  <c r="N186" i="13"/>
  <c r="W186" i="13"/>
  <c r="O186" i="13"/>
  <c r="K186" i="13"/>
  <c r="R186" i="13"/>
  <c r="M186" i="13"/>
  <c r="AH178" i="13"/>
  <c r="AD178" i="13"/>
  <c r="AJ178" i="13"/>
  <c r="AE178" i="13"/>
  <c r="AC178" i="13"/>
  <c r="Z178" i="13"/>
  <c r="Y178" i="13"/>
  <c r="V178" i="13"/>
  <c r="AA178" i="13"/>
  <c r="U178" i="13"/>
  <c r="AB178" i="13"/>
  <c r="W178" i="13"/>
  <c r="S178" i="13"/>
  <c r="Q178" i="13"/>
  <c r="T178" i="13"/>
  <c r="N178" i="13"/>
  <c r="K178" i="13"/>
  <c r="M178" i="13"/>
  <c r="O178" i="13"/>
  <c r="AH170" i="13"/>
  <c r="AJ170" i="13"/>
  <c r="AE170" i="13"/>
  <c r="AC170" i="13"/>
  <c r="AD170" i="13"/>
  <c r="AA170" i="13"/>
  <c r="X170" i="13"/>
  <c r="W170" i="13"/>
  <c r="V170" i="13"/>
  <c r="Z170" i="13"/>
  <c r="AB170" i="13"/>
  <c r="Y170" i="13"/>
  <c r="Q170" i="13"/>
  <c r="N170" i="13"/>
  <c r="T170" i="13"/>
  <c r="K170" i="13"/>
  <c r="R170" i="13"/>
  <c r="P170" i="13"/>
  <c r="M170" i="13"/>
  <c r="S170" i="13"/>
  <c r="AH162" i="13"/>
  <c r="AJ162" i="13"/>
  <c r="AC162" i="13"/>
  <c r="AE162" i="13"/>
  <c r="AA162" i="13"/>
  <c r="AD162" i="13"/>
  <c r="Z162" i="13"/>
  <c r="AB162" i="13"/>
  <c r="W162" i="13"/>
  <c r="V162" i="13"/>
  <c r="Y162" i="13"/>
  <c r="X162" i="13"/>
  <c r="Q162" i="13"/>
  <c r="N162" i="13"/>
  <c r="S162" i="13"/>
  <c r="K162" i="13"/>
  <c r="O162" i="13"/>
  <c r="M162" i="13"/>
  <c r="U162" i="13"/>
  <c r="AH154" i="13"/>
  <c r="AJ154" i="13"/>
  <c r="AE154" i="13"/>
  <c r="AD154" i="13"/>
  <c r="AC154" i="13"/>
  <c r="AA154" i="13"/>
  <c r="AB154" i="13"/>
  <c r="Z154" i="13"/>
  <c r="V154" i="13"/>
  <c r="W154" i="13"/>
  <c r="T154" i="13"/>
  <c r="R154" i="13"/>
  <c r="U154" i="13"/>
  <c r="Q154" i="13"/>
  <c r="X154" i="13"/>
  <c r="N154" i="13"/>
  <c r="P154" i="13"/>
  <c r="K154" i="13"/>
  <c r="Y154" i="13"/>
  <c r="M154" i="13"/>
  <c r="AH146" i="13"/>
  <c r="AE146" i="13"/>
  <c r="AC146" i="13"/>
  <c r="AJ146" i="13"/>
  <c r="AA146" i="13"/>
  <c r="AD146" i="13"/>
  <c r="AB146" i="13"/>
  <c r="Y146" i="13"/>
  <c r="V146" i="13"/>
  <c r="Z146" i="13"/>
  <c r="W146" i="13"/>
  <c r="X146" i="13"/>
  <c r="S146" i="13"/>
  <c r="R146" i="13"/>
  <c r="Q146" i="13"/>
  <c r="T146" i="13"/>
  <c r="N146" i="13"/>
  <c r="K146" i="13"/>
  <c r="M146" i="13"/>
  <c r="P146" i="13"/>
  <c r="AH138" i="13"/>
  <c r="AJ138" i="13"/>
  <c r="AE138" i="13"/>
  <c r="AA138" i="13"/>
  <c r="X138" i="13"/>
  <c r="AB138" i="13"/>
  <c r="Z138" i="13"/>
  <c r="V138" i="13"/>
  <c r="AC138" i="13"/>
  <c r="Q138" i="13"/>
  <c r="R138" i="13"/>
  <c r="N138" i="13"/>
  <c r="K138" i="13"/>
  <c r="T138" i="13"/>
  <c r="U138" i="13"/>
  <c r="O138" i="13"/>
  <c r="M138" i="13"/>
  <c r="W138" i="13"/>
  <c r="AH130" i="13"/>
  <c r="AJ130" i="13"/>
  <c r="AC130" i="13"/>
  <c r="AD130" i="13"/>
  <c r="AE130" i="13"/>
  <c r="AB130" i="13"/>
  <c r="AA130" i="13"/>
  <c r="X130" i="13"/>
  <c r="Y130" i="13"/>
  <c r="V130" i="13"/>
  <c r="Q130" i="13"/>
  <c r="U130" i="13"/>
  <c r="N130" i="13"/>
  <c r="W130" i="13"/>
  <c r="K130" i="13"/>
  <c r="S130" i="13"/>
  <c r="P130" i="13"/>
  <c r="R130" i="13"/>
  <c r="M130" i="13"/>
  <c r="AH122" i="13"/>
  <c r="AE122" i="13"/>
  <c r="AD122" i="13"/>
  <c r="AJ122" i="13"/>
  <c r="AB122" i="13"/>
  <c r="Z122" i="13"/>
  <c r="V122" i="13"/>
  <c r="AC122" i="13"/>
  <c r="W122" i="13"/>
  <c r="T122" i="13"/>
  <c r="Y122" i="13"/>
  <c r="Q122" i="13"/>
  <c r="N122" i="13"/>
  <c r="O122" i="13"/>
  <c r="K122" i="13"/>
  <c r="AA122" i="13"/>
  <c r="X122" i="13"/>
  <c r="M122" i="13"/>
  <c r="U122" i="13"/>
  <c r="AH114" i="13"/>
  <c r="AJ114" i="13"/>
  <c r="AD114" i="13"/>
  <c r="AE114" i="13"/>
  <c r="AA114" i="13"/>
  <c r="AB114" i="13"/>
  <c r="Y114" i="13"/>
  <c r="AC114" i="13"/>
  <c r="X114" i="13"/>
  <c r="V114" i="13"/>
  <c r="Z114" i="13"/>
  <c r="U114" i="13"/>
  <c r="S114" i="13"/>
  <c r="T114" i="13"/>
  <c r="N114" i="13"/>
  <c r="K114" i="13"/>
  <c r="R114" i="13"/>
  <c r="M114" i="13"/>
  <c r="O114" i="13"/>
  <c r="AH106" i="13"/>
  <c r="AC106" i="13"/>
  <c r="AD106" i="13"/>
  <c r="AE106" i="13"/>
  <c r="Z106" i="13"/>
  <c r="AJ106" i="13"/>
  <c r="W106" i="13"/>
  <c r="V106" i="13"/>
  <c r="AA106" i="13"/>
  <c r="Y106" i="13"/>
  <c r="X106" i="13"/>
  <c r="AB106" i="13"/>
  <c r="N106" i="13"/>
  <c r="K106" i="13"/>
  <c r="Q106" i="13"/>
  <c r="T106" i="13"/>
  <c r="P106" i="13"/>
  <c r="M106" i="13"/>
  <c r="AH98" i="13"/>
  <c r="AE98" i="13"/>
  <c r="AD98" i="13"/>
  <c r="AA98" i="13"/>
  <c r="AJ98" i="13"/>
  <c r="AC98" i="13"/>
  <c r="Z98" i="13"/>
  <c r="W98" i="13"/>
  <c r="V98" i="13"/>
  <c r="AB98" i="13"/>
  <c r="X98" i="13"/>
  <c r="N98" i="13"/>
  <c r="K98" i="13"/>
  <c r="O98" i="13"/>
  <c r="U98" i="13"/>
  <c r="S98" i="13"/>
  <c r="R98" i="13"/>
  <c r="M98" i="13"/>
  <c r="AH90" i="13"/>
  <c r="AJ90" i="13"/>
  <c r="AE90" i="13"/>
  <c r="AD90" i="13"/>
  <c r="AC90" i="13"/>
  <c r="AB90" i="13"/>
  <c r="Z90" i="13"/>
  <c r="AA90" i="13"/>
  <c r="X90" i="13"/>
  <c r="V90" i="13"/>
  <c r="Y90" i="13"/>
  <c r="W90" i="13"/>
  <c r="T90" i="13"/>
  <c r="R90" i="13"/>
  <c r="U90" i="13"/>
  <c r="N90" i="13"/>
  <c r="P90" i="13"/>
  <c r="K90" i="13"/>
  <c r="Q90" i="13"/>
  <c r="M90" i="13"/>
  <c r="AH82" i="13"/>
  <c r="AJ82" i="13"/>
  <c r="AE82" i="13"/>
  <c r="AC82" i="13"/>
  <c r="Y82" i="13"/>
  <c r="AD82" i="13"/>
  <c r="Z82" i="13"/>
  <c r="V82" i="13"/>
  <c r="AB82" i="13"/>
  <c r="S82" i="13"/>
  <c r="R82" i="13"/>
  <c r="T82" i="13"/>
  <c r="N82" i="13"/>
  <c r="X82" i="13"/>
  <c r="K82" i="13"/>
  <c r="M82" i="13"/>
  <c r="U82" i="13"/>
  <c r="P82" i="13"/>
  <c r="AH74" i="13"/>
  <c r="AD74" i="13"/>
  <c r="AJ74" i="13"/>
  <c r="AB74" i="13"/>
  <c r="AA74" i="13"/>
  <c r="AC74" i="13"/>
  <c r="Y74" i="13"/>
  <c r="Z74" i="13"/>
  <c r="X74" i="13"/>
  <c r="V74" i="13"/>
  <c r="Q74" i="13"/>
  <c r="R74" i="13"/>
  <c r="N74" i="13"/>
  <c r="K74" i="13"/>
  <c r="U74" i="13"/>
  <c r="O74" i="13"/>
  <c r="M74" i="13"/>
  <c r="W74" i="13"/>
  <c r="T74" i="13"/>
  <c r="AH66" i="13"/>
  <c r="AE66" i="13"/>
  <c r="AD66" i="13"/>
  <c r="AA66" i="13"/>
  <c r="AJ66" i="13"/>
  <c r="AC66" i="13"/>
  <c r="AB66" i="13"/>
  <c r="Z66" i="13"/>
  <c r="W66" i="13"/>
  <c r="V66" i="13"/>
  <c r="Q66" i="13"/>
  <c r="Y66" i="13"/>
  <c r="U66" i="13"/>
  <c r="N66" i="13"/>
  <c r="T66" i="13"/>
  <c r="K66" i="13"/>
  <c r="P66" i="13"/>
  <c r="M66" i="13"/>
  <c r="S66" i="13"/>
  <c r="AH58" i="13"/>
  <c r="AJ58" i="13"/>
  <c r="AC58" i="13"/>
  <c r="AB58" i="13"/>
  <c r="AD58" i="13"/>
  <c r="AA58" i="13"/>
  <c r="Z58" i="13"/>
  <c r="X58" i="13"/>
  <c r="Y58" i="13"/>
  <c r="V58" i="13"/>
  <c r="W58" i="13"/>
  <c r="T58" i="13"/>
  <c r="Q58" i="13"/>
  <c r="N58" i="13"/>
  <c r="S58" i="13"/>
  <c r="O58" i="13"/>
  <c r="K58" i="13"/>
  <c r="U58" i="13"/>
  <c r="M58" i="13"/>
  <c r="R58" i="13"/>
  <c r="AH50" i="13"/>
  <c r="AE50" i="13"/>
  <c r="AJ50" i="13"/>
  <c r="AD50" i="13"/>
  <c r="AC50" i="13"/>
  <c r="Z50" i="13"/>
  <c r="AB50" i="13"/>
  <c r="Y50" i="13"/>
  <c r="V50" i="13"/>
  <c r="X50" i="13"/>
  <c r="U50" i="13"/>
  <c r="S50" i="13"/>
  <c r="AA50" i="13"/>
  <c r="T50" i="13"/>
  <c r="N50" i="13"/>
  <c r="K50" i="13"/>
  <c r="Q50" i="13"/>
  <c r="M50" i="13"/>
  <c r="O50" i="13"/>
  <c r="AH42" i="13"/>
  <c r="AE42" i="13"/>
  <c r="AD42" i="13"/>
  <c r="AC42" i="13"/>
  <c r="AA42" i="13"/>
  <c r="AB42" i="13"/>
  <c r="V42" i="13"/>
  <c r="AJ42" i="13"/>
  <c r="X42" i="13"/>
  <c r="W42" i="13"/>
  <c r="N42" i="13"/>
  <c r="K42" i="13"/>
  <c r="P42" i="13"/>
  <c r="M42" i="13"/>
  <c r="U42" i="13"/>
  <c r="R42" i="13"/>
  <c r="AH34" i="13"/>
  <c r="AE34" i="13"/>
  <c r="AJ34" i="13"/>
  <c r="AA34" i="13"/>
  <c r="AC34" i="13"/>
  <c r="Z34" i="13"/>
  <c r="W34" i="13"/>
  <c r="V34" i="13"/>
  <c r="AD34" i="13"/>
  <c r="Y34" i="13"/>
  <c r="X34" i="13"/>
  <c r="AB34" i="13"/>
  <c r="N34" i="13"/>
  <c r="K34" i="13"/>
  <c r="U34" i="13"/>
  <c r="T34" i="13"/>
  <c r="O34" i="13"/>
  <c r="Q34" i="13"/>
  <c r="M34" i="13"/>
  <c r="AH26" i="13"/>
  <c r="AJ26" i="13"/>
  <c r="AC26" i="13"/>
  <c r="AB26" i="13"/>
  <c r="AD26" i="13"/>
  <c r="Z26" i="13"/>
  <c r="X26" i="13"/>
  <c r="V26" i="13"/>
  <c r="W26" i="13"/>
  <c r="Y26" i="13"/>
  <c r="T26" i="13"/>
  <c r="R26" i="13"/>
  <c r="AA26" i="13"/>
  <c r="AE26" i="13"/>
  <c r="U26" i="13"/>
  <c r="N26" i="13"/>
  <c r="P26" i="13"/>
  <c r="K26" i="13"/>
  <c r="S26" i="13"/>
  <c r="M26" i="13"/>
  <c r="AH18" i="13"/>
  <c r="AJ18" i="13"/>
  <c r="AE18" i="13"/>
  <c r="AD18" i="13"/>
  <c r="AC18" i="13"/>
  <c r="AB18" i="13"/>
  <c r="AA18" i="13"/>
  <c r="Y18" i="13"/>
  <c r="X18" i="13"/>
  <c r="V18" i="13"/>
  <c r="S18" i="13"/>
  <c r="R18" i="13"/>
  <c r="T18" i="13"/>
  <c r="N18" i="13"/>
  <c r="K18" i="13"/>
  <c r="Q18" i="13"/>
  <c r="M18" i="13"/>
  <c r="Z18" i="13"/>
  <c r="P18" i="13"/>
  <c r="AH10" i="13"/>
  <c r="AJ10" i="13"/>
  <c r="AC10" i="13"/>
  <c r="AD10" i="13"/>
  <c r="Z10" i="13"/>
  <c r="V10" i="13"/>
  <c r="AE10" i="13"/>
  <c r="AB10" i="13"/>
  <c r="Q10" i="13"/>
  <c r="U10" i="13"/>
  <c r="R10" i="13"/>
  <c r="N10" i="13"/>
  <c r="Y10" i="13"/>
  <c r="S10" i="13"/>
  <c r="K10" i="13"/>
  <c r="AA10" i="13"/>
  <c r="O10" i="13"/>
  <c r="M10" i="13"/>
  <c r="K302" i="13"/>
  <c r="K270" i="13"/>
  <c r="K254" i="13"/>
  <c r="K238" i="13"/>
  <c r="K222" i="13"/>
  <c r="M276" i="13"/>
  <c r="M260" i="13"/>
  <c r="M244" i="13"/>
  <c r="M212" i="13"/>
  <c r="M196" i="13"/>
  <c r="M180" i="13"/>
  <c r="M164" i="13"/>
  <c r="M148" i="13"/>
  <c r="M132" i="13"/>
  <c r="M116" i="13"/>
  <c r="M100" i="13"/>
  <c r="M84" i="13"/>
  <c r="M68" i="13"/>
  <c r="M52" i="13"/>
  <c r="M36" i="13"/>
  <c r="M20" i="13"/>
  <c r="N303" i="13"/>
  <c r="N287" i="13"/>
  <c r="N269" i="13"/>
  <c r="N251" i="13"/>
  <c r="N214" i="13"/>
  <c r="N196" i="13"/>
  <c r="N132" i="13"/>
  <c r="N68" i="13"/>
  <c r="O296" i="13"/>
  <c r="O271" i="13"/>
  <c r="O246" i="13"/>
  <c r="O218" i="13"/>
  <c r="O90" i="13"/>
  <c r="P261" i="13"/>
  <c r="P236" i="13"/>
  <c r="P211" i="13"/>
  <c r="P186" i="13"/>
  <c r="P133" i="13"/>
  <c r="P83" i="13"/>
  <c r="P58" i="13"/>
  <c r="Q304" i="13"/>
  <c r="Q279" i="13"/>
  <c r="Q229" i="13"/>
  <c r="Q69" i="13"/>
  <c r="Q37" i="13"/>
  <c r="R250" i="13"/>
  <c r="R189" i="13"/>
  <c r="R132" i="13"/>
  <c r="R75" i="13"/>
  <c r="R43" i="13"/>
  <c r="S285" i="13"/>
  <c r="S186" i="13"/>
  <c r="S52" i="13"/>
  <c r="T247" i="13"/>
  <c r="T214" i="13"/>
  <c r="T77" i="13"/>
  <c r="T42" i="13"/>
  <c r="U266" i="13"/>
  <c r="U226" i="13"/>
  <c r="U186" i="13"/>
  <c r="U146" i="13"/>
  <c r="U106" i="13"/>
  <c r="U60" i="13"/>
  <c r="U18" i="13"/>
  <c r="V215" i="13"/>
  <c r="W258" i="13"/>
  <c r="W203" i="13"/>
  <c r="W139" i="13"/>
  <c r="W10" i="13"/>
  <c r="X242" i="13"/>
  <c r="AE279" i="13"/>
  <c r="AH279" i="13"/>
  <c r="AD279" i="13"/>
  <c r="AB279" i="13"/>
  <c r="AJ279" i="13"/>
  <c r="AA279" i="13"/>
  <c r="AC279" i="13"/>
  <c r="Z279" i="13"/>
  <c r="X279" i="13"/>
  <c r="U279" i="13"/>
  <c r="W279" i="13"/>
  <c r="S279" i="13"/>
  <c r="P279" i="13"/>
  <c r="Y279" i="13"/>
  <c r="V279" i="13"/>
  <c r="O279" i="13"/>
  <c r="L279" i="13"/>
  <c r="T279" i="13"/>
  <c r="AJ255" i="13"/>
  <c r="AE255" i="13"/>
  <c r="AH255" i="13"/>
  <c r="AB255" i="13"/>
  <c r="AD255" i="13"/>
  <c r="AA255" i="13"/>
  <c r="AC255" i="13"/>
  <c r="U255" i="13"/>
  <c r="Z255" i="13"/>
  <c r="W255" i="13"/>
  <c r="V255" i="13"/>
  <c r="R255" i="13"/>
  <c r="Y255" i="13"/>
  <c r="X255" i="13"/>
  <c r="P255" i="13"/>
  <c r="N255" i="13"/>
  <c r="O255" i="13"/>
  <c r="L255" i="13"/>
  <c r="AE231" i="13"/>
  <c r="AH231" i="13"/>
  <c r="AJ231" i="13"/>
  <c r="AB231" i="13"/>
  <c r="AA231" i="13"/>
  <c r="Z231" i="13"/>
  <c r="AC231" i="13"/>
  <c r="Y231" i="13"/>
  <c r="U231" i="13"/>
  <c r="W231" i="13"/>
  <c r="AD231" i="13"/>
  <c r="T231" i="13"/>
  <c r="P231" i="13"/>
  <c r="S231" i="13"/>
  <c r="V231" i="13"/>
  <c r="R231" i="13"/>
  <c r="X231" i="13"/>
  <c r="L231" i="13"/>
  <c r="O231" i="13"/>
  <c r="N231" i="13"/>
  <c r="K279" i="13"/>
  <c r="K231" i="13"/>
  <c r="V295" i="13"/>
  <c r="AH278" i="13"/>
  <c r="AE278" i="13"/>
  <c r="AD278" i="13"/>
  <c r="AB278" i="13"/>
  <c r="AJ278" i="13"/>
  <c r="AA278" i="13"/>
  <c r="AC278" i="13"/>
  <c r="Z278" i="13"/>
  <c r="X278" i="13"/>
  <c r="U278" i="13"/>
  <c r="R278" i="13"/>
  <c r="W278" i="13"/>
  <c r="P278" i="13"/>
  <c r="O278" i="13"/>
  <c r="S278" i="13"/>
  <c r="L278" i="13"/>
  <c r="T278" i="13"/>
  <c r="Q278" i="13"/>
  <c r="AJ262" i="13"/>
  <c r="AH262" i="13"/>
  <c r="AB262" i="13"/>
  <c r="AE262" i="13"/>
  <c r="AA262" i="13"/>
  <c r="AC262" i="13"/>
  <c r="Y262" i="13"/>
  <c r="U262" i="13"/>
  <c r="R262" i="13"/>
  <c r="AD262" i="13"/>
  <c r="W262" i="13"/>
  <c r="T262" i="13"/>
  <c r="P262" i="13"/>
  <c r="Z262" i="13"/>
  <c r="S262" i="13"/>
  <c r="X262" i="13"/>
  <c r="Q262" i="13"/>
  <c r="L262" i="13"/>
  <c r="V262" i="13"/>
  <c r="AE222" i="13"/>
  <c r="AB222" i="13"/>
  <c r="AJ222" i="13"/>
  <c r="AA222" i="13"/>
  <c r="Z222" i="13"/>
  <c r="U222" i="13"/>
  <c r="R222" i="13"/>
  <c r="AC222" i="13"/>
  <c r="AH222" i="13"/>
  <c r="AD222" i="13"/>
  <c r="P222" i="13"/>
  <c r="T222" i="13"/>
  <c r="Q222" i="13"/>
  <c r="L222" i="13"/>
  <c r="W222" i="13"/>
  <c r="N222" i="13"/>
  <c r="K294" i="13"/>
  <c r="K246" i="13"/>
  <c r="R295" i="13"/>
  <c r="V238" i="13"/>
  <c r="AC287" i="13"/>
  <c r="AJ277" i="13"/>
  <c r="AE277" i="13"/>
  <c r="AH277" i="13"/>
  <c r="Z277" i="13"/>
  <c r="AB277" i="13"/>
  <c r="AA277" i="13"/>
  <c r="W277" i="13"/>
  <c r="Y277" i="13"/>
  <c r="X277" i="13"/>
  <c r="V277" i="13"/>
  <c r="O277" i="13"/>
  <c r="S277" i="13"/>
  <c r="L277" i="13"/>
  <c r="U277" i="13"/>
  <c r="T277" i="13"/>
  <c r="AC277" i="13"/>
  <c r="Q277" i="13"/>
  <c r="AD277" i="13"/>
  <c r="R277" i="13"/>
  <c r="N277" i="13"/>
  <c r="K277" i="13"/>
  <c r="AJ245" i="13"/>
  <c r="AH245" i="13"/>
  <c r="AE245" i="13"/>
  <c r="AC245" i="13"/>
  <c r="AD245" i="13"/>
  <c r="AB245" i="13"/>
  <c r="Y245" i="13"/>
  <c r="W245" i="13"/>
  <c r="R245" i="13"/>
  <c r="V245" i="13"/>
  <c r="O245" i="13"/>
  <c r="L245" i="13"/>
  <c r="T245" i="13"/>
  <c r="P245" i="13"/>
  <c r="U245" i="13"/>
  <c r="K245" i="13"/>
  <c r="AJ221" i="13"/>
  <c r="AH221" i="13"/>
  <c r="AE221" i="13"/>
  <c r="AA221" i="13"/>
  <c r="AC221" i="13"/>
  <c r="AB221" i="13"/>
  <c r="Z221" i="13"/>
  <c r="Y221" i="13"/>
  <c r="T221" i="13"/>
  <c r="S221" i="13"/>
  <c r="O221" i="13"/>
  <c r="L221" i="13"/>
  <c r="W221" i="13"/>
  <c r="AD221" i="13"/>
  <c r="U221" i="13"/>
  <c r="N221" i="13"/>
  <c r="P221" i="13"/>
  <c r="K221" i="13"/>
  <c r="AJ181" i="13"/>
  <c r="AH181" i="13"/>
  <c r="AE181" i="13"/>
  <c r="AD181" i="13"/>
  <c r="AC181" i="13"/>
  <c r="AB181" i="13"/>
  <c r="Z181" i="13"/>
  <c r="W181" i="13"/>
  <c r="R181" i="13"/>
  <c r="V181" i="13"/>
  <c r="O181" i="13"/>
  <c r="L181" i="13"/>
  <c r="S181" i="13"/>
  <c r="N181" i="13"/>
  <c r="U181" i="13"/>
  <c r="P181" i="13"/>
  <c r="K181" i="13"/>
  <c r="AJ149" i="13"/>
  <c r="AE149" i="13"/>
  <c r="AH149" i="13"/>
  <c r="AA149" i="13"/>
  <c r="AB149" i="13"/>
  <c r="Z149" i="13"/>
  <c r="Y149" i="13"/>
  <c r="X149" i="13"/>
  <c r="V149" i="13"/>
  <c r="O149" i="13"/>
  <c r="AD149" i="13"/>
  <c r="L149" i="13"/>
  <c r="N149" i="13"/>
  <c r="S149" i="13"/>
  <c r="Q149" i="13"/>
  <c r="K149" i="13"/>
  <c r="AJ117" i="13"/>
  <c r="AC117" i="13"/>
  <c r="AE117" i="13"/>
  <c r="AD117" i="13"/>
  <c r="X117" i="13"/>
  <c r="AB117" i="13"/>
  <c r="Y117" i="13"/>
  <c r="W117" i="13"/>
  <c r="AA117" i="13"/>
  <c r="R117" i="13"/>
  <c r="Z117" i="13"/>
  <c r="V117" i="13"/>
  <c r="O117" i="13"/>
  <c r="L117" i="13"/>
  <c r="AH117" i="13"/>
  <c r="U117" i="13"/>
  <c r="N117" i="13"/>
  <c r="P117" i="13"/>
  <c r="S117" i="13"/>
  <c r="K117" i="13"/>
  <c r="AJ93" i="13"/>
  <c r="AH93" i="13"/>
  <c r="AE93" i="13"/>
  <c r="AC93" i="13"/>
  <c r="X93" i="13"/>
  <c r="AB93" i="13"/>
  <c r="AA93" i="13"/>
  <c r="Y93" i="13"/>
  <c r="Q93" i="13"/>
  <c r="AD93" i="13"/>
  <c r="T93" i="13"/>
  <c r="S93" i="13"/>
  <c r="O93" i="13"/>
  <c r="U93" i="13"/>
  <c r="L93" i="13"/>
  <c r="Z93" i="13"/>
  <c r="P93" i="13"/>
  <c r="K93" i="13"/>
  <c r="AJ61" i="13"/>
  <c r="AE61" i="13"/>
  <c r="AH61" i="13"/>
  <c r="AD61" i="13"/>
  <c r="X61" i="13"/>
  <c r="AA61" i="13"/>
  <c r="AB61" i="13"/>
  <c r="AC61" i="13"/>
  <c r="Y61" i="13"/>
  <c r="Z61" i="13"/>
  <c r="W61" i="13"/>
  <c r="U61" i="13"/>
  <c r="T61" i="13"/>
  <c r="S61" i="13"/>
  <c r="O61" i="13"/>
  <c r="Q61" i="13"/>
  <c r="L61" i="13"/>
  <c r="K61" i="13"/>
  <c r="AJ29" i="13"/>
  <c r="AH29" i="13"/>
  <c r="AE29" i="13"/>
  <c r="AB29" i="13"/>
  <c r="X29" i="13"/>
  <c r="AC29" i="13"/>
  <c r="AA29" i="13"/>
  <c r="AD29" i="13"/>
  <c r="Q29" i="13"/>
  <c r="Z29" i="13"/>
  <c r="Y29" i="13"/>
  <c r="T29" i="13"/>
  <c r="S29" i="13"/>
  <c r="O29" i="13"/>
  <c r="W29" i="13"/>
  <c r="U29" i="13"/>
  <c r="N29" i="13"/>
  <c r="L29" i="13"/>
  <c r="V29" i="13"/>
  <c r="R29" i="13"/>
  <c r="P29" i="13"/>
  <c r="K29" i="13"/>
  <c r="M247" i="13"/>
  <c r="T255" i="13"/>
  <c r="AD292" i="13"/>
  <c r="AH292" i="13"/>
  <c r="AC292" i="13"/>
  <c r="AB292" i="13"/>
  <c r="AA292" i="13"/>
  <c r="X292" i="13"/>
  <c r="AJ292" i="13"/>
  <c r="AE292" i="13"/>
  <c r="W292" i="13"/>
  <c r="T292" i="13"/>
  <c r="V292" i="13"/>
  <c r="U292" i="13"/>
  <c r="R292" i="13"/>
  <c r="O292" i="13"/>
  <c r="Y292" i="13"/>
  <c r="N292" i="13"/>
  <c r="K292" i="13"/>
  <c r="Q292" i="13"/>
  <c r="AD268" i="13"/>
  <c r="AH268" i="13"/>
  <c r="AE268" i="13"/>
  <c r="AJ268" i="13"/>
  <c r="Z268" i="13"/>
  <c r="AC268" i="13"/>
  <c r="AB268" i="13"/>
  <c r="X268" i="13"/>
  <c r="W268" i="13"/>
  <c r="T268" i="13"/>
  <c r="V268" i="13"/>
  <c r="AA268" i="13"/>
  <c r="U268" i="13"/>
  <c r="O268" i="13"/>
  <c r="P268" i="13"/>
  <c r="K268" i="13"/>
  <c r="S268" i="13"/>
  <c r="N268" i="13"/>
  <c r="AD228" i="13"/>
  <c r="AE228" i="13"/>
  <c r="AC228" i="13"/>
  <c r="AB228" i="13"/>
  <c r="AJ228" i="13"/>
  <c r="AH228" i="13"/>
  <c r="AA228" i="13"/>
  <c r="Z228" i="13"/>
  <c r="X228" i="13"/>
  <c r="Y228" i="13"/>
  <c r="T228" i="13"/>
  <c r="W228" i="13"/>
  <c r="V228" i="13"/>
  <c r="U228" i="13"/>
  <c r="R228" i="13"/>
  <c r="O228" i="13"/>
  <c r="S228" i="13"/>
  <c r="N228" i="13"/>
  <c r="K228" i="13"/>
  <c r="Q228" i="13"/>
  <c r="AD204" i="13"/>
  <c r="AE204" i="13"/>
  <c r="AH204" i="13"/>
  <c r="AJ204" i="13"/>
  <c r="Z204" i="13"/>
  <c r="AB204" i="13"/>
  <c r="AA204" i="13"/>
  <c r="X204" i="13"/>
  <c r="AC204" i="13"/>
  <c r="T204" i="13"/>
  <c r="Y204" i="13"/>
  <c r="V204" i="13"/>
  <c r="U204" i="13"/>
  <c r="O204" i="13"/>
  <c r="P204" i="13"/>
  <c r="K204" i="13"/>
  <c r="R204" i="13"/>
  <c r="N204" i="13"/>
  <c r="AJ172" i="13"/>
  <c r="AD172" i="13"/>
  <c r="AH172" i="13"/>
  <c r="AA172" i="13"/>
  <c r="Z172" i="13"/>
  <c r="AB172" i="13"/>
  <c r="X172" i="13"/>
  <c r="Y172" i="13"/>
  <c r="T172" i="13"/>
  <c r="AC172" i="13"/>
  <c r="W172" i="13"/>
  <c r="V172" i="13"/>
  <c r="AE172" i="13"/>
  <c r="R172" i="13"/>
  <c r="O172" i="13"/>
  <c r="Q172" i="13"/>
  <c r="N172" i="13"/>
  <c r="K172" i="13"/>
  <c r="AD140" i="13"/>
  <c r="AJ140" i="13"/>
  <c r="AA140" i="13"/>
  <c r="AE140" i="13"/>
  <c r="Z140" i="13"/>
  <c r="AC140" i="13"/>
  <c r="AH140" i="13"/>
  <c r="X140" i="13"/>
  <c r="T140" i="13"/>
  <c r="V140" i="13"/>
  <c r="Y140" i="13"/>
  <c r="W140" i="13"/>
  <c r="U140" i="13"/>
  <c r="O140" i="13"/>
  <c r="R140" i="13"/>
  <c r="P140" i="13"/>
  <c r="N140" i="13"/>
  <c r="K140" i="13"/>
  <c r="AJ108" i="13"/>
  <c r="AD108" i="13"/>
  <c r="AH108" i="13"/>
  <c r="AC108" i="13"/>
  <c r="AA108" i="13"/>
  <c r="Z108" i="13"/>
  <c r="AE108" i="13"/>
  <c r="AB108" i="13"/>
  <c r="T108" i="13"/>
  <c r="W108" i="13"/>
  <c r="V108" i="13"/>
  <c r="R108" i="13"/>
  <c r="O108" i="13"/>
  <c r="Y108" i="13"/>
  <c r="Q108" i="13"/>
  <c r="N108" i="13"/>
  <c r="K108" i="13"/>
  <c r="AD76" i="13"/>
  <c r="AE76" i="13"/>
  <c r="AJ76" i="13"/>
  <c r="AA76" i="13"/>
  <c r="Z76" i="13"/>
  <c r="AH76" i="13"/>
  <c r="AB76" i="13"/>
  <c r="AC76" i="13"/>
  <c r="W76" i="13"/>
  <c r="T76" i="13"/>
  <c r="Y76" i="13"/>
  <c r="X76" i="13"/>
  <c r="V76" i="13"/>
  <c r="U76" i="13"/>
  <c r="Q76" i="13"/>
  <c r="O76" i="13"/>
  <c r="S76" i="13"/>
  <c r="P76" i="13"/>
  <c r="N76" i="13"/>
  <c r="K76" i="13"/>
  <c r="AD44" i="13"/>
  <c r="AE44" i="13"/>
  <c r="AJ44" i="13"/>
  <c r="AC44" i="13"/>
  <c r="AA44" i="13"/>
  <c r="Z44" i="13"/>
  <c r="AB44" i="13"/>
  <c r="Y44" i="13"/>
  <c r="X44" i="13"/>
  <c r="W44" i="13"/>
  <c r="T44" i="13"/>
  <c r="AH44" i="13"/>
  <c r="V44" i="13"/>
  <c r="R44" i="13"/>
  <c r="O44" i="13"/>
  <c r="S44" i="13"/>
  <c r="N44" i="13"/>
  <c r="K44" i="13"/>
  <c r="AD12" i="13"/>
  <c r="AH12" i="13"/>
  <c r="AA12" i="13"/>
  <c r="AE12" i="13"/>
  <c r="Z12" i="13"/>
  <c r="AB12" i="13"/>
  <c r="AJ12" i="13"/>
  <c r="AC12" i="13"/>
  <c r="Y12" i="13"/>
  <c r="W12" i="13"/>
  <c r="T12" i="13"/>
  <c r="V12" i="13"/>
  <c r="X12" i="13"/>
  <c r="Q12" i="13"/>
  <c r="O12" i="13"/>
  <c r="P12" i="13"/>
  <c r="U12" i="13"/>
  <c r="S12" i="13"/>
  <c r="R12" i="13"/>
  <c r="K12" i="13"/>
  <c r="M246" i="13"/>
  <c r="N271" i="13"/>
  <c r="U148" i="13"/>
  <c r="AH305" i="13"/>
  <c r="AE305" i="13"/>
  <c r="AC305" i="13"/>
  <c r="AD305" i="13"/>
  <c r="AJ305" i="13"/>
  <c r="AA305" i="13"/>
  <c r="Z305" i="13"/>
  <c r="Y305" i="13"/>
  <c r="AB305" i="13"/>
  <c r="V305" i="13"/>
  <c r="S305" i="13"/>
  <c r="U305" i="13"/>
  <c r="Q305" i="13"/>
  <c r="T305" i="13"/>
  <c r="M305" i="13"/>
  <c r="X305" i="13"/>
  <c r="W305" i="13"/>
  <c r="R305" i="13"/>
  <c r="O305" i="13"/>
  <c r="AJ297" i="13"/>
  <c r="AE297" i="13"/>
  <c r="AD297" i="13"/>
  <c r="AC297" i="13"/>
  <c r="AH297" i="13"/>
  <c r="Y297" i="13"/>
  <c r="AB297" i="13"/>
  <c r="Z297" i="13"/>
  <c r="V297" i="13"/>
  <c r="S297" i="13"/>
  <c r="Q297" i="13"/>
  <c r="X297" i="13"/>
  <c r="U297" i="13"/>
  <c r="W297" i="13"/>
  <c r="P297" i="13"/>
  <c r="AJ257" i="13"/>
  <c r="AD257" i="13"/>
  <c r="AC257" i="13"/>
  <c r="AE257" i="13"/>
  <c r="AB257" i="13"/>
  <c r="Y257" i="13"/>
  <c r="AA257" i="13"/>
  <c r="V257" i="13"/>
  <c r="X257" i="13"/>
  <c r="S257" i="13"/>
  <c r="Q257" i="13"/>
  <c r="U257" i="13"/>
  <c r="R257" i="13"/>
  <c r="P257" i="13"/>
  <c r="Z257" i="13"/>
  <c r="T257" i="13"/>
  <c r="M257" i="13"/>
  <c r="N257" i="13"/>
  <c r="W257" i="13"/>
  <c r="AJ249" i="13"/>
  <c r="AE249" i="13"/>
  <c r="AC249" i="13"/>
  <c r="AB249" i="13"/>
  <c r="Z249" i="13"/>
  <c r="Y249" i="13"/>
  <c r="AH249" i="13"/>
  <c r="AD249" i="13"/>
  <c r="V249" i="13"/>
  <c r="AA249" i="13"/>
  <c r="S249" i="13"/>
  <c r="X249" i="13"/>
  <c r="Q249" i="13"/>
  <c r="M249" i="13"/>
  <c r="W249" i="13"/>
  <c r="R249" i="13"/>
  <c r="P249" i="13"/>
  <c r="N249" i="13"/>
  <c r="AH241" i="13"/>
  <c r="AE241" i="13"/>
  <c r="AC241" i="13"/>
  <c r="AD241" i="13"/>
  <c r="AA241" i="13"/>
  <c r="Z241" i="13"/>
  <c r="Y241" i="13"/>
  <c r="AJ241" i="13"/>
  <c r="V241" i="13"/>
  <c r="S241" i="13"/>
  <c r="Q241" i="13"/>
  <c r="T241" i="13"/>
  <c r="M241" i="13"/>
  <c r="U241" i="13"/>
  <c r="O241" i="13"/>
  <c r="X241" i="13"/>
  <c r="AD233" i="13"/>
  <c r="AH233" i="13"/>
  <c r="AE233" i="13"/>
  <c r="AC233" i="13"/>
  <c r="AJ233" i="13"/>
  <c r="Y233" i="13"/>
  <c r="AB233" i="13"/>
  <c r="Z233" i="13"/>
  <c r="V233" i="13"/>
  <c r="S233" i="13"/>
  <c r="AA233" i="13"/>
  <c r="Q233" i="13"/>
  <c r="X233" i="13"/>
  <c r="W233" i="13"/>
  <c r="U233" i="13"/>
  <c r="P233" i="13"/>
  <c r="M233" i="13"/>
  <c r="R233" i="13"/>
  <c r="AJ225" i="13"/>
  <c r="AC225" i="13"/>
  <c r="AH225" i="13"/>
  <c r="AD225" i="13"/>
  <c r="AE225" i="13"/>
  <c r="Y225" i="13"/>
  <c r="AB225" i="13"/>
  <c r="AA225" i="13"/>
  <c r="W225" i="13"/>
  <c r="V225" i="13"/>
  <c r="X225" i="13"/>
  <c r="S225" i="13"/>
  <c r="Q225" i="13"/>
  <c r="O225" i="13"/>
  <c r="M225" i="13"/>
  <c r="T225" i="13"/>
  <c r="U225" i="13"/>
  <c r="AH217" i="13"/>
  <c r="AC217" i="13"/>
  <c r="AD217" i="13"/>
  <c r="AB217" i="13"/>
  <c r="AJ217" i="13"/>
  <c r="Y217" i="13"/>
  <c r="Z217" i="13"/>
  <c r="AA217" i="13"/>
  <c r="V217" i="13"/>
  <c r="AE217" i="13"/>
  <c r="W217" i="13"/>
  <c r="S217" i="13"/>
  <c r="X217" i="13"/>
  <c r="U217" i="13"/>
  <c r="Q217" i="13"/>
  <c r="M217" i="13"/>
  <c r="R217" i="13"/>
  <c r="O217" i="13"/>
  <c r="AJ209" i="13"/>
  <c r="AC209" i="13"/>
  <c r="AH209" i="13"/>
  <c r="AD209" i="13"/>
  <c r="AA209" i="13"/>
  <c r="Y209" i="13"/>
  <c r="AB209" i="13"/>
  <c r="V209" i="13"/>
  <c r="S209" i="13"/>
  <c r="W209" i="13"/>
  <c r="R209" i="13"/>
  <c r="Q209" i="13"/>
  <c r="AE209" i="13"/>
  <c r="T209" i="13"/>
  <c r="Z209" i="13"/>
  <c r="N209" i="13"/>
  <c r="M209" i="13"/>
  <c r="P209" i="13"/>
  <c r="AJ201" i="13"/>
  <c r="AH201" i="13"/>
  <c r="AC201" i="13"/>
  <c r="AE201" i="13"/>
  <c r="AD201" i="13"/>
  <c r="AB201" i="13"/>
  <c r="Y201" i="13"/>
  <c r="V201" i="13"/>
  <c r="S201" i="13"/>
  <c r="AA201" i="13"/>
  <c r="Z201" i="13"/>
  <c r="W201" i="13"/>
  <c r="Q201" i="13"/>
  <c r="R201" i="13"/>
  <c r="O201" i="13"/>
  <c r="N201" i="13"/>
  <c r="M201" i="13"/>
  <c r="U201" i="13"/>
  <c r="X201" i="13"/>
  <c r="AH193" i="13"/>
  <c r="AJ193" i="13"/>
  <c r="AC193" i="13"/>
  <c r="Y193" i="13"/>
  <c r="AE193" i="13"/>
  <c r="V193" i="13"/>
  <c r="X193" i="13"/>
  <c r="S193" i="13"/>
  <c r="AB193" i="13"/>
  <c r="Q193" i="13"/>
  <c r="U193" i="13"/>
  <c r="R193" i="13"/>
  <c r="P193" i="13"/>
  <c r="AD193" i="13"/>
  <c r="M193" i="13"/>
  <c r="W193" i="13"/>
  <c r="N193" i="13"/>
  <c r="T193" i="13"/>
  <c r="K297" i="13"/>
  <c r="K281" i="13"/>
  <c r="K265" i="13"/>
  <c r="K249" i="13"/>
  <c r="K233" i="13"/>
  <c r="K217" i="13"/>
  <c r="K201" i="13"/>
  <c r="L292" i="13"/>
  <c r="L276" i="13"/>
  <c r="L260" i="13"/>
  <c r="L244" i="13"/>
  <c r="L228" i="13"/>
  <c r="L212" i="13"/>
  <c r="L196" i="13"/>
  <c r="L180" i="13"/>
  <c r="L148" i="13"/>
  <c r="L132" i="13"/>
  <c r="L116" i="13"/>
  <c r="L100" i="13"/>
  <c r="L84" i="13"/>
  <c r="L52" i="13"/>
  <c r="L20" i="13"/>
  <c r="M303" i="13"/>
  <c r="M287" i="13"/>
  <c r="M271" i="13"/>
  <c r="M255" i="13"/>
  <c r="M239" i="13"/>
  <c r="M223" i="13"/>
  <c r="N298" i="13"/>
  <c r="N281" i="13"/>
  <c r="N263" i="13"/>
  <c r="N245" i="13"/>
  <c r="N227" i="13"/>
  <c r="N147" i="13"/>
  <c r="N125" i="13"/>
  <c r="N83" i="13"/>
  <c r="N61" i="13"/>
  <c r="O263" i="13"/>
  <c r="O238" i="13"/>
  <c r="O210" i="13"/>
  <c r="O82" i="13"/>
  <c r="P281" i="13"/>
  <c r="P228" i="13"/>
  <c r="P203" i="13"/>
  <c r="P178" i="13"/>
  <c r="P100" i="13"/>
  <c r="P75" i="13"/>
  <c r="P50" i="13"/>
  <c r="Q271" i="13"/>
  <c r="Q246" i="13"/>
  <c r="Q221" i="13"/>
  <c r="Q196" i="13"/>
  <c r="Q117" i="13"/>
  <c r="Q60" i="13"/>
  <c r="Q28" i="13"/>
  <c r="R298" i="13"/>
  <c r="R269" i="13"/>
  <c r="R241" i="13"/>
  <c r="R212" i="13"/>
  <c r="R180" i="13"/>
  <c r="R123" i="13"/>
  <c r="R66" i="13"/>
  <c r="R34" i="13"/>
  <c r="S276" i="13"/>
  <c r="S245" i="13"/>
  <c r="S212" i="13"/>
  <c r="S141" i="13"/>
  <c r="S108" i="13"/>
  <c r="S75" i="13"/>
  <c r="S42" i="13"/>
  <c r="T303" i="13"/>
  <c r="T270" i="13"/>
  <c r="T237" i="13"/>
  <c r="T202" i="13"/>
  <c r="T133" i="13"/>
  <c r="T98" i="13"/>
  <c r="U298" i="13"/>
  <c r="U212" i="13"/>
  <c r="U172" i="13"/>
  <c r="V301" i="13"/>
  <c r="V45" i="13"/>
  <c r="W291" i="13"/>
  <c r="W241" i="13"/>
  <c r="W59" i="13"/>
  <c r="X287" i="13"/>
  <c r="X222" i="13"/>
  <c r="X157" i="13"/>
  <c r="X66" i="13"/>
  <c r="Y278" i="13"/>
  <c r="Y98" i="13"/>
  <c r="Z193" i="13"/>
  <c r="AA193" i="13"/>
  <c r="AB283" i="13"/>
  <c r="AC51" i="13"/>
  <c r="AJ286" i="13"/>
  <c r="AE286" i="13"/>
  <c r="AB286" i="13"/>
  <c r="AH286" i="13"/>
  <c r="AA286" i="13"/>
  <c r="Z286" i="13"/>
  <c r="Y286" i="13"/>
  <c r="U286" i="13"/>
  <c r="R286" i="13"/>
  <c r="W286" i="13"/>
  <c r="P286" i="13"/>
  <c r="T286" i="13"/>
  <c r="Q286" i="13"/>
  <c r="L286" i="13"/>
  <c r="AC286" i="13"/>
  <c r="V286" i="13"/>
  <c r="N286" i="13"/>
  <c r="AH254" i="13"/>
  <c r="AB254" i="13"/>
  <c r="AD254" i="13"/>
  <c r="AA254" i="13"/>
  <c r="AJ254" i="13"/>
  <c r="AE254" i="13"/>
  <c r="Z254" i="13"/>
  <c r="AC254" i="13"/>
  <c r="U254" i="13"/>
  <c r="R254" i="13"/>
  <c r="W254" i="13"/>
  <c r="Y254" i="13"/>
  <c r="X254" i="13"/>
  <c r="P254" i="13"/>
  <c r="T254" i="13"/>
  <c r="V254" i="13"/>
  <c r="O254" i="13"/>
  <c r="L254" i="13"/>
  <c r="S254" i="13"/>
  <c r="AH230" i="13"/>
  <c r="AJ230" i="13"/>
  <c r="AE230" i="13"/>
  <c r="AB230" i="13"/>
  <c r="AA230" i="13"/>
  <c r="AD230" i="13"/>
  <c r="AC230" i="13"/>
  <c r="Y230" i="13"/>
  <c r="U230" i="13"/>
  <c r="R230" i="13"/>
  <c r="T230" i="13"/>
  <c r="P230" i="13"/>
  <c r="Z230" i="13"/>
  <c r="S230" i="13"/>
  <c r="V230" i="13"/>
  <c r="X230" i="13"/>
  <c r="L230" i="13"/>
  <c r="O230" i="13"/>
  <c r="N230" i="13"/>
  <c r="K278" i="13"/>
  <c r="K230" i="13"/>
  <c r="AD286" i="13"/>
  <c r="AJ285" i="13"/>
  <c r="AH285" i="13"/>
  <c r="AE285" i="13"/>
  <c r="AD285" i="13"/>
  <c r="AB285" i="13"/>
  <c r="AC285" i="13"/>
  <c r="W285" i="13"/>
  <c r="AA285" i="13"/>
  <c r="Z285" i="13"/>
  <c r="Y285" i="13"/>
  <c r="T285" i="13"/>
  <c r="O285" i="13"/>
  <c r="L285" i="13"/>
  <c r="V285" i="13"/>
  <c r="N285" i="13"/>
  <c r="U285" i="13"/>
  <c r="P285" i="13"/>
  <c r="K285" i="13"/>
  <c r="AJ253" i="13"/>
  <c r="AD253" i="13"/>
  <c r="Z253" i="13"/>
  <c r="AH253" i="13"/>
  <c r="AE253" i="13"/>
  <c r="AB253" i="13"/>
  <c r="W253" i="13"/>
  <c r="AA253" i="13"/>
  <c r="U253" i="13"/>
  <c r="AC253" i="13"/>
  <c r="T253" i="13"/>
  <c r="S253" i="13"/>
  <c r="O253" i="13"/>
  <c r="V253" i="13"/>
  <c r="L253" i="13"/>
  <c r="Y253" i="13"/>
  <c r="Q253" i="13"/>
  <c r="K253" i="13"/>
  <c r="AJ213" i="13"/>
  <c r="AE213" i="13"/>
  <c r="AH213" i="13"/>
  <c r="AD213" i="13"/>
  <c r="AB213" i="13"/>
  <c r="Z213" i="13"/>
  <c r="AC213" i="13"/>
  <c r="AA213" i="13"/>
  <c r="W213" i="13"/>
  <c r="X213" i="13"/>
  <c r="V213" i="13"/>
  <c r="O213" i="13"/>
  <c r="U213" i="13"/>
  <c r="S213" i="13"/>
  <c r="R213" i="13"/>
  <c r="L213" i="13"/>
  <c r="Q213" i="13"/>
  <c r="T213" i="13"/>
  <c r="N213" i="13"/>
  <c r="K213" i="13"/>
  <c r="AJ189" i="13"/>
  <c r="AH189" i="13"/>
  <c r="AE189" i="13"/>
  <c r="AD189" i="13"/>
  <c r="AB189" i="13"/>
  <c r="AC189" i="13"/>
  <c r="AA189" i="13"/>
  <c r="Y189" i="13"/>
  <c r="W189" i="13"/>
  <c r="Z189" i="13"/>
  <c r="U189" i="13"/>
  <c r="T189" i="13"/>
  <c r="S189" i="13"/>
  <c r="O189" i="13"/>
  <c r="X189" i="13"/>
  <c r="L189" i="13"/>
  <c r="Q189" i="13"/>
  <c r="K189" i="13"/>
  <c r="AJ157" i="13"/>
  <c r="AH157" i="13"/>
  <c r="AD157" i="13"/>
  <c r="AB157" i="13"/>
  <c r="AC157" i="13"/>
  <c r="T157" i="13"/>
  <c r="S157" i="13"/>
  <c r="O157" i="13"/>
  <c r="L157" i="13"/>
  <c r="Z157" i="13"/>
  <c r="W157" i="13"/>
  <c r="U157" i="13"/>
  <c r="R157" i="13"/>
  <c r="Y157" i="13"/>
  <c r="V157" i="13"/>
  <c r="P157" i="13"/>
  <c r="K157" i="13"/>
  <c r="AJ125" i="13"/>
  <c r="AH125" i="13"/>
  <c r="AA125" i="13"/>
  <c r="X125" i="13"/>
  <c r="AC125" i="13"/>
  <c r="AE125" i="13"/>
  <c r="Z125" i="13"/>
  <c r="W125" i="13"/>
  <c r="AD125" i="13"/>
  <c r="U125" i="13"/>
  <c r="T125" i="13"/>
  <c r="AB125" i="13"/>
  <c r="S125" i="13"/>
  <c r="O125" i="13"/>
  <c r="V125" i="13"/>
  <c r="L125" i="13"/>
  <c r="R125" i="13"/>
  <c r="Y125" i="13"/>
  <c r="Q125" i="13"/>
  <c r="K125" i="13"/>
  <c r="AJ85" i="13"/>
  <c r="AH85" i="13"/>
  <c r="AD85" i="13"/>
  <c r="AE85" i="13"/>
  <c r="AC85" i="13"/>
  <c r="AB85" i="13"/>
  <c r="X85" i="13"/>
  <c r="AA85" i="13"/>
  <c r="W85" i="13"/>
  <c r="Z85" i="13"/>
  <c r="Y85" i="13"/>
  <c r="Q85" i="13"/>
  <c r="V85" i="13"/>
  <c r="O85" i="13"/>
  <c r="L85" i="13"/>
  <c r="N85" i="13"/>
  <c r="R85" i="13"/>
  <c r="K85" i="13"/>
  <c r="AJ53" i="13"/>
  <c r="AE53" i="13"/>
  <c r="AC53" i="13"/>
  <c r="AH53" i="13"/>
  <c r="AD53" i="13"/>
  <c r="X53" i="13"/>
  <c r="Z53" i="13"/>
  <c r="W53" i="13"/>
  <c r="R53" i="13"/>
  <c r="AB53" i="13"/>
  <c r="V53" i="13"/>
  <c r="O53" i="13"/>
  <c r="Y53" i="13"/>
  <c r="U53" i="13"/>
  <c r="T53" i="13"/>
  <c r="L53" i="13"/>
  <c r="N53" i="13"/>
  <c r="P53" i="13"/>
  <c r="AA53" i="13"/>
  <c r="K53" i="13"/>
  <c r="AJ21" i="13"/>
  <c r="AE21" i="13"/>
  <c r="AH21" i="13"/>
  <c r="AD21" i="13"/>
  <c r="AC21" i="13"/>
  <c r="X21" i="13"/>
  <c r="AB21" i="13"/>
  <c r="AA21" i="13"/>
  <c r="W21" i="13"/>
  <c r="Z21" i="13"/>
  <c r="U21" i="13"/>
  <c r="Q21" i="13"/>
  <c r="V21" i="13"/>
  <c r="O21" i="13"/>
  <c r="L21" i="13"/>
  <c r="T21" i="13"/>
  <c r="Y21" i="13"/>
  <c r="N21" i="13"/>
  <c r="K21" i="13"/>
  <c r="M263" i="13"/>
  <c r="M215" i="13"/>
  <c r="N254" i="13"/>
  <c r="N93" i="13"/>
  <c r="O302" i="13"/>
  <c r="P189" i="13"/>
  <c r="Q101" i="13"/>
  <c r="T85" i="13"/>
  <c r="U149" i="13"/>
  <c r="V173" i="13"/>
  <c r="X253" i="13"/>
  <c r="Y237" i="13"/>
  <c r="Z246" i="13"/>
  <c r="AD284" i="13"/>
  <c r="AJ284" i="13"/>
  <c r="AE284" i="13"/>
  <c r="AH284" i="13"/>
  <c r="AC284" i="13"/>
  <c r="AA284" i="13"/>
  <c r="Y284" i="13"/>
  <c r="X284" i="13"/>
  <c r="W284" i="13"/>
  <c r="T284" i="13"/>
  <c r="Z284" i="13"/>
  <c r="V284" i="13"/>
  <c r="O284" i="13"/>
  <c r="R284" i="13"/>
  <c r="AB284" i="13"/>
  <c r="N284" i="13"/>
  <c r="U284" i="13"/>
  <c r="P284" i="13"/>
  <c r="K284" i="13"/>
  <c r="S284" i="13"/>
  <c r="AD252" i="13"/>
  <c r="AJ252" i="13"/>
  <c r="AC252" i="13"/>
  <c r="AA252" i="13"/>
  <c r="AH252" i="13"/>
  <c r="AE252" i="13"/>
  <c r="AB252" i="13"/>
  <c r="Y252" i="13"/>
  <c r="X252" i="13"/>
  <c r="W252" i="13"/>
  <c r="T252" i="13"/>
  <c r="Z252" i="13"/>
  <c r="V252" i="13"/>
  <c r="S252" i="13"/>
  <c r="O252" i="13"/>
  <c r="Q252" i="13"/>
  <c r="K252" i="13"/>
  <c r="AD220" i="13"/>
  <c r="AJ220" i="13"/>
  <c r="AH220" i="13"/>
  <c r="AE220" i="13"/>
  <c r="AC220" i="13"/>
  <c r="AA220" i="13"/>
  <c r="Y220" i="13"/>
  <c r="X220" i="13"/>
  <c r="AB220" i="13"/>
  <c r="T220" i="13"/>
  <c r="Z220" i="13"/>
  <c r="V220" i="13"/>
  <c r="S220" i="13"/>
  <c r="O220" i="13"/>
  <c r="W220" i="13"/>
  <c r="R220" i="13"/>
  <c r="U220" i="13"/>
  <c r="N220" i="13"/>
  <c r="P220" i="13"/>
  <c r="K220" i="13"/>
  <c r="AD188" i="13"/>
  <c r="AJ188" i="13"/>
  <c r="AH188" i="13"/>
  <c r="AE188" i="13"/>
  <c r="AC188" i="13"/>
  <c r="AB188" i="13"/>
  <c r="AA188" i="13"/>
  <c r="Y188" i="13"/>
  <c r="X188" i="13"/>
  <c r="W188" i="13"/>
  <c r="T188" i="13"/>
  <c r="Z188" i="13"/>
  <c r="V188" i="13"/>
  <c r="S188" i="13"/>
  <c r="O188" i="13"/>
  <c r="Q188" i="13"/>
  <c r="K188" i="13"/>
  <c r="R188" i="13"/>
  <c r="AD164" i="13"/>
  <c r="AE164" i="13"/>
  <c r="AJ164" i="13"/>
  <c r="AH164" i="13"/>
  <c r="AA164" i="13"/>
  <c r="AC164" i="13"/>
  <c r="AB164" i="13"/>
  <c r="Z164" i="13"/>
  <c r="X164" i="13"/>
  <c r="T164" i="13"/>
  <c r="W164" i="13"/>
  <c r="V164" i="13"/>
  <c r="U164" i="13"/>
  <c r="R164" i="13"/>
  <c r="O164" i="13"/>
  <c r="S164" i="13"/>
  <c r="K164" i="13"/>
  <c r="Y164" i="13"/>
  <c r="Q164" i="13"/>
  <c r="AD132" i="13"/>
  <c r="AH132" i="13"/>
  <c r="AE132" i="13"/>
  <c r="AJ132" i="13"/>
  <c r="AA132" i="13"/>
  <c r="AB132" i="13"/>
  <c r="Z132" i="13"/>
  <c r="AC132" i="13"/>
  <c r="T132" i="13"/>
  <c r="Y132" i="13"/>
  <c r="V132" i="13"/>
  <c r="O132" i="13"/>
  <c r="X132" i="13"/>
  <c r="W132" i="13"/>
  <c r="K132" i="13"/>
  <c r="S132" i="13"/>
  <c r="P132" i="13"/>
  <c r="AD92" i="13"/>
  <c r="AJ92" i="13"/>
  <c r="AE92" i="13"/>
  <c r="AA92" i="13"/>
  <c r="Z92" i="13"/>
  <c r="AH92" i="13"/>
  <c r="AB92" i="13"/>
  <c r="Y92" i="13"/>
  <c r="T92" i="13"/>
  <c r="X92" i="13"/>
  <c r="V92" i="13"/>
  <c r="S92" i="13"/>
  <c r="O92" i="13"/>
  <c r="R92" i="13"/>
  <c r="AC92" i="13"/>
  <c r="Q92" i="13"/>
  <c r="P92" i="13"/>
  <c r="K92" i="13"/>
  <c r="AJ68" i="13"/>
  <c r="AE68" i="13"/>
  <c r="AD68" i="13"/>
  <c r="AH68" i="13"/>
  <c r="AA68" i="13"/>
  <c r="AC68" i="13"/>
  <c r="AB68" i="13"/>
  <c r="Z68" i="13"/>
  <c r="X68" i="13"/>
  <c r="T68" i="13"/>
  <c r="W68" i="13"/>
  <c r="V68" i="13"/>
  <c r="O68" i="13"/>
  <c r="Q68" i="13"/>
  <c r="R68" i="13"/>
  <c r="Y68" i="13"/>
  <c r="K68" i="13"/>
  <c r="P68" i="13"/>
  <c r="AJ36" i="13"/>
  <c r="AD36" i="13"/>
  <c r="AH36" i="13"/>
  <c r="AC36" i="13"/>
  <c r="AA36" i="13"/>
  <c r="AE36" i="13"/>
  <c r="AB36" i="13"/>
  <c r="Z36" i="13"/>
  <c r="X36" i="13"/>
  <c r="T36" i="13"/>
  <c r="W36" i="13"/>
  <c r="V36" i="13"/>
  <c r="U36" i="13"/>
  <c r="R36" i="13"/>
  <c r="O36" i="13"/>
  <c r="Y36" i="13"/>
  <c r="K36" i="13"/>
  <c r="Q36" i="13"/>
  <c r="M262" i="13"/>
  <c r="M214" i="13"/>
  <c r="N253" i="13"/>
  <c r="U188" i="13"/>
  <c r="AE304" i="13"/>
  <c r="AH304" i="13"/>
  <c r="AD304" i="13"/>
  <c r="AJ304" i="13"/>
  <c r="AB304" i="13"/>
  <c r="AC304" i="13"/>
  <c r="AA304" i="13"/>
  <c r="Z304" i="13"/>
  <c r="Y304" i="13"/>
  <c r="T304" i="13"/>
  <c r="V304" i="13"/>
  <c r="X304" i="13"/>
  <c r="W304" i="13"/>
  <c r="P304" i="13"/>
  <c r="M304" i="13"/>
  <c r="R304" i="13"/>
  <c r="O304" i="13"/>
  <c r="U304" i="13"/>
  <c r="L304" i="13"/>
  <c r="AH296" i="13"/>
  <c r="AE296" i="13"/>
  <c r="AJ296" i="13"/>
  <c r="AD296" i="13"/>
  <c r="AC296" i="13"/>
  <c r="Y296" i="13"/>
  <c r="Z296" i="13"/>
  <c r="AA296" i="13"/>
  <c r="AB296" i="13"/>
  <c r="U296" i="13"/>
  <c r="X296" i="13"/>
  <c r="T296" i="13"/>
  <c r="P296" i="13"/>
  <c r="W296" i="13"/>
  <c r="M296" i="13"/>
  <c r="S296" i="13"/>
  <c r="L296" i="13"/>
  <c r="AJ288" i="13"/>
  <c r="AE288" i="13"/>
  <c r="AD288" i="13"/>
  <c r="AH288" i="13"/>
  <c r="Y288" i="13"/>
  <c r="AB288" i="13"/>
  <c r="AC288" i="13"/>
  <c r="X288" i="13"/>
  <c r="U288" i="13"/>
  <c r="S288" i="13"/>
  <c r="V288" i="13"/>
  <c r="AA288" i="13"/>
  <c r="W288" i="13"/>
  <c r="P288" i="13"/>
  <c r="M288" i="13"/>
  <c r="R288" i="13"/>
  <c r="Q288" i="13"/>
  <c r="L288" i="13"/>
  <c r="AH280" i="13"/>
  <c r="AD280" i="13"/>
  <c r="AE280" i="13"/>
  <c r="AC280" i="13"/>
  <c r="AJ280" i="13"/>
  <c r="Y280" i="13"/>
  <c r="AA280" i="13"/>
  <c r="X280" i="13"/>
  <c r="U280" i="13"/>
  <c r="S280" i="13"/>
  <c r="P280" i="13"/>
  <c r="M280" i="13"/>
  <c r="V280" i="13"/>
  <c r="O280" i="13"/>
  <c r="W280" i="13"/>
  <c r="L280" i="13"/>
  <c r="AJ272" i="13"/>
  <c r="AE272" i="13"/>
  <c r="AB272" i="13"/>
  <c r="AD272" i="13"/>
  <c r="AC272" i="13"/>
  <c r="AA272" i="13"/>
  <c r="Y272" i="13"/>
  <c r="AH272" i="13"/>
  <c r="U272" i="13"/>
  <c r="T272" i="13"/>
  <c r="V272" i="13"/>
  <c r="Z272" i="13"/>
  <c r="W272" i="13"/>
  <c r="S272" i="13"/>
  <c r="P272" i="13"/>
  <c r="Q272" i="13"/>
  <c r="M272" i="13"/>
  <c r="R272" i="13"/>
  <c r="X272" i="13"/>
  <c r="L272" i="13"/>
  <c r="AJ264" i="13"/>
  <c r="AH264" i="13"/>
  <c r="AE264" i="13"/>
  <c r="AD264" i="13"/>
  <c r="Y264" i="13"/>
  <c r="AC264" i="13"/>
  <c r="AA264" i="13"/>
  <c r="Z264" i="13"/>
  <c r="AB264" i="13"/>
  <c r="U264" i="13"/>
  <c r="R264" i="13"/>
  <c r="T264" i="13"/>
  <c r="P264" i="13"/>
  <c r="S264" i="13"/>
  <c r="O264" i="13"/>
  <c r="N264" i="13"/>
  <c r="M264" i="13"/>
  <c r="X264" i="13"/>
  <c r="Q264" i="13"/>
  <c r="L264" i="13"/>
  <c r="AH256" i="13"/>
  <c r="AE256" i="13"/>
  <c r="AJ256" i="13"/>
  <c r="AD256" i="13"/>
  <c r="Y256" i="13"/>
  <c r="AA256" i="13"/>
  <c r="AB256" i="13"/>
  <c r="X256" i="13"/>
  <c r="S256" i="13"/>
  <c r="AC256" i="13"/>
  <c r="U256" i="13"/>
  <c r="V256" i="13"/>
  <c r="R256" i="13"/>
  <c r="W256" i="13"/>
  <c r="P256" i="13"/>
  <c r="Z256" i="13"/>
  <c r="T256" i="13"/>
  <c r="M256" i="13"/>
  <c r="N256" i="13"/>
  <c r="O256" i="13"/>
  <c r="L256" i="13"/>
  <c r="AH248" i="13"/>
  <c r="AJ248" i="13"/>
  <c r="AD248" i="13"/>
  <c r="AC248" i="13"/>
  <c r="Y248" i="13"/>
  <c r="AE248" i="13"/>
  <c r="W248" i="13"/>
  <c r="AA248" i="13"/>
  <c r="S248" i="13"/>
  <c r="Z248" i="13"/>
  <c r="X248" i="13"/>
  <c r="U248" i="13"/>
  <c r="AB248" i="13"/>
  <c r="R248" i="13"/>
  <c r="P248" i="13"/>
  <c r="M248" i="13"/>
  <c r="Q248" i="13"/>
  <c r="N248" i="13"/>
  <c r="L248" i="13"/>
  <c r="AE240" i="13"/>
  <c r="AJ240" i="13"/>
  <c r="AH240" i="13"/>
  <c r="AD240" i="13"/>
  <c r="AB240" i="13"/>
  <c r="AC240" i="13"/>
  <c r="AA240" i="13"/>
  <c r="Z240" i="13"/>
  <c r="Y240" i="13"/>
  <c r="W240" i="13"/>
  <c r="S240" i="13"/>
  <c r="U240" i="13"/>
  <c r="T240" i="13"/>
  <c r="V240" i="13"/>
  <c r="X240" i="13"/>
  <c r="P240" i="13"/>
  <c r="M240" i="13"/>
  <c r="O240" i="13"/>
  <c r="N240" i="13"/>
  <c r="L240" i="13"/>
  <c r="AH232" i="13"/>
  <c r="AE232" i="13"/>
  <c r="AJ232" i="13"/>
  <c r="Y232" i="13"/>
  <c r="AB232" i="13"/>
  <c r="Z232" i="13"/>
  <c r="AC232" i="13"/>
  <c r="AA232" i="13"/>
  <c r="W232" i="13"/>
  <c r="AD232" i="13"/>
  <c r="S232" i="13"/>
  <c r="U232" i="13"/>
  <c r="X232" i="13"/>
  <c r="T232" i="13"/>
  <c r="P232" i="13"/>
  <c r="M232" i="13"/>
  <c r="V232" i="13"/>
  <c r="R232" i="13"/>
  <c r="L232" i="13"/>
  <c r="AJ224" i="13"/>
  <c r="AD224" i="13"/>
  <c r="AE224" i="13"/>
  <c r="AH224" i="13"/>
  <c r="Y224" i="13"/>
  <c r="W224" i="13"/>
  <c r="AA224" i="13"/>
  <c r="X224" i="13"/>
  <c r="S224" i="13"/>
  <c r="AB224" i="13"/>
  <c r="U224" i="13"/>
  <c r="V224" i="13"/>
  <c r="P224" i="13"/>
  <c r="AC224" i="13"/>
  <c r="M224" i="13"/>
  <c r="T224" i="13"/>
  <c r="Q224" i="13"/>
  <c r="Z224" i="13"/>
  <c r="L224" i="13"/>
  <c r="AD216" i="13"/>
  <c r="AE216" i="13"/>
  <c r="AC216" i="13"/>
  <c r="AJ216" i="13"/>
  <c r="Y216" i="13"/>
  <c r="AB216" i="13"/>
  <c r="Z216" i="13"/>
  <c r="W216" i="13"/>
  <c r="S216" i="13"/>
  <c r="X216" i="13"/>
  <c r="U216" i="13"/>
  <c r="AA216" i="13"/>
  <c r="P216" i="13"/>
  <c r="M216" i="13"/>
  <c r="R216" i="13"/>
  <c r="O216" i="13"/>
  <c r="AH216" i="13"/>
  <c r="L216" i="13"/>
  <c r="K296" i="13"/>
  <c r="K280" i="13"/>
  <c r="K264" i="13"/>
  <c r="K248" i="13"/>
  <c r="K232" i="13"/>
  <c r="K216" i="13"/>
  <c r="L291" i="13"/>
  <c r="L275" i="13"/>
  <c r="L259" i="13"/>
  <c r="L243" i="13"/>
  <c r="L227" i="13"/>
  <c r="L211" i="13"/>
  <c r="L195" i="13"/>
  <c r="L179" i="13"/>
  <c r="L163" i="13"/>
  <c r="L147" i="13"/>
  <c r="L131" i="13"/>
  <c r="L115" i="13"/>
  <c r="L99" i="13"/>
  <c r="L83" i="13"/>
  <c r="L67" i="13"/>
  <c r="L51" i="13"/>
  <c r="L35" i="13"/>
  <c r="L19" i="13"/>
  <c r="M302" i="13"/>
  <c r="M286" i="13"/>
  <c r="M270" i="13"/>
  <c r="M254" i="13"/>
  <c r="M238" i="13"/>
  <c r="M222" i="13"/>
  <c r="N297" i="13"/>
  <c r="N280" i="13"/>
  <c r="N262" i="13"/>
  <c r="N244" i="13"/>
  <c r="N225" i="13"/>
  <c r="N188" i="13"/>
  <c r="N124" i="13"/>
  <c r="N60" i="13"/>
  <c r="N13" i="13"/>
  <c r="O287" i="13"/>
  <c r="O262" i="13"/>
  <c r="O234" i="13"/>
  <c r="O209" i="13"/>
  <c r="O106" i="13"/>
  <c r="P305" i="13"/>
  <c r="P277" i="13"/>
  <c r="P252" i="13"/>
  <c r="P227" i="13"/>
  <c r="P202" i="13"/>
  <c r="P149" i="13"/>
  <c r="P124" i="13"/>
  <c r="P99" i="13"/>
  <c r="P74" i="13"/>
  <c r="P21" i="13"/>
  <c r="Q295" i="13"/>
  <c r="Q270" i="13"/>
  <c r="Q245" i="13"/>
  <c r="Q220" i="13"/>
  <c r="Q116" i="13"/>
  <c r="Q26" i="13"/>
  <c r="R297" i="13"/>
  <c r="R268" i="13"/>
  <c r="R240" i="13"/>
  <c r="R179" i="13"/>
  <c r="R122" i="13"/>
  <c r="R93" i="13"/>
  <c r="R61" i="13"/>
  <c r="S303" i="13"/>
  <c r="S275" i="13"/>
  <c r="S244" i="13"/>
  <c r="S173" i="13"/>
  <c r="S140" i="13"/>
  <c r="S107" i="13"/>
  <c r="S74" i="13"/>
  <c r="S36" i="13"/>
  <c r="T302" i="13"/>
  <c r="T269" i="13"/>
  <c r="T234" i="13"/>
  <c r="T201" i="13"/>
  <c r="T165" i="13"/>
  <c r="T130" i="13"/>
  <c r="U291" i="13"/>
  <c r="U251" i="13"/>
  <c r="U211" i="13"/>
  <c r="U171" i="13"/>
  <c r="U131" i="13"/>
  <c r="U85" i="13"/>
  <c r="U45" i="13"/>
  <c r="V296" i="13"/>
  <c r="V247" i="13"/>
  <c r="V93" i="13"/>
  <c r="W290" i="13"/>
  <c r="W239" i="13"/>
  <c r="W52" i="13"/>
  <c r="X286" i="13"/>
  <c r="X221" i="13"/>
  <c r="Y269" i="13"/>
  <c r="Z292" i="13"/>
  <c r="AB280" i="13"/>
  <c r="AB20" i="13"/>
  <c r="AE75" i="13"/>
  <c r="AE185" i="13"/>
  <c r="AH185" i="13"/>
  <c r="AC185" i="13"/>
  <c r="AD185" i="13"/>
  <c r="AB185" i="13"/>
  <c r="Z185" i="13"/>
  <c r="Y185" i="13"/>
  <c r="AA185" i="13"/>
  <c r="V185" i="13"/>
  <c r="S185" i="13"/>
  <c r="AJ185" i="13"/>
  <c r="X185" i="13"/>
  <c r="Q185" i="13"/>
  <c r="AH177" i="13"/>
  <c r="AE177" i="13"/>
  <c r="AJ177" i="13"/>
  <c r="AC177" i="13"/>
  <c r="Y177" i="13"/>
  <c r="AB177" i="13"/>
  <c r="AA177" i="13"/>
  <c r="V177" i="13"/>
  <c r="AD177" i="13"/>
  <c r="S177" i="13"/>
  <c r="W177" i="13"/>
  <c r="Q177" i="13"/>
  <c r="T177" i="13"/>
  <c r="AE169" i="13"/>
  <c r="AH169" i="13"/>
  <c r="AD169" i="13"/>
  <c r="AC169" i="13"/>
  <c r="AJ169" i="13"/>
  <c r="Y169" i="13"/>
  <c r="AA169" i="13"/>
  <c r="V169" i="13"/>
  <c r="S169" i="13"/>
  <c r="Z169" i="13"/>
  <c r="Q169" i="13"/>
  <c r="X169" i="13"/>
  <c r="U169" i="13"/>
  <c r="AE161" i="13"/>
  <c r="AC161" i="13"/>
  <c r="AH161" i="13"/>
  <c r="AJ161" i="13"/>
  <c r="AA161" i="13"/>
  <c r="AD161" i="13"/>
  <c r="Y161" i="13"/>
  <c r="AB161" i="13"/>
  <c r="Z161" i="13"/>
  <c r="W161" i="13"/>
  <c r="V161" i="13"/>
  <c r="X161" i="13"/>
  <c r="S161" i="13"/>
  <c r="Q161" i="13"/>
  <c r="AE153" i="13"/>
  <c r="AJ153" i="13"/>
  <c r="AD153" i="13"/>
  <c r="AC153" i="13"/>
  <c r="AH153" i="13"/>
  <c r="AB153" i="13"/>
  <c r="Z153" i="13"/>
  <c r="Y153" i="13"/>
  <c r="AA153" i="13"/>
  <c r="V153" i="13"/>
  <c r="W153" i="13"/>
  <c r="S153" i="13"/>
  <c r="X153" i="13"/>
  <c r="U153" i="13"/>
  <c r="Q153" i="13"/>
  <c r="AJ145" i="13"/>
  <c r="AC145" i="13"/>
  <c r="AE145" i="13"/>
  <c r="AH145" i="13"/>
  <c r="AA145" i="13"/>
  <c r="AD145" i="13"/>
  <c r="AB145" i="13"/>
  <c r="Y145" i="13"/>
  <c r="V145" i="13"/>
  <c r="Z145" i="13"/>
  <c r="S145" i="13"/>
  <c r="W145" i="13"/>
  <c r="R145" i="13"/>
  <c r="Q145" i="13"/>
  <c r="T145" i="13"/>
  <c r="AC137" i="13"/>
  <c r="AE137" i="13"/>
  <c r="AA137" i="13"/>
  <c r="AH137" i="13"/>
  <c r="Y137" i="13"/>
  <c r="AB137" i="13"/>
  <c r="Z137" i="13"/>
  <c r="X137" i="13"/>
  <c r="V137" i="13"/>
  <c r="S137" i="13"/>
  <c r="W137" i="13"/>
  <c r="Q137" i="13"/>
  <c r="R137" i="13"/>
  <c r="AD137" i="13"/>
  <c r="AH129" i="13"/>
  <c r="AC129" i="13"/>
  <c r="AJ129" i="13"/>
  <c r="AE129" i="13"/>
  <c r="AD129" i="13"/>
  <c r="AB129" i="13"/>
  <c r="Y129" i="13"/>
  <c r="AA129" i="13"/>
  <c r="X129" i="13"/>
  <c r="V129" i="13"/>
  <c r="S129" i="13"/>
  <c r="Q129" i="13"/>
  <c r="U129" i="13"/>
  <c r="Z129" i="13"/>
  <c r="W129" i="13"/>
  <c r="R129" i="13"/>
  <c r="AC121" i="13"/>
  <c r="AE121" i="13"/>
  <c r="AH121" i="13"/>
  <c r="AD121" i="13"/>
  <c r="AJ121" i="13"/>
  <c r="AB121" i="13"/>
  <c r="Z121" i="13"/>
  <c r="Y121" i="13"/>
  <c r="X121" i="13"/>
  <c r="V121" i="13"/>
  <c r="S121" i="13"/>
  <c r="Q121" i="13"/>
  <c r="AC113" i="13"/>
  <c r="AH113" i="13"/>
  <c r="AE113" i="13"/>
  <c r="AJ113" i="13"/>
  <c r="AD113" i="13"/>
  <c r="AA113" i="13"/>
  <c r="Y113" i="13"/>
  <c r="AB113" i="13"/>
  <c r="V113" i="13"/>
  <c r="S113" i="13"/>
  <c r="T113" i="13"/>
  <c r="Q113" i="13"/>
  <c r="AC105" i="13"/>
  <c r="AE105" i="13"/>
  <c r="AD105" i="13"/>
  <c r="AJ105" i="13"/>
  <c r="AH105" i="13"/>
  <c r="Y105" i="13"/>
  <c r="AB105" i="13"/>
  <c r="V105" i="13"/>
  <c r="AA105" i="13"/>
  <c r="S105" i="13"/>
  <c r="X105" i="13"/>
  <c r="W105" i="13"/>
  <c r="U105" i="13"/>
  <c r="AC97" i="13"/>
  <c r="AE97" i="13"/>
  <c r="AH97" i="13"/>
  <c r="AJ97" i="13"/>
  <c r="AD97" i="13"/>
  <c r="Y97" i="13"/>
  <c r="W97" i="13"/>
  <c r="AA97" i="13"/>
  <c r="Z97" i="13"/>
  <c r="V97" i="13"/>
  <c r="S97" i="13"/>
  <c r="X97" i="13"/>
  <c r="AC89" i="13"/>
  <c r="AE89" i="13"/>
  <c r="AJ89" i="13"/>
  <c r="AH89" i="13"/>
  <c r="AB89" i="13"/>
  <c r="AA89" i="13"/>
  <c r="AD89" i="13"/>
  <c r="Z89" i="13"/>
  <c r="Y89" i="13"/>
  <c r="W89" i="13"/>
  <c r="V89" i="13"/>
  <c r="S89" i="13"/>
  <c r="X89" i="13"/>
  <c r="U89" i="13"/>
  <c r="AC81" i="13"/>
  <c r="AE81" i="13"/>
  <c r="AD81" i="13"/>
  <c r="AH81" i="13"/>
  <c r="Y81" i="13"/>
  <c r="AJ81" i="13"/>
  <c r="Z81" i="13"/>
  <c r="X81" i="13"/>
  <c r="W81" i="13"/>
  <c r="V81" i="13"/>
  <c r="AB81" i="13"/>
  <c r="S81" i="13"/>
  <c r="R81" i="13"/>
  <c r="T81" i="13"/>
  <c r="AC73" i="13"/>
  <c r="AH73" i="13"/>
  <c r="AJ73" i="13"/>
  <c r="AD73" i="13"/>
  <c r="AE73" i="13"/>
  <c r="AB73" i="13"/>
  <c r="AA73" i="13"/>
  <c r="Y73" i="13"/>
  <c r="W73" i="13"/>
  <c r="Z73" i="13"/>
  <c r="X73" i="13"/>
  <c r="V73" i="13"/>
  <c r="S73" i="13"/>
  <c r="R73" i="13"/>
  <c r="AH65" i="13"/>
  <c r="AC65" i="13"/>
  <c r="AE65" i="13"/>
  <c r="AJ65" i="13"/>
  <c r="AD65" i="13"/>
  <c r="Y65" i="13"/>
  <c r="AA65" i="13"/>
  <c r="Z65" i="13"/>
  <c r="W65" i="13"/>
  <c r="V65" i="13"/>
  <c r="S65" i="13"/>
  <c r="Q65" i="13"/>
  <c r="U65" i="13"/>
  <c r="R65" i="13"/>
  <c r="AC57" i="13"/>
  <c r="AJ57" i="13"/>
  <c r="AB57" i="13"/>
  <c r="AD57" i="13"/>
  <c r="AA57" i="13"/>
  <c r="AH57" i="13"/>
  <c r="Z57" i="13"/>
  <c r="Y57" i="13"/>
  <c r="W57" i="13"/>
  <c r="AE57" i="13"/>
  <c r="X57" i="13"/>
  <c r="V57" i="13"/>
  <c r="S57" i="13"/>
  <c r="Q57" i="13"/>
  <c r="AC49" i="13"/>
  <c r="AH49" i="13"/>
  <c r="AJ49" i="13"/>
  <c r="AE49" i="13"/>
  <c r="Y49" i="13"/>
  <c r="AB49" i="13"/>
  <c r="X49" i="13"/>
  <c r="W49" i="13"/>
  <c r="AA49" i="13"/>
  <c r="Z49" i="13"/>
  <c r="V49" i="13"/>
  <c r="S49" i="13"/>
  <c r="T49" i="13"/>
  <c r="Q49" i="13"/>
  <c r="AE41" i="13"/>
  <c r="AC41" i="13"/>
  <c r="AD41" i="13"/>
  <c r="AJ41" i="13"/>
  <c r="Y41" i="13"/>
  <c r="AH41" i="13"/>
  <c r="AA41" i="13"/>
  <c r="W41" i="13"/>
  <c r="V41" i="13"/>
  <c r="S41" i="13"/>
  <c r="AB41" i="13"/>
  <c r="X41" i="13"/>
  <c r="Z41" i="13"/>
  <c r="U41" i="13"/>
  <c r="AC33" i="13"/>
  <c r="AJ33" i="13"/>
  <c r="AD33" i="13"/>
  <c r="AH33" i="13"/>
  <c r="Y33" i="13"/>
  <c r="AB33" i="13"/>
  <c r="AE33" i="13"/>
  <c r="W33" i="13"/>
  <c r="V33" i="13"/>
  <c r="AA33" i="13"/>
  <c r="S33" i="13"/>
  <c r="X33" i="13"/>
  <c r="Z33" i="13"/>
  <c r="U33" i="13"/>
  <c r="N33" i="13"/>
  <c r="AC25" i="13"/>
  <c r="AE25" i="13"/>
  <c r="AH25" i="13"/>
  <c r="AD25" i="13"/>
  <c r="AJ25" i="13"/>
  <c r="AB25" i="13"/>
  <c r="AA25" i="13"/>
  <c r="Z25" i="13"/>
  <c r="Y25" i="13"/>
  <c r="W25" i="13"/>
  <c r="V25" i="13"/>
  <c r="S25" i="13"/>
  <c r="U25" i="13"/>
  <c r="N25" i="13"/>
  <c r="AC17" i="13"/>
  <c r="AE17" i="13"/>
  <c r="AD17" i="13"/>
  <c r="AB17" i="13"/>
  <c r="AA17" i="13"/>
  <c r="Y17" i="13"/>
  <c r="X17" i="13"/>
  <c r="W17" i="13"/>
  <c r="AJ17" i="13"/>
  <c r="V17" i="13"/>
  <c r="AH17" i="13"/>
  <c r="S17" i="13"/>
  <c r="U17" i="13"/>
  <c r="R17" i="13"/>
  <c r="T17" i="13"/>
  <c r="N17" i="13"/>
  <c r="AC9" i="13"/>
  <c r="AH9" i="13"/>
  <c r="AJ9" i="13"/>
  <c r="AD9" i="13"/>
  <c r="Z9" i="13"/>
  <c r="W9" i="13"/>
  <c r="V9" i="13"/>
  <c r="S9" i="13"/>
  <c r="AE9" i="13"/>
  <c r="AB9" i="13"/>
  <c r="U9" i="13"/>
  <c r="R9" i="13"/>
  <c r="N9" i="13"/>
  <c r="L200" i="13"/>
  <c r="L192" i="13"/>
  <c r="L184" i="13"/>
  <c r="L176" i="13"/>
  <c r="L160" i="13"/>
  <c r="L144" i="13"/>
  <c r="L136" i="13"/>
  <c r="L128" i="13"/>
  <c r="L96" i="13"/>
  <c r="L80" i="13"/>
  <c r="L64" i="13"/>
  <c r="L56" i="13"/>
  <c r="N183" i="13"/>
  <c r="N151" i="13"/>
  <c r="N119" i="13"/>
  <c r="N87" i="13"/>
  <c r="N55" i="13"/>
  <c r="N7" i="13"/>
  <c r="O206" i="13"/>
  <c r="O167" i="13"/>
  <c r="O153" i="13"/>
  <c r="O142" i="13"/>
  <c r="O103" i="13"/>
  <c r="O89" i="13"/>
  <c r="O78" i="13"/>
  <c r="O64" i="13"/>
  <c r="O39" i="13"/>
  <c r="O25" i="13"/>
  <c r="O14" i="13"/>
  <c r="P185" i="13"/>
  <c r="P121" i="13"/>
  <c r="P57" i="13"/>
  <c r="Q175" i="13"/>
  <c r="Q150" i="13"/>
  <c r="Q23" i="13"/>
  <c r="Q7" i="13"/>
  <c r="R160" i="13"/>
  <c r="R144" i="13"/>
  <c r="R103" i="13"/>
  <c r="R87" i="13"/>
  <c r="R71" i="13"/>
  <c r="S183" i="13"/>
  <c r="S150" i="13"/>
  <c r="S46" i="13"/>
  <c r="S31" i="13"/>
  <c r="T175" i="13"/>
  <c r="T142" i="13"/>
  <c r="T127" i="13"/>
  <c r="T89" i="13"/>
  <c r="T56" i="13"/>
  <c r="T41" i="13"/>
  <c r="T23" i="13"/>
  <c r="U185" i="13"/>
  <c r="U145" i="13"/>
  <c r="V158" i="13"/>
  <c r="V135" i="13"/>
  <c r="V86" i="13"/>
  <c r="V30" i="13"/>
  <c r="V7" i="13"/>
  <c r="W167" i="13"/>
  <c r="W111" i="13"/>
  <c r="W38" i="13"/>
  <c r="W7" i="13"/>
  <c r="X167" i="13"/>
  <c r="X135" i="13"/>
  <c r="X95" i="13"/>
  <c r="Y71" i="13"/>
  <c r="Y22" i="13"/>
  <c r="Z174" i="13"/>
  <c r="AB97" i="13"/>
  <c r="AH208" i="13"/>
  <c r="AJ208" i="13"/>
  <c r="AB208" i="13"/>
  <c r="AE208" i="13"/>
  <c r="AC208" i="13"/>
  <c r="AA208" i="13"/>
  <c r="Y208" i="13"/>
  <c r="W208" i="13"/>
  <c r="AD208" i="13"/>
  <c r="S208" i="13"/>
  <c r="U208" i="13"/>
  <c r="T208" i="13"/>
  <c r="V208" i="13"/>
  <c r="Z208" i="13"/>
  <c r="P208" i="13"/>
  <c r="AJ200" i="13"/>
  <c r="AE200" i="13"/>
  <c r="AD200" i="13"/>
  <c r="Y200" i="13"/>
  <c r="AA200" i="13"/>
  <c r="W200" i="13"/>
  <c r="S200" i="13"/>
  <c r="Z200" i="13"/>
  <c r="U200" i="13"/>
  <c r="R200" i="13"/>
  <c r="T200" i="13"/>
  <c r="P200" i="13"/>
  <c r="AH192" i="13"/>
  <c r="AJ192" i="13"/>
  <c r="AC192" i="13"/>
  <c r="Y192" i="13"/>
  <c r="AE192" i="13"/>
  <c r="W192" i="13"/>
  <c r="Z192" i="13"/>
  <c r="AA192" i="13"/>
  <c r="X192" i="13"/>
  <c r="S192" i="13"/>
  <c r="AB192" i="13"/>
  <c r="U192" i="13"/>
  <c r="AD192" i="13"/>
  <c r="N192" i="13"/>
  <c r="V192" i="13"/>
  <c r="R192" i="13"/>
  <c r="P192" i="13"/>
  <c r="AH184" i="13"/>
  <c r="AJ184" i="13"/>
  <c r="AD184" i="13"/>
  <c r="AE184" i="13"/>
  <c r="AC184" i="13"/>
  <c r="Y184" i="13"/>
  <c r="W184" i="13"/>
  <c r="AB184" i="13"/>
  <c r="S184" i="13"/>
  <c r="Z184" i="13"/>
  <c r="X184" i="13"/>
  <c r="U184" i="13"/>
  <c r="N184" i="13"/>
  <c r="R184" i="13"/>
  <c r="P184" i="13"/>
  <c r="AJ176" i="13"/>
  <c r="AE176" i="13"/>
  <c r="AB176" i="13"/>
  <c r="AC176" i="13"/>
  <c r="AH176" i="13"/>
  <c r="Y176" i="13"/>
  <c r="AA176" i="13"/>
  <c r="Z176" i="13"/>
  <c r="W176" i="13"/>
  <c r="AD176" i="13"/>
  <c r="S176" i="13"/>
  <c r="U176" i="13"/>
  <c r="T176" i="13"/>
  <c r="N176" i="13"/>
  <c r="V176" i="13"/>
  <c r="X176" i="13"/>
  <c r="P176" i="13"/>
  <c r="AH168" i="13"/>
  <c r="AE168" i="13"/>
  <c r="AJ168" i="13"/>
  <c r="AD168" i="13"/>
  <c r="Y168" i="13"/>
  <c r="AA168" i="13"/>
  <c r="W168" i="13"/>
  <c r="AC168" i="13"/>
  <c r="S168" i="13"/>
  <c r="Z168" i="13"/>
  <c r="U168" i="13"/>
  <c r="X168" i="13"/>
  <c r="N168" i="13"/>
  <c r="T168" i="13"/>
  <c r="P168" i="13"/>
  <c r="AD160" i="13"/>
  <c r="AH160" i="13"/>
  <c r="AE160" i="13"/>
  <c r="AJ160" i="13"/>
  <c r="Y160" i="13"/>
  <c r="AC160" i="13"/>
  <c r="AB160" i="13"/>
  <c r="W160" i="13"/>
  <c r="AA160" i="13"/>
  <c r="X160" i="13"/>
  <c r="S160" i="13"/>
  <c r="U160" i="13"/>
  <c r="N160" i="13"/>
  <c r="Z160" i="13"/>
  <c r="V160" i="13"/>
  <c r="P160" i="13"/>
  <c r="AJ152" i="13"/>
  <c r="AC152" i="13"/>
  <c r="AD152" i="13"/>
  <c r="Y152" i="13"/>
  <c r="AA152" i="13"/>
  <c r="W152" i="13"/>
  <c r="Z152" i="13"/>
  <c r="S152" i="13"/>
  <c r="AH152" i="13"/>
  <c r="AB152" i="13"/>
  <c r="X152" i="13"/>
  <c r="U152" i="13"/>
  <c r="AE152" i="13"/>
  <c r="N152" i="13"/>
  <c r="P152" i="13"/>
  <c r="AH144" i="13"/>
  <c r="AE144" i="13"/>
  <c r="AC144" i="13"/>
  <c r="AD144" i="13"/>
  <c r="AJ144" i="13"/>
  <c r="AB144" i="13"/>
  <c r="Y144" i="13"/>
  <c r="Z144" i="13"/>
  <c r="W144" i="13"/>
  <c r="S144" i="13"/>
  <c r="U144" i="13"/>
  <c r="T144" i="13"/>
  <c r="N144" i="13"/>
  <c r="V144" i="13"/>
  <c r="P144" i="13"/>
  <c r="AJ136" i="13"/>
  <c r="AE136" i="13"/>
  <c r="AC136" i="13"/>
  <c r="AA136" i="13"/>
  <c r="AH136" i="13"/>
  <c r="Y136" i="13"/>
  <c r="AD136" i="13"/>
  <c r="Z136" i="13"/>
  <c r="W136" i="13"/>
  <c r="S136" i="13"/>
  <c r="U136" i="13"/>
  <c r="R136" i="13"/>
  <c r="N136" i="13"/>
  <c r="T136" i="13"/>
  <c r="P136" i="13"/>
  <c r="AJ128" i="13"/>
  <c r="AH128" i="13"/>
  <c r="AD128" i="13"/>
  <c r="AA128" i="13"/>
  <c r="Y128" i="13"/>
  <c r="AC128" i="13"/>
  <c r="W128" i="13"/>
  <c r="S128" i="13"/>
  <c r="AE128" i="13"/>
  <c r="X128" i="13"/>
  <c r="U128" i="13"/>
  <c r="Z128" i="13"/>
  <c r="N128" i="13"/>
  <c r="V128" i="13"/>
  <c r="R128" i="13"/>
  <c r="P128" i="13"/>
  <c r="AH120" i="13"/>
  <c r="AJ120" i="13"/>
  <c r="AE120" i="13"/>
  <c r="AC120" i="13"/>
  <c r="Y120" i="13"/>
  <c r="Z120" i="13"/>
  <c r="X120" i="13"/>
  <c r="W120" i="13"/>
  <c r="AD120" i="13"/>
  <c r="AB120" i="13"/>
  <c r="S120" i="13"/>
  <c r="U120" i="13"/>
  <c r="Q120" i="13"/>
  <c r="N120" i="13"/>
  <c r="AA120" i="13"/>
  <c r="R120" i="13"/>
  <c r="P120" i="13"/>
  <c r="AE112" i="13"/>
  <c r="AJ112" i="13"/>
  <c r="AD112" i="13"/>
  <c r="AH112" i="13"/>
  <c r="AB112" i="13"/>
  <c r="Y112" i="13"/>
  <c r="Z112" i="13"/>
  <c r="W112" i="13"/>
  <c r="X112" i="13"/>
  <c r="AA112" i="13"/>
  <c r="S112" i="13"/>
  <c r="U112" i="13"/>
  <c r="T112" i="13"/>
  <c r="N112" i="13"/>
  <c r="V112" i="13"/>
  <c r="Q112" i="13"/>
  <c r="AH80" i="13"/>
  <c r="AB80" i="13"/>
  <c r="Y80" i="13"/>
  <c r="Z80" i="13"/>
  <c r="X80" i="13"/>
  <c r="W80" i="13"/>
  <c r="S80" i="13"/>
  <c r="U80" i="13"/>
  <c r="AA80" i="13"/>
  <c r="T80" i="13"/>
  <c r="N80" i="13"/>
  <c r="V80" i="13"/>
  <c r="P80" i="13"/>
  <c r="AJ72" i="13"/>
  <c r="AH72" i="13"/>
  <c r="AC72" i="13"/>
  <c r="AD72" i="13"/>
  <c r="AE72" i="13"/>
  <c r="AA72" i="13"/>
  <c r="Y72" i="13"/>
  <c r="W72" i="13"/>
  <c r="AB72" i="13"/>
  <c r="S72" i="13"/>
  <c r="U72" i="13"/>
  <c r="R72" i="13"/>
  <c r="N72" i="13"/>
  <c r="Z72" i="13"/>
  <c r="X72" i="13"/>
  <c r="T72" i="13"/>
  <c r="P72" i="13"/>
  <c r="AJ64" i="13"/>
  <c r="AE64" i="13"/>
  <c r="AC64" i="13"/>
  <c r="Y64" i="13"/>
  <c r="AA64" i="13"/>
  <c r="Z64" i="13"/>
  <c r="W64" i="13"/>
  <c r="AD64" i="13"/>
  <c r="S64" i="13"/>
  <c r="U64" i="13"/>
  <c r="X64" i="13"/>
  <c r="N64" i="13"/>
  <c r="V64" i="13"/>
  <c r="R64" i="13"/>
  <c r="P64" i="13"/>
  <c r="AH56" i="13"/>
  <c r="AE56" i="13"/>
  <c r="AD56" i="13"/>
  <c r="AC56" i="13"/>
  <c r="AA56" i="13"/>
  <c r="AJ56" i="13"/>
  <c r="Y56" i="13"/>
  <c r="W56" i="13"/>
  <c r="S56" i="13"/>
  <c r="Z56" i="13"/>
  <c r="U56" i="13"/>
  <c r="Q56" i="13"/>
  <c r="N56" i="13"/>
  <c r="R56" i="13"/>
  <c r="P56" i="13"/>
  <c r="AJ48" i="13"/>
  <c r="AH48" i="13"/>
  <c r="AB48" i="13"/>
  <c r="AE48" i="13"/>
  <c r="Y48" i="13"/>
  <c r="AC48" i="13"/>
  <c r="Z48" i="13"/>
  <c r="AA48" i="13"/>
  <c r="X48" i="13"/>
  <c r="W48" i="13"/>
  <c r="S48" i="13"/>
  <c r="U48" i="13"/>
  <c r="AD48" i="13"/>
  <c r="T48" i="13"/>
  <c r="N48" i="13"/>
  <c r="V48" i="13"/>
  <c r="Q48" i="13"/>
  <c r="P48" i="13"/>
  <c r="AJ40" i="13"/>
  <c r="AH40" i="13"/>
  <c r="AE40" i="13"/>
  <c r="AD40" i="13"/>
  <c r="AC40" i="13"/>
  <c r="Y40" i="13"/>
  <c r="AA40" i="13"/>
  <c r="W40" i="13"/>
  <c r="Z40" i="13"/>
  <c r="S40" i="13"/>
  <c r="AB40" i="13"/>
  <c r="U40" i="13"/>
  <c r="N40" i="13"/>
  <c r="T40" i="13"/>
  <c r="Q40" i="13"/>
  <c r="P40" i="13"/>
  <c r="AE32" i="13"/>
  <c r="AD32" i="13"/>
  <c r="AJ32" i="13"/>
  <c r="AH32" i="13"/>
  <c r="AC32" i="13"/>
  <c r="Y32" i="13"/>
  <c r="AB32" i="13"/>
  <c r="AA32" i="13"/>
  <c r="W32" i="13"/>
  <c r="S32" i="13"/>
  <c r="X32" i="13"/>
  <c r="Z32" i="13"/>
  <c r="U32" i="13"/>
  <c r="N32" i="13"/>
  <c r="V32" i="13"/>
  <c r="P32" i="13"/>
  <c r="AH24" i="13"/>
  <c r="AD24" i="13"/>
  <c r="AE24" i="13"/>
  <c r="AA24" i="13"/>
  <c r="Y24" i="13"/>
  <c r="AC24" i="13"/>
  <c r="W24" i="13"/>
  <c r="AB24" i="13"/>
  <c r="Z24" i="13"/>
  <c r="S24" i="13"/>
  <c r="AJ24" i="13"/>
  <c r="U24" i="13"/>
  <c r="N24" i="13"/>
  <c r="P24" i="13"/>
  <c r="AJ16" i="13"/>
  <c r="AE16" i="13"/>
  <c r="AD16" i="13"/>
  <c r="AC16" i="13"/>
  <c r="Y16" i="13"/>
  <c r="AB16" i="13"/>
  <c r="AA16" i="13"/>
  <c r="Z16" i="13"/>
  <c r="X16" i="13"/>
  <c r="W16" i="13"/>
  <c r="AH16" i="13"/>
  <c r="S16" i="13"/>
  <c r="U16" i="13"/>
  <c r="T16" i="13"/>
  <c r="N16" i="13"/>
  <c r="V16" i="13"/>
  <c r="P16" i="13"/>
  <c r="AJ8" i="13"/>
  <c r="AE8" i="13"/>
  <c r="AH8" i="13"/>
  <c r="AC8" i="13"/>
  <c r="Y8" i="13"/>
  <c r="AD8" i="13"/>
  <c r="Z8" i="13"/>
  <c r="W8" i="13"/>
  <c r="S8" i="13"/>
  <c r="AB8" i="13"/>
  <c r="U8" i="13"/>
  <c r="AA8" i="13"/>
  <c r="X8" i="13"/>
  <c r="R8" i="13"/>
  <c r="N8" i="13"/>
  <c r="T8" i="13"/>
  <c r="P8" i="13"/>
  <c r="L207" i="13"/>
  <c r="L199" i="13"/>
  <c r="L191" i="13"/>
  <c r="L183" i="13"/>
  <c r="L159" i="13"/>
  <c r="L143" i="13"/>
  <c r="L135" i="13"/>
  <c r="L127" i="13"/>
  <c r="L79" i="13"/>
  <c r="L71" i="13"/>
  <c r="L63" i="13"/>
  <c r="L55" i="13"/>
  <c r="L31" i="13"/>
  <c r="N182" i="13"/>
  <c r="N161" i="13"/>
  <c r="N150" i="13"/>
  <c r="N129" i="13"/>
  <c r="N118" i="13"/>
  <c r="N97" i="13"/>
  <c r="N86" i="13"/>
  <c r="N65" i="13"/>
  <c r="N54" i="13"/>
  <c r="O177" i="13"/>
  <c r="O166" i="13"/>
  <c r="O152" i="13"/>
  <c r="O113" i="13"/>
  <c r="O102" i="13"/>
  <c r="O88" i="13"/>
  <c r="O63" i="13"/>
  <c r="O49" i="13"/>
  <c r="O38" i="13"/>
  <c r="O24" i="13"/>
  <c r="P145" i="13"/>
  <c r="P81" i="13"/>
  <c r="P17" i="13"/>
  <c r="Q174" i="13"/>
  <c r="Q160" i="13"/>
  <c r="Q63" i="13"/>
  <c r="R159" i="13"/>
  <c r="R57" i="13"/>
  <c r="R41" i="13"/>
  <c r="R25" i="13"/>
  <c r="S182" i="13"/>
  <c r="S78" i="13"/>
  <c r="S30" i="13"/>
  <c r="T192" i="13"/>
  <c r="T174" i="13"/>
  <c r="T121" i="13"/>
  <c r="T88" i="13"/>
  <c r="T73" i="13"/>
  <c r="T55" i="13"/>
  <c r="T22" i="13"/>
  <c r="U161" i="13"/>
  <c r="U121" i="13"/>
  <c r="U81" i="13"/>
  <c r="V206" i="13"/>
  <c r="V134" i="13"/>
  <c r="V104" i="13"/>
  <c r="V78" i="13"/>
  <c r="W166" i="13"/>
  <c r="W102" i="13"/>
  <c r="X200" i="13"/>
  <c r="X166" i="13"/>
  <c r="X134" i="13"/>
  <c r="X40" i="13"/>
  <c r="Z158" i="13"/>
  <c r="Z88" i="13"/>
  <c r="Z17" i="13"/>
  <c r="AC112" i="13"/>
  <c r="AH200" i="13"/>
  <c r="AE207" i="13"/>
  <c r="AH207" i="13"/>
  <c r="AD207" i="13"/>
  <c r="AB207" i="13"/>
  <c r="AC207" i="13"/>
  <c r="AA207" i="13"/>
  <c r="Y207" i="13"/>
  <c r="AJ207" i="13"/>
  <c r="W207" i="13"/>
  <c r="U207" i="13"/>
  <c r="Z207" i="13"/>
  <c r="X207" i="13"/>
  <c r="V207" i="13"/>
  <c r="S207" i="13"/>
  <c r="P207" i="13"/>
  <c r="AE199" i="13"/>
  <c r="AJ199" i="13"/>
  <c r="AB199" i="13"/>
  <c r="AD199" i="13"/>
  <c r="AA199" i="13"/>
  <c r="AC199" i="13"/>
  <c r="Z199" i="13"/>
  <c r="U199" i="13"/>
  <c r="W199" i="13"/>
  <c r="AH199" i="13"/>
  <c r="Y199" i="13"/>
  <c r="T199" i="13"/>
  <c r="P199" i="13"/>
  <c r="S199" i="13"/>
  <c r="AJ191" i="13"/>
  <c r="AE191" i="13"/>
  <c r="AB191" i="13"/>
  <c r="AA191" i="13"/>
  <c r="AH191" i="13"/>
  <c r="AD191" i="13"/>
  <c r="Z191" i="13"/>
  <c r="U191" i="13"/>
  <c r="Y191" i="13"/>
  <c r="W191" i="13"/>
  <c r="V191" i="13"/>
  <c r="R191" i="13"/>
  <c r="X191" i="13"/>
  <c r="P191" i="13"/>
  <c r="AE183" i="13"/>
  <c r="AH183" i="13"/>
  <c r="AB183" i="13"/>
  <c r="AD183" i="13"/>
  <c r="AA183" i="13"/>
  <c r="AJ183" i="13"/>
  <c r="AC183" i="13"/>
  <c r="Z183" i="13"/>
  <c r="X183" i="13"/>
  <c r="U183" i="13"/>
  <c r="R183" i="13"/>
  <c r="P183" i="13"/>
  <c r="W183" i="13"/>
  <c r="AH175" i="13"/>
  <c r="AE175" i="13"/>
  <c r="AJ175" i="13"/>
  <c r="AD175" i="13"/>
  <c r="AB175" i="13"/>
  <c r="AC175" i="13"/>
  <c r="AA175" i="13"/>
  <c r="Z175" i="13"/>
  <c r="Y175" i="13"/>
  <c r="U175" i="13"/>
  <c r="X175" i="13"/>
  <c r="V175" i="13"/>
  <c r="S175" i="13"/>
  <c r="P175" i="13"/>
  <c r="R175" i="13"/>
  <c r="AE167" i="13"/>
  <c r="AJ167" i="13"/>
  <c r="AB167" i="13"/>
  <c r="AH167" i="13"/>
  <c r="Z167" i="13"/>
  <c r="AD167" i="13"/>
  <c r="AC167" i="13"/>
  <c r="AA167" i="13"/>
  <c r="U167" i="13"/>
  <c r="T167" i="13"/>
  <c r="P167" i="13"/>
  <c r="S167" i="13"/>
  <c r="AE159" i="13"/>
  <c r="AH159" i="13"/>
  <c r="AB159" i="13"/>
  <c r="AD159" i="13"/>
  <c r="AC159" i="13"/>
  <c r="AJ159" i="13"/>
  <c r="Y159" i="13"/>
  <c r="U159" i="13"/>
  <c r="Z159" i="13"/>
  <c r="V159" i="13"/>
  <c r="AA159" i="13"/>
  <c r="W159" i="13"/>
  <c r="P159" i="13"/>
  <c r="AE151" i="13"/>
  <c r="AJ151" i="13"/>
  <c r="AD151" i="13"/>
  <c r="AB151" i="13"/>
  <c r="AA151" i="13"/>
  <c r="Z151" i="13"/>
  <c r="W151" i="13"/>
  <c r="AH151" i="13"/>
  <c r="X151" i="13"/>
  <c r="U151" i="13"/>
  <c r="AC151" i="13"/>
  <c r="P151" i="13"/>
  <c r="AE143" i="13"/>
  <c r="AH143" i="13"/>
  <c r="AD143" i="13"/>
  <c r="AB143" i="13"/>
  <c r="AJ143" i="13"/>
  <c r="AC143" i="13"/>
  <c r="Z143" i="13"/>
  <c r="Y143" i="13"/>
  <c r="W143" i="13"/>
  <c r="U143" i="13"/>
  <c r="AA143" i="13"/>
  <c r="X143" i="13"/>
  <c r="V143" i="13"/>
  <c r="S143" i="13"/>
  <c r="P143" i="13"/>
  <c r="AE135" i="13"/>
  <c r="AH135" i="13"/>
  <c r="AC135" i="13"/>
  <c r="AB135" i="13"/>
  <c r="AD135" i="13"/>
  <c r="AJ135" i="13"/>
  <c r="AA135" i="13"/>
  <c r="U135" i="13"/>
  <c r="W135" i="13"/>
  <c r="Y135" i="13"/>
  <c r="T135" i="13"/>
  <c r="P135" i="13"/>
  <c r="S135" i="13"/>
  <c r="AJ127" i="13"/>
  <c r="AE127" i="13"/>
  <c r="AH127" i="13"/>
  <c r="AC127" i="13"/>
  <c r="AB127" i="13"/>
  <c r="AD127" i="13"/>
  <c r="AA127" i="13"/>
  <c r="X127" i="13"/>
  <c r="U127" i="13"/>
  <c r="Z127" i="13"/>
  <c r="W127" i="13"/>
  <c r="V127" i="13"/>
  <c r="R127" i="13"/>
  <c r="P127" i="13"/>
  <c r="AE119" i="13"/>
  <c r="AH119" i="13"/>
  <c r="AB119" i="13"/>
  <c r="AJ119" i="13"/>
  <c r="AC119" i="13"/>
  <c r="AA119" i="13"/>
  <c r="AD119" i="13"/>
  <c r="Z119" i="13"/>
  <c r="U119" i="13"/>
  <c r="Y119" i="13"/>
  <c r="R119" i="13"/>
  <c r="P119" i="13"/>
  <c r="AH111" i="13"/>
  <c r="AE111" i="13"/>
  <c r="AJ111" i="13"/>
  <c r="AD111" i="13"/>
  <c r="AB111" i="13"/>
  <c r="Z111" i="13"/>
  <c r="Y111" i="13"/>
  <c r="X111" i="13"/>
  <c r="AA111" i="13"/>
  <c r="U111" i="13"/>
  <c r="V111" i="13"/>
  <c r="S111" i="13"/>
  <c r="Q111" i="13"/>
  <c r="P111" i="13"/>
  <c r="R111" i="13"/>
  <c r="AE103" i="13"/>
  <c r="AJ103" i="13"/>
  <c r="AB103" i="13"/>
  <c r="AH103" i="13"/>
  <c r="AD103" i="13"/>
  <c r="AC103" i="13"/>
  <c r="AA103" i="13"/>
  <c r="X103" i="13"/>
  <c r="Y103" i="13"/>
  <c r="U103" i="13"/>
  <c r="Z103" i="13"/>
  <c r="W103" i="13"/>
  <c r="T103" i="13"/>
  <c r="Q103" i="13"/>
  <c r="P103" i="13"/>
  <c r="S103" i="13"/>
  <c r="AE95" i="13"/>
  <c r="AH95" i="13"/>
  <c r="AJ95" i="13"/>
  <c r="AB95" i="13"/>
  <c r="AC95" i="13"/>
  <c r="Z95" i="13"/>
  <c r="W95" i="13"/>
  <c r="AD95" i="13"/>
  <c r="U95" i="13"/>
  <c r="AA95" i="13"/>
  <c r="V95" i="13"/>
  <c r="P95" i="13"/>
  <c r="Q95" i="13"/>
  <c r="AE87" i="13"/>
  <c r="AJ87" i="13"/>
  <c r="AD87" i="13"/>
  <c r="AH87" i="13"/>
  <c r="AB87" i="13"/>
  <c r="AA87" i="13"/>
  <c r="AC87" i="13"/>
  <c r="X87" i="13"/>
  <c r="Y87" i="13"/>
  <c r="U87" i="13"/>
  <c r="W87" i="13"/>
  <c r="P87" i="13"/>
  <c r="AE79" i="13"/>
  <c r="AJ79" i="13"/>
  <c r="AD79" i="13"/>
  <c r="AB79" i="13"/>
  <c r="AH79" i="13"/>
  <c r="AC79" i="13"/>
  <c r="AA79" i="13"/>
  <c r="Z79" i="13"/>
  <c r="Y79" i="13"/>
  <c r="U79" i="13"/>
  <c r="V79" i="13"/>
  <c r="S79" i="13"/>
  <c r="P79" i="13"/>
  <c r="X79" i="13"/>
  <c r="AE71" i="13"/>
  <c r="AJ71" i="13"/>
  <c r="AH71" i="13"/>
  <c r="AC71" i="13"/>
  <c r="AB71" i="13"/>
  <c r="AD71" i="13"/>
  <c r="X71" i="13"/>
  <c r="AA71" i="13"/>
  <c r="U71" i="13"/>
  <c r="Z71" i="13"/>
  <c r="T71" i="13"/>
  <c r="P71" i="13"/>
  <c r="S71" i="13"/>
  <c r="AE63" i="13"/>
  <c r="AJ63" i="13"/>
  <c r="AC63" i="13"/>
  <c r="AB63" i="13"/>
  <c r="AD63" i="13"/>
  <c r="AA63" i="13"/>
  <c r="W63" i="13"/>
  <c r="U63" i="13"/>
  <c r="X63" i="13"/>
  <c r="Y63" i="13"/>
  <c r="V63" i="13"/>
  <c r="R63" i="13"/>
  <c r="P63" i="13"/>
  <c r="AH63" i="13"/>
  <c r="AE55" i="13"/>
  <c r="AJ55" i="13"/>
  <c r="AD55" i="13"/>
  <c r="AB55" i="13"/>
  <c r="AH55" i="13"/>
  <c r="Z55" i="13"/>
  <c r="U55" i="13"/>
  <c r="W55" i="13"/>
  <c r="AC55" i="13"/>
  <c r="Y55" i="13"/>
  <c r="R55" i="13"/>
  <c r="P55" i="13"/>
  <c r="AE47" i="13"/>
  <c r="AJ47" i="13"/>
  <c r="AH47" i="13"/>
  <c r="AB47" i="13"/>
  <c r="AA47" i="13"/>
  <c r="AC47" i="13"/>
  <c r="Z47" i="13"/>
  <c r="AD47" i="13"/>
  <c r="Y47" i="13"/>
  <c r="U47" i="13"/>
  <c r="X47" i="13"/>
  <c r="V47" i="13"/>
  <c r="S47" i="13"/>
  <c r="Q47" i="13"/>
  <c r="P47" i="13"/>
  <c r="W47" i="13"/>
  <c r="R47" i="13"/>
  <c r="AE39" i="13"/>
  <c r="AJ39" i="13"/>
  <c r="AB39" i="13"/>
  <c r="AD39" i="13"/>
  <c r="AH39" i="13"/>
  <c r="Z39" i="13"/>
  <c r="X39" i="13"/>
  <c r="U39" i="13"/>
  <c r="AA39" i="13"/>
  <c r="W39" i="13"/>
  <c r="T39" i="13"/>
  <c r="Q39" i="13"/>
  <c r="P39" i="13"/>
  <c r="S39" i="13"/>
  <c r="AE31" i="13"/>
  <c r="AJ31" i="13"/>
  <c r="AH31" i="13"/>
  <c r="AD31" i="13"/>
  <c r="AB31" i="13"/>
  <c r="AC31" i="13"/>
  <c r="AA31" i="13"/>
  <c r="X31" i="13"/>
  <c r="W31" i="13"/>
  <c r="Z31" i="13"/>
  <c r="Y31" i="13"/>
  <c r="U31" i="13"/>
  <c r="V31" i="13"/>
  <c r="P31" i="13"/>
  <c r="Q31" i="13"/>
  <c r="AE23" i="13"/>
  <c r="AJ23" i="13"/>
  <c r="AH23" i="13"/>
  <c r="AD23" i="13"/>
  <c r="AB23" i="13"/>
  <c r="Y23" i="13"/>
  <c r="AC23" i="13"/>
  <c r="Z23" i="13"/>
  <c r="AA23" i="13"/>
  <c r="U23" i="13"/>
  <c r="W23" i="13"/>
  <c r="P23" i="13"/>
  <c r="X23" i="13"/>
  <c r="AE15" i="13"/>
  <c r="AJ15" i="13"/>
  <c r="AD15" i="13"/>
  <c r="AB15" i="13"/>
  <c r="AA15" i="13"/>
  <c r="AC15" i="13"/>
  <c r="Z15" i="13"/>
  <c r="Y15" i="13"/>
  <c r="AH15" i="13"/>
  <c r="X15" i="13"/>
  <c r="U15" i="13"/>
  <c r="V15" i="13"/>
  <c r="S15" i="13"/>
  <c r="P15" i="13"/>
  <c r="AE7" i="13"/>
  <c r="AJ7" i="13"/>
  <c r="AD7" i="13"/>
  <c r="AH7" i="13"/>
  <c r="AC7" i="13"/>
  <c r="AB7" i="13"/>
  <c r="Z7" i="13"/>
  <c r="X7" i="13"/>
  <c r="U7" i="13"/>
  <c r="AA7" i="13"/>
  <c r="T7" i="13"/>
  <c r="P7" i="13"/>
  <c r="Y7" i="13"/>
  <c r="S7" i="13"/>
  <c r="L206" i="13"/>
  <c r="L198" i="13"/>
  <c r="L190" i="13"/>
  <c r="L182" i="13"/>
  <c r="L134" i="13"/>
  <c r="L126" i="13"/>
  <c r="L110" i="13"/>
  <c r="L78" i="13"/>
  <c r="L70" i="13"/>
  <c r="L62" i="13"/>
  <c r="L54" i="13"/>
  <c r="L46" i="13"/>
  <c r="L30" i="13"/>
  <c r="M185" i="13"/>
  <c r="M177" i="13"/>
  <c r="M169" i="13"/>
  <c r="M161" i="13"/>
  <c r="M153" i="13"/>
  <c r="M145" i="13"/>
  <c r="M137" i="13"/>
  <c r="M129" i="13"/>
  <c r="M121" i="13"/>
  <c r="M113" i="13"/>
  <c r="M105" i="13"/>
  <c r="M97" i="13"/>
  <c r="M89" i="13"/>
  <c r="M81" i="13"/>
  <c r="M73" i="13"/>
  <c r="M65" i="13"/>
  <c r="M57" i="13"/>
  <c r="M49" i="13"/>
  <c r="M41" i="13"/>
  <c r="M33" i="13"/>
  <c r="M25" i="13"/>
  <c r="M17" i="13"/>
  <c r="M9" i="13"/>
  <c r="N191" i="13"/>
  <c r="N159" i="13"/>
  <c r="N127" i="13"/>
  <c r="N95" i="13"/>
  <c r="N63" i="13"/>
  <c r="N30" i="13"/>
  <c r="O176" i="13"/>
  <c r="O151" i="13"/>
  <c r="O137" i="13"/>
  <c r="O126" i="13"/>
  <c r="O112" i="13"/>
  <c r="O87" i="13"/>
  <c r="O73" i="13"/>
  <c r="O62" i="13"/>
  <c r="O48" i="13"/>
  <c r="O23" i="13"/>
  <c r="O9" i="13"/>
  <c r="P169" i="13"/>
  <c r="P105" i="13"/>
  <c r="P41" i="13"/>
  <c r="Q184" i="13"/>
  <c r="Q159" i="13"/>
  <c r="Q119" i="13"/>
  <c r="Q62" i="13"/>
  <c r="Q33" i="13"/>
  <c r="Q17" i="13"/>
  <c r="R199" i="13"/>
  <c r="R113" i="13"/>
  <c r="R97" i="13"/>
  <c r="R40" i="13"/>
  <c r="R24" i="13"/>
  <c r="S95" i="13"/>
  <c r="T191" i="13"/>
  <c r="T153" i="13"/>
  <c r="T120" i="13"/>
  <c r="T105" i="13"/>
  <c r="T87" i="13"/>
  <c r="T54" i="13"/>
  <c r="U177" i="13"/>
  <c r="U137" i="13"/>
  <c r="U97" i="13"/>
  <c r="U57" i="13"/>
  <c r="V152" i="13"/>
  <c r="V103" i="13"/>
  <c r="V24" i="13"/>
  <c r="X199" i="13"/>
  <c r="X159" i="13"/>
  <c r="Z87" i="13"/>
  <c r="AA9" i="13"/>
  <c r="AB200" i="13"/>
  <c r="AB65" i="13"/>
  <c r="AC111" i="13"/>
  <c r="AH206" i="13"/>
  <c r="AD206" i="13"/>
  <c r="AB206" i="13"/>
  <c r="AC206" i="13"/>
  <c r="AA206" i="13"/>
  <c r="AE206" i="13"/>
  <c r="AJ206" i="13"/>
  <c r="Z206" i="13"/>
  <c r="W206" i="13"/>
  <c r="U206" i="13"/>
  <c r="R206" i="13"/>
  <c r="X206" i="13"/>
  <c r="P206" i="13"/>
  <c r="Y206" i="13"/>
  <c r="AE198" i="13"/>
  <c r="AB198" i="13"/>
  <c r="AD198" i="13"/>
  <c r="AA198" i="13"/>
  <c r="AJ198" i="13"/>
  <c r="AC198" i="13"/>
  <c r="AH198" i="13"/>
  <c r="Y198" i="13"/>
  <c r="U198" i="13"/>
  <c r="W198" i="13"/>
  <c r="R198" i="13"/>
  <c r="T198" i="13"/>
  <c r="P198" i="13"/>
  <c r="Z198" i="13"/>
  <c r="S198" i="13"/>
  <c r="X198" i="13"/>
  <c r="AJ190" i="13"/>
  <c r="AB190" i="13"/>
  <c r="AA190" i="13"/>
  <c r="AH190" i="13"/>
  <c r="AE190" i="13"/>
  <c r="AD190" i="13"/>
  <c r="AC190" i="13"/>
  <c r="U190" i="13"/>
  <c r="R190" i="13"/>
  <c r="Y190" i="13"/>
  <c r="W190" i="13"/>
  <c r="X190" i="13"/>
  <c r="P190" i="13"/>
  <c r="T190" i="13"/>
  <c r="AJ182" i="13"/>
  <c r="AH182" i="13"/>
  <c r="AE182" i="13"/>
  <c r="AB182" i="13"/>
  <c r="AD182" i="13"/>
  <c r="AA182" i="13"/>
  <c r="X182" i="13"/>
  <c r="U182" i="13"/>
  <c r="R182" i="13"/>
  <c r="W182" i="13"/>
  <c r="P182" i="13"/>
  <c r="AC182" i="13"/>
  <c r="AE174" i="13"/>
  <c r="AD174" i="13"/>
  <c r="AB174" i="13"/>
  <c r="AC174" i="13"/>
  <c r="AJ174" i="13"/>
  <c r="AA174" i="13"/>
  <c r="AH174" i="13"/>
  <c r="U174" i="13"/>
  <c r="R174" i="13"/>
  <c r="Y174" i="13"/>
  <c r="X174" i="13"/>
  <c r="P174" i="13"/>
  <c r="AH166" i="13"/>
  <c r="AJ166" i="13"/>
  <c r="AE166" i="13"/>
  <c r="AB166" i="13"/>
  <c r="AC166" i="13"/>
  <c r="Z166" i="13"/>
  <c r="AA166" i="13"/>
  <c r="AD166" i="13"/>
  <c r="Y166" i="13"/>
  <c r="U166" i="13"/>
  <c r="R166" i="13"/>
  <c r="T166" i="13"/>
  <c r="P166" i="13"/>
  <c r="S166" i="13"/>
  <c r="AH158" i="13"/>
  <c r="AB158" i="13"/>
  <c r="AE158" i="13"/>
  <c r="AD158" i="13"/>
  <c r="AC158" i="13"/>
  <c r="AJ158" i="13"/>
  <c r="Y158" i="13"/>
  <c r="U158" i="13"/>
  <c r="R158" i="13"/>
  <c r="AA158" i="13"/>
  <c r="W158" i="13"/>
  <c r="P158" i="13"/>
  <c r="T158" i="13"/>
  <c r="AH150" i="13"/>
  <c r="AJ150" i="13"/>
  <c r="AB150" i="13"/>
  <c r="AE150" i="13"/>
  <c r="AA150" i="13"/>
  <c r="AD150" i="13"/>
  <c r="Z150" i="13"/>
  <c r="X150" i="13"/>
  <c r="U150" i="13"/>
  <c r="R150" i="13"/>
  <c r="AC150" i="13"/>
  <c r="P150" i="13"/>
  <c r="Y150" i="13"/>
  <c r="AE142" i="13"/>
  <c r="AD142" i="13"/>
  <c r="AJ142" i="13"/>
  <c r="AB142" i="13"/>
  <c r="AC142" i="13"/>
  <c r="AH142" i="13"/>
  <c r="Z142" i="13"/>
  <c r="Y142" i="13"/>
  <c r="W142" i="13"/>
  <c r="U142" i="13"/>
  <c r="R142" i="13"/>
  <c r="AA142" i="13"/>
  <c r="X142" i="13"/>
  <c r="P142" i="13"/>
  <c r="AH134" i="13"/>
  <c r="AE134" i="13"/>
  <c r="AB134" i="13"/>
  <c r="AJ134" i="13"/>
  <c r="AD134" i="13"/>
  <c r="Z134" i="13"/>
  <c r="Y134" i="13"/>
  <c r="AC134" i="13"/>
  <c r="AA134" i="13"/>
  <c r="U134" i="13"/>
  <c r="W134" i="13"/>
  <c r="R134" i="13"/>
  <c r="T134" i="13"/>
  <c r="P134" i="13"/>
  <c r="S134" i="13"/>
  <c r="AJ126" i="13"/>
  <c r="AH126" i="13"/>
  <c r="AC126" i="13"/>
  <c r="AB126" i="13"/>
  <c r="AD126" i="13"/>
  <c r="AA126" i="13"/>
  <c r="AE126" i="13"/>
  <c r="Z126" i="13"/>
  <c r="X126" i="13"/>
  <c r="U126" i="13"/>
  <c r="R126" i="13"/>
  <c r="W126" i="13"/>
  <c r="P126" i="13"/>
  <c r="T126" i="13"/>
  <c r="AJ118" i="13"/>
  <c r="AB118" i="13"/>
  <c r="AC118" i="13"/>
  <c r="AA118" i="13"/>
  <c r="AE118" i="13"/>
  <c r="AD118" i="13"/>
  <c r="AH118" i="13"/>
  <c r="Z118" i="13"/>
  <c r="U118" i="13"/>
  <c r="R118" i="13"/>
  <c r="Y118" i="13"/>
  <c r="X118" i="13"/>
  <c r="W118" i="13"/>
  <c r="P118" i="13"/>
  <c r="AE110" i="13"/>
  <c r="AH110" i="13"/>
  <c r="AB110" i="13"/>
  <c r="AA110" i="13"/>
  <c r="AJ110" i="13"/>
  <c r="AC110" i="13"/>
  <c r="AD110" i="13"/>
  <c r="Z110" i="13"/>
  <c r="U110" i="13"/>
  <c r="R110" i="13"/>
  <c r="Y110" i="13"/>
  <c r="P110" i="13"/>
  <c r="W110" i="13"/>
  <c r="AH102" i="13"/>
  <c r="AJ102" i="13"/>
  <c r="AE102" i="13"/>
  <c r="AB102" i="13"/>
  <c r="AD102" i="13"/>
  <c r="AC102" i="13"/>
  <c r="AA102" i="13"/>
  <c r="Z102" i="13"/>
  <c r="X102" i="13"/>
  <c r="Y102" i="13"/>
  <c r="U102" i="13"/>
  <c r="R102" i="13"/>
  <c r="T102" i="13"/>
  <c r="Q102" i="13"/>
  <c r="P102" i="13"/>
  <c r="S102" i="13"/>
  <c r="AJ94" i="13"/>
  <c r="AB94" i="13"/>
  <c r="AE94" i="13"/>
  <c r="AC94" i="13"/>
  <c r="X94" i="13"/>
  <c r="Z94" i="13"/>
  <c r="AH94" i="13"/>
  <c r="AA94" i="13"/>
  <c r="AD94" i="13"/>
  <c r="U94" i="13"/>
  <c r="R94" i="13"/>
  <c r="P94" i="13"/>
  <c r="Q94" i="13"/>
  <c r="Y94" i="13"/>
  <c r="T94" i="13"/>
  <c r="AE86" i="13"/>
  <c r="AH86" i="13"/>
  <c r="AB86" i="13"/>
  <c r="AJ86" i="13"/>
  <c r="AD86" i="13"/>
  <c r="AA86" i="13"/>
  <c r="AC86" i="13"/>
  <c r="X86" i="13"/>
  <c r="Y86" i="13"/>
  <c r="U86" i="13"/>
  <c r="W86" i="13"/>
  <c r="R86" i="13"/>
  <c r="P86" i="13"/>
  <c r="Z86" i="13"/>
  <c r="Q86" i="13"/>
  <c r="AD78" i="13"/>
  <c r="AE78" i="13"/>
  <c r="AJ78" i="13"/>
  <c r="AB78" i="13"/>
  <c r="AH78" i="13"/>
  <c r="AA78" i="13"/>
  <c r="X78" i="13"/>
  <c r="Z78" i="13"/>
  <c r="U78" i="13"/>
  <c r="R78" i="13"/>
  <c r="AC78" i="13"/>
  <c r="W78" i="13"/>
  <c r="P78" i="13"/>
  <c r="AE70" i="13"/>
  <c r="AD70" i="13"/>
  <c r="AJ70" i="13"/>
  <c r="AB70" i="13"/>
  <c r="AC70" i="13"/>
  <c r="Z70" i="13"/>
  <c r="X70" i="13"/>
  <c r="AH70" i="13"/>
  <c r="Y70" i="13"/>
  <c r="AA70" i="13"/>
  <c r="U70" i="13"/>
  <c r="R70" i="13"/>
  <c r="T70" i="13"/>
  <c r="P70" i="13"/>
  <c r="S70" i="13"/>
  <c r="AJ62" i="13"/>
  <c r="AH62" i="13"/>
  <c r="AC62" i="13"/>
  <c r="AB62" i="13"/>
  <c r="AE62" i="13"/>
  <c r="X62" i="13"/>
  <c r="AA62" i="13"/>
  <c r="U62" i="13"/>
  <c r="R62" i="13"/>
  <c r="Y62" i="13"/>
  <c r="P62" i="13"/>
  <c r="W62" i="13"/>
  <c r="T62" i="13"/>
  <c r="AE54" i="13"/>
  <c r="AB54" i="13"/>
  <c r="AC54" i="13"/>
  <c r="AH54" i="13"/>
  <c r="AD54" i="13"/>
  <c r="AJ54" i="13"/>
  <c r="X54" i="13"/>
  <c r="Z54" i="13"/>
  <c r="U54" i="13"/>
  <c r="W54" i="13"/>
  <c r="R54" i="13"/>
  <c r="Y54" i="13"/>
  <c r="P54" i="13"/>
  <c r="AJ46" i="13"/>
  <c r="AH46" i="13"/>
  <c r="AB46" i="13"/>
  <c r="AA46" i="13"/>
  <c r="AE46" i="13"/>
  <c r="AC46" i="13"/>
  <c r="AD46" i="13"/>
  <c r="X46" i="13"/>
  <c r="U46" i="13"/>
  <c r="R46" i="13"/>
  <c r="Y46" i="13"/>
  <c r="W46" i="13"/>
  <c r="P46" i="13"/>
  <c r="AH38" i="13"/>
  <c r="AE38" i="13"/>
  <c r="AB38" i="13"/>
  <c r="AD38" i="13"/>
  <c r="AJ38" i="13"/>
  <c r="Z38" i="13"/>
  <c r="X38" i="13"/>
  <c r="Y38" i="13"/>
  <c r="AC38" i="13"/>
  <c r="U38" i="13"/>
  <c r="R38" i="13"/>
  <c r="AA38" i="13"/>
  <c r="T38" i="13"/>
  <c r="Q38" i="13"/>
  <c r="P38" i="13"/>
  <c r="S38" i="13"/>
  <c r="AE30" i="13"/>
  <c r="AD30" i="13"/>
  <c r="AB30" i="13"/>
  <c r="AH30" i="13"/>
  <c r="AJ30" i="13"/>
  <c r="AC30" i="13"/>
  <c r="AA30" i="13"/>
  <c r="X30" i="13"/>
  <c r="Z30" i="13"/>
  <c r="Y30" i="13"/>
  <c r="U30" i="13"/>
  <c r="R30" i="13"/>
  <c r="P30" i="13"/>
  <c r="Q30" i="13"/>
  <c r="T30" i="13"/>
  <c r="AE22" i="13"/>
  <c r="AH22" i="13"/>
  <c r="AJ22" i="13"/>
  <c r="AB22" i="13"/>
  <c r="AD22" i="13"/>
  <c r="AC22" i="13"/>
  <c r="X22" i="13"/>
  <c r="Z22" i="13"/>
  <c r="AA22" i="13"/>
  <c r="U22" i="13"/>
  <c r="W22" i="13"/>
  <c r="R22" i="13"/>
  <c r="P22" i="13"/>
  <c r="Q22" i="13"/>
  <c r="AD14" i="13"/>
  <c r="AH14" i="13"/>
  <c r="AB14" i="13"/>
  <c r="AA14" i="13"/>
  <c r="AE14" i="13"/>
  <c r="Y14" i="13"/>
  <c r="X14" i="13"/>
  <c r="AJ14" i="13"/>
  <c r="U14" i="13"/>
  <c r="R14" i="13"/>
  <c r="AC14" i="13"/>
  <c r="Z14" i="13"/>
  <c r="W14" i="13"/>
  <c r="P14" i="13"/>
  <c r="M208" i="13"/>
  <c r="M200" i="13"/>
  <c r="M192" i="13"/>
  <c r="M184" i="13"/>
  <c r="M176" i="13"/>
  <c r="M168" i="13"/>
  <c r="M160" i="13"/>
  <c r="M152" i="13"/>
  <c r="M144" i="13"/>
  <c r="M136" i="13"/>
  <c r="M128" i="13"/>
  <c r="M120" i="13"/>
  <c r="M112" i="13"/>
  <c r="M104" i="13"/>
  <c r="M96" i="13"/>
  <c r="M88" i="13"/>
  <c r="M80" i="13"/>
  <c r="M72" i="13"/>
  <c r="M64" i="13"/>
  <c r="M56" i="13"/>
  <c r="M48" i="13"/>
  <c r="M40" i="13"/>
  <c r="M32" i="13"/>
  <c r="M24" i="13"/>
  <c r="M16" i="13"/>
  <c r="M8" i="13"/>
  <c r="N200" i="13"/>
  <c r="N190" i="13"/>
  <c r="N169" i="13"/>
  <c r="N158" i="13"/>
  <c r="N137" i="13"/>
  <c r="N126" i="13"/>
  <c r="N105" i="13"/>
  <c r="N94" i="13"/>
  <c r="N73" i="13"/>
  <c r="N62" i="13"/>
  <c r="N41" i="13"/>
  <c r="N15" i="13"/>
  <c r="O200" i="13"/>
  <c r="O175" i="13"/>
  <c r="O161" i="13"/>
  <c r="O150" i="13"/>
  <c r="O136" i="13"/>
  <c r="O111" i="13"/>
  <c r="O97" i="13"/>
  <c r="O86" i="13"/>
  <c r="O72" i="13"/>
  <c r="O47" i="13"/>
  <c r="O33" i="13"/>
  <c r="O22" i="13"/>
  <c r="O8" i="13"/>
  <c r="P129" i="13"/>
  <c r="P65" i="13"/>
  <c r="Q208" i="13"/>
  <c r="Q183" i="13"/>
  <c r="Q158" i="13"/>
  <c r="Q144" i="13"/>
  <c r="Q118" i="13"/>
  <c r="Q105" i="13"/>
  <c r="Q89" i="13"/>
  <c r="Q73" i="13"/>
  <c r="Q32" i="13"/>
  <c r="Q16" i="13"/>
  <c r="R185" i="13"/>
  <c r="R169" i="13"/>
  <c r="R153" i="13"/>
  <c r="R112" i="13"/>
  <c r="R96" i="13"/>
  <c r="R80" i="13"/>
  <c r="R39" i="13"/>
  <c r="R23" i="13"/>
  <c r="R7" i="13"/>
  <c r="S142" i="13"/>
  <c r="S127" i="13"/>
  <c r="S94" i="13"/>
  <c r="S23" i="13"/>
  <c r="T185" i="13"/>
  <c r="T152" i="13"/>
  <c r="T137" i="13"/>
  <c r="T119" i="13"/>
  <c r="T86" i="13"/>
  <c r="T33" i="13"/>
  <c r="T15" i="13"/>
  <c r="U113" i="13"/>
  <c r="U73" i="13"/>
  <c r="V200" i="13"/>
  <c r="V174" i="13"/>
  <c r="V151" i="13"/>
  <c r="V102" i="13"/>
  <c r="V72" i="13"/>
  <c r="V46" i="13"/>
  <c r="V23" i="13"/>
  <c r="W94" i="13"/>
  <c r="X158" i="13"/>
  <c r="X119" i="13"/>
  <c r="Y151" i="13"/>
  <c r="Z63" i="13"/>
  <c r="AA121" i="13"/>
  <c r="AB169" i="13"/>
  <c r="AB64" i="13"/>
  <c r="M144" i="2"/>
  <c r="S45" i="2"/>
  <c r="U45" i="2"/>
  <c r="R45" i="2"/>
  <c r="H45" i="2"/>
  <c r="Q45" i="2"/>
  <c r="F45" i="2"/>
  <c r="L45" i="2"/>
  <c r="Y45" i="2"/>
  <c r="C45" i="2"/>
  <c r="I45" i="2"/>
  <c r="J45" i="2"/>
  <c r="K45" i="2"/>
  <c r="O144" i="2"/>
  <c r="S21" i="2"/>
  <c r="U21" i="2"/>
  <c r="Z21" i="2"/>
  <c r="J21" i="2"/>
  <c r="I21" i="2"/>
  <c r="R21" i="2"/>
  <c r="E21" i="2"/>
  <c r="Q21" i="2"/>
  <c r="D21" i="2"/>
  <c r="P21" i="2"/>
  <c r="B21" i="2"/>
  <c r="S34" i="2"/>
  <c r="P34" i="2"/>
  <c r="H34" i="2"/>
  <c r="O34" i="2"/>
  <c r="G34" i="2"/>
  <c r="Y34" i="2"/>
  <c r="I34" i="2"/>
  <c r="R34" i="2"/>
  <c r="F34" i="2"/>
  <c r="Q34" i="2"/>
  <c r="E34" i="2"/>
  <c r="S40" i="2"/>
  <c r="U40" i="2"/>
  <c r="K40" i="2"/>
  <c r="C40" i="2"/>
  <c r="R40" i="2"/>
  <c r="J40" i="2"/>
  <c r="B40" i="2"/>
  <c r="Z40" i="2"/>
  <c r="L40" i="2"/>
  <c r="H40" i="2"/>
  <c r="Y40" i="2"/>
  <c r="I40" i="2"/>
  <c r="S22" i="2"/>
  <c r="P22" i="2"/>
  <c r="H22" i="2"/>
  <c r="O22" i="2"/>
  <c r="G22" i="2"/>
  <c r="Y22" i="2"/>
  <c r="J22" i="2"/>
  <c r="U22" i="2"/>
  <c r="I22" i="2"/>
  <c r="R22" i="2"/>
  <c r="F22" i="2"/>
  <c r="S28" i="2"/>
  <c r="Z28" i="2"/>
  <c r="J28" i="2"/>
  <c r="I28" i="2"/>
  <c r="Q28" i="2"/>
  <c r="D28" i="2"/>
  <c r="G28" i="2"/>
  <c r="O28" i="2"/>
  <c r="C28" i="2"/>
  <c r="P28" i="2"/>
  <c r="B28" i="2"/>
  <c r="N28" i="2"/>
  <c r="A28" i="2"/>
  <c r="U34" i="2"/>
  <c r="R144" i="2"/>
  <c r="J144" i="2"/>
  <c r="B144" i="2"/>
  <c r="S144" i="2"/>
  <c r="N144" i="2"/>
  <c r="E144" i="2"/>
  <c r="Z144" i="2"/>
  <c r="L144" i="2"/>
  <c r="A144" i="2"/>
  <c r="Y144" i="2"/>
  <c r="K144" i="2"/>
  <c r="H144" i="2"/>
  <c r="G144" i="2"/>
  <c r="U144" i="2"/>
  <c r="F144" i="2"/>
  <c r="Q144" i="2"/>
  <c r="D144" i="2"/>
  <c r="N21" i="2"/>
  <c r="M22" i="2"/>
  <c r="A34" i="2"/>
  <c r="N34" i="2"/>
  <c r="N35" i="2"/>
  <c r="M40" i="2"/>
  <c r="P45" i="2"/>
  <c r="F48" i="2"/>
  <c r="F64" i="2"/>
  <c r="H80" i="2"/>
  <c r="Z80" i="2"/>
  <c r="G96" i="2"/>
  <c r="D152" i="2"/>
  <c r="S17" i="2"/>
  <c r="O17" i="2"/>
  <c r="G17" i="2"/>
  <c r="Z17" i="2"/>
  <c r="N17" i="2"/>
  <c r="F17" i="2"/>
  <c r="M17" i="2"/>
  <c r="C17" i="2"/>
  <c r="B17" i="2"/>
  <c r="L17" i="2"/>
  <c r="Y17" i="2"/>
  <c r="K17" i="2"/>
  <c r="A17" i="2"/>
  <c r="S16" i="2"/>
  <c r="Y16" i="2"/>
  <c r="L16" i="2"/>
  <c r="D16" i="2"/>
  <c r="U16" i="2"/>
  <c r="K16" i="2"/>
  <c r="C16" i="2"/>
  <c r="N16" i="2"/>
  <c r="B16" i="2"/>
  <c r="M16" i="2"/>
  <c r="A16" i="2"/>
  <c r="J16" i="2"/>
  <c r="S56" i="2"/>
  <c r="N56" i="2"/>
  <c r="F56" i="2"/>
  <c r="Z56" i="2"/>
  <c r="M56" i="2"/>
  <c r="E56" i="2"/>
  <c r="O56" i="2"/>
  <c r="C56" i="2"/>
  <c r="A56" i="2"/>
  <c r="L56" i="2"/>
  <c r="B56" i="2"/>
  <c r="K56" i="2"/>
  <c r="S72" i="2"/>
  <c r="L72" i="2"/>
  <c r="D72" i="2"/>
  <c r="U72" i="2"/>
  <c r="K72" i="2"/>
  <c r="C72" i="2"/>
  <c r="M72" i="2"/>
  <c r="A72" i="2"/>
  <c r="Y72" i="2"/>
  <c r="I72" i="2"/>
  <c r="Z72" i="2"/>
  <c r="J72" i="2"/>
  <c r="S88" i="2"/>
  <c r="U88" i="2"/>
  <c r="K88" i="2"/>
  <c r="C88" i="2"/>
  <c r="R88" i="2"/>
  <c r="J88" i="2"/>
  <c r="B88" i="2"/>
  <c r="Z88" i="2"/>
  <c r="L88" i="2"/>
  <c r="Y88" i="2"/>
  <c r="I88" i="2"/>
  <c r="H88" i="2"/>
  <c r="S96" i="2"/>
  <c r="Z96" i="2"/>
  <c r="N96" i="2"/>
  <c r="F96" i="2"/>
  <c r="Y96" i="2"/>
  <c r="M96" i="2"/>
  <c r="E96" i="2"/>
  <c r="O96" i="2"/>
  <c r="C96" i="2"/>
  <c r="K96" i="2"/>
  <c r="L96" i="2"/>
  <c r="B96" i="2"/>
  <c r="A96" i="2"/>
  <c r="S104" i="2"/>
  <c r="Q104" i="2"/>
  <c r="I104" i="2"/>
  <c r="A104" i="2"/>
  <c r="Y104" i="2"/>
  <c r="K104" i="2"/>
  <c r="B104" i="2"/>
  <c r="U104" i="2"/>
  <c r="J104" i="2"/>
  <c r="L104" i="2"/>
  <c r="H104" i="2"/>
  <c r="Z104" i="2"/>
  <c r="G104" i="2"/>
  <c r="S112" i="2"/>
  <c r="Y112" i="2"/>
  <c r="L112" i="2"/>
  <c r="D112" i="2"/>
  <c r="Q112" i="2"/>
  <c r="H112" i="2"/>
  <c r="P112" i="2"/>
  <c r="G112" i="2"/>
  <c r="O112" i="2"/>
  <c r="C112" i="2"/>
  <c r="M112" i="2"/>
  <c r="N112" i="2"/>
  <c r="B112" i="2"/>
  <c r="A112" i="2"/>
  <c r="S120" i="2"/>
  <c r="P120" i="2"/>
  <c r="H120" i="2"/>
  <c r="N120" i="2"/>
  <c r="E120" i="2"/>
  <c r="M120" i="2"/>
  <c r="D120" i="2"/>
  <c r="Z120" i="2"/>
  <c r="J120" i="2"/>
  <c r="G120" i="2"/>
  <c r="Y120" i="2"/>
  <c r="I120" i="2"/>
  <c r="U120" i="2"/>
  <c r="F120" i="2"/>
  <c r="R120" i="2"/>
  <c r="S128" i="2"/>
  <c r="Z128" i="2"/>
  <c r="M128" i="2"/>
  <c r="E128" i="2"/>
  <c r="O128" i="2"/>
  <c r="F128" i="2"/>
  <c r="N128" i="2"/>
  <c r="D128" i="2"/>
  <c r="H128" i="2"/>
  <c r="R128" i="2"/>
  <c r="G128" i="2"/>
  <c r="Q128" i="2"/>
  <c r="C128" i="2"/>
  <c r="P128" i="2"/>
  <c r="B128" i="2"/>
  <c r="S136" i="2"/>
  <c r="Q136" i="2"/>
  <c r="I136" i="2"/>
  <c r="A136" i="2"/>
  <c r="N136" i="2"/>
  <c r="E136" i="2"/>
  <c r="Z136" i="2"/>
  <c r="M136" i="2"/>
  <c r="D136" i="2"/>
  <c r="P136" i="2"/>
  <c r="C136" i="2"/>
  <c r="O136" i="2"/>
  <c r="B136" i="2"/>
  <c r="L136" i="2"/>
  <c r="K136" i="2"/>
  <c r="O160" i="2"/>
  <c r="G160" i="2"/>
  <c r="S160" i="2"/>
  <c r="P160" i="2"/>
  <c r="H160" i="2"/>
  <c r="N160" i="2"/>
  <c r="D160" i="2"/>
  <c r="R160" i="2"/>
  <c r="E160" i="2"/>
  <c r="Q160" i="2"/>
  <c r="C160" i="2"/>
  <c r="L160" i="2"/>
  <c r="K160" i="2"/>
  <c r="Z160" i="2"/>
  <c r="I160" i="2"/>
  <c r="J160" i="2"/>
  <c r="Y28" i="2"/>
  <c r="B34" i="2"/>
  <c r="R56" i="2"/>
  <c r="O88" i="2"/>
  <c r="H16" i="2"/>
  <c r="A22" i="2"/>
  <c r="N22" i="2"/>
  <c r="E28" i="2"/>
  <c r="Z34" i="2"/>
  <c r="O35" i="2"/>
  <c r="N40" i="2"/>
  <c r="G48" i="2"/>
  <c r="L64" i="2"/>
  <c r="P72" i="2"/>
  <c r="I80" i="2"/>
  <c r="H96" i="2"/>
  <c r="P104" i="2"/>
  <c r="F112" i="2"/>
  <c r="L120" i="2"/>
  <c r="I128" i="2"/>
  <c r="G152" i="2"/>
  <c r="I16" i="2"/>
  <c r="H17" i="2"/>
  <c r="B22" i="2"/>
  <c r="Q22" i="2"/>
  <c r="F28" i="2"/>
  <c r="C34" i="2"/>
  <c r="A35" i="2"/>
  <c r="O40" i="2"/>
  <c r="A45" i="2"/>
  <c r="Z45" i="2"/>
  <c r="D56" i="2"/>
  <c r="U56" i="2"/>
  <c r="B72" i="2"/>
  <c r="Q72" i="2"/>
  <c r="A88" i="2"/>
  <c r="P88" i="2"/>
  <c r="I96" i="2"/>
  <c r="C104" i="2"/>
  <c r="R104" i="2"/>
  <c r="I112" i="2"/>
  <c r="O120" i="2"/>
  <c r="J128" i="2"/>
  <c r="Y136" i="2"/>
  <c r="C144" i="2"/>
  <c r="Y160" i="2"/>
  <c r="S35" i="2"/>
  <c r="Y35" i="2"/>
  <c r="L35" i="2"/>
  <c r="D35" i="2"/>
  <c r="U35" i="2"/>
  <c r="K35" i="2"/>
  <c r="C35" i="2"/>
  <c r="Z35" i="2"/>
  <c r="I35" i="2"/>
  <c r="G35" i="2"/>
  <c r="R35" i="2"/>
  <c r="H35" i="2"/>
  <c r="Q35" i="2"/>
  <c r="S48" i="2"/>
  <c r="U48" i="2"/>
  <c r="K48" i="2"/>
  <c r="C48" i="2"/>
  <c r="R48" i="2"/>
  <c r="J48" i="2"/>
  <c r="B48" i="2"/>
  <c r="Z48" i="2"/>
  <c r="L48" i="2"/>
  <c r="Y48" i="2"/>
  <c r="I48" i="2"/>
  <c r="H48" i="2"/>
  <c r="S64" i="2"/>
  <c r="R64" i="2"/>
  <c r="J64" i="2"/>
  <c r="B64" i="2"/>
  <c r="Q64" i="2"/>
  <c r="I64" i="2"/>
  <c r="A64" i="2"/>
  <c r="Z64" i="2"/>
  <c r="K64" i="2"/>
  <c r="G64" i="2"/>
  <c r="Y64" i="2"/>
  <c r="H64" i="2"/>
  <c r="U64" i="2"/>
  <c r="S80" i="2"/>
  <c r="O80" i="2"/>
  <c r="G80" i="2"/>
  <c r="N80" i="2"/>
  <c r="F80" i="2"/>
  <c r="P80" i="2"/>
  <c r="D80" i="2"/>
  <c r="L80" i="2"/>
  <c r="M80" i="2"/>
  <c r="C80" i="2"/>
  <c r="B80" i="2"/>
  <c r="Y152" i="2"/>
  <c r="M152" i="2"/>
  <c r="E152" i="2"/>
  <c r="S152" i="2"/>
  <c r="Z152" i="2"/>
  <c r="N152" i="2"/>
  <c r="F152" i="2"/>
  <c r="K152" i="2"/>
  <c r="A152" i="2"/>
  <c r="L152" i="2"/>
  <c r="J152" i="2"/>
  <c r="Q152" i="2"/>
  <c r="B152" i="2"/>
  <c r="P152" i="2"/>
  <c r="O152" i="2"/>
  <c r="I152" i="2"/>
  <c r="Y21" i="2"/>
  <c r="O16" i="2"/>
  <c r="A21" i="2"/>
  <c r="C22" i="2"/>
  <c r="Z22" i="2"/>
  <c r="H28" i="2"/>
  <c r="D34" i="2"/>
  <c r="B35" i="2"/>
  <c r="A40" i="2"/>
  <c r="P40" i="2"/>
  <c r="B45" i="2"/>
  <c r="N48" i="2"/>
  <c r="G56" i="2"/>
  <c r="Y56" i="2"/>
  <c r="N64" i="2"/>
  <c r="E72" i="2"/>
  <c r="R72" i="2"/>
  <c r="K80" i="2"/>
  <c r="D88" i="2"/>
  <c r="Q88" i="2"/>
  <c r="J96" i="2"/>
  <c r="D104" i="2"/>
  <c r="J112" i="2"/>
  <c r="Q120" i="2"/>
  <c r="K128" i="2"/>
  <c r="F136" i="2"/>
  <c r="I144" i="2"/>
  <c r="R152" i="2"/>
  <c r="S89" i="2"/>
  <c r="Y89" i="2"/>
  <c r="M89" i="2"/>
  <c r="E89" i="2"/>
  <c r="L89" i="2"/>
  <c r="D89" i="2"/>
  <c r="F153" i="2"/>
  <c r="C161" i="2"/>
  <c r="U18" i="2"/>
  <c r="S24" i="2"/>
  <c r="Y24" i="2"/>
  <c r="L24" i="2"/>
  <c r="D24" i="2"/>
  <c r="U24" i="2"/>
  <c r="K24" i="2"/>
  <c r="C24" i="2"/>
  <c r="U30" i="2"/>
  <c r="S30" i="2"/>
  <c r="P30" i="2"/>
  <c r="H30" i="2"/>
  <c r="O30" i="2"/>
  <c r="G30" i="2"/>
  <c r="S43" i="2"/>
  <c r="U43" i="2"/>
  <c r="K43" i="2"/>
  <c r="C43" i="2"/>
  <c r="R43" i="2"/>
  <c r="J43" i="2"/>
  <c r="B43" i="2"/>
  <c r="S50" i="2"/>
  <c r="O50" i="2"/>
  <c r="G50" i="2"/>
  <c r="N50" i="2"/>
  <c r="F50" i="2"/>
  <c r="S58" i="2"/>
  <c r="U58" i="2"/>
  <c r="K58" i="2"/>
  <c r="C58" i="2"/>
  <c r="R58" i="2"/>
  <c r="J58" i="2"/>
  <c r="B58" i="2"/>
  <c r="S66" i="2"/>
  <c r="O66" i="2"/>
  <c r="G66" i="2"/>
  <c r="N66" i="2"/>
  <c r="F66" i="2"/>
  <c r="S74" i="2"/>
  <c r="P74" i="2"/>
  <c r="H74" i="2"/>
  <c r="O74" i="2"/>
  <c r="G74" i="2"/>
  <c r="S82" i="2"/>
  <c r="Y82" i="2"/>
  <c r="L82" i="2"/>
  <c r="D82" i="2"/>
  <c r="U82" i="2"/>
  <c r="K82" i="2"/>
  <c r="C82" i="2"/>
  <c r="S106" i="2"/>
  <c r="N106" i="2"/>
  <c r="F106" i="2"/>
  <c r="M106" i="2"/>
  <c r="D106" i="2"/>
  <c r="Z106" i="2"/>
  <c r="L106" i="2"/>
  <c r="C106" i="2"/>
  <c r="S114" i="2"/>
  <c r="Q114" i="2"/>
  <c r="I114" i="2"/>
  <c r="A114" i="2"/>
  <c r="Y114" i="2"/>
  <c r="K114" i="2"/>
  <c r="B114" i="2"/>
  <c r="U114" i="2"/>
  <c r="J114" i="2"/>
  <c r="S122" i="2"/>
  <c r="Z122" i="2"/>
  <c r="M122" i="2"/>
  <c r="E122" i="2"/>
  <c r="Q122" i="2"/>
  <c r="H122" i="2"/>
  <c r="P122" i="2"/>
  <c r="G122" i="2"/>
  <c r="S130" i="2"/>
  <c r="R130" i="2"/>
  <c r="J130" i="2"/>
  <c r="B130" i="2"/>
  <c r="Q130" i="2"/>
  <c r="H130" i="2"/>
  <c r="P130" i="2"/>
  <c r="G130" i="2"/>
  <c r="Y138" i="2"/>
  <c r="L138" i="2"/>
  <c r="D138" i="2"/>
  <c r="S138" i="2"/>
  <c r="P138" i="2"/>
  <c r="G138" i="2"/>
  <c r="U138" i="2"/>
  <c r="I138" i="2"/>
  <c r="R138" i="2"/>
  <c r="H138" i="2"/>
  <c r="N146" i="2"/>
  <c r="F146" i="2"/>
  <c r="S146" i="2"/>
  <c r="P146" i="2"/>
  <c r="G146" i="2"/>
  <c r="Y146" i="2"/>
  <c r="J146" i="2"/>
  <c r="I146" i="2"/>
  <c r="Q154" i="2"/>
  <c r="I154" i="2"/>
  <c r="A154" i="2"/>
  <c r="S154" i="2"/>
  <c r="R154" i="2"/>
  <c r="J154" i="2"/>
  <c r="B154" i="2"/>
  <c r="Y154" i="2"/>
  <c r="K154" i="2"/>
  <c r="P154" i="2"/>
  <c r="E154" i="2"/>
  <c r="O154" i="2"/>
  <c r="D154" i="2"/>
  <c r="K162" i="2"/>
  <c r="C162" i="2"/>
  <c r="S162" i="2"/>
  <c r="Y162" i="2"/>
  <c r="L162" i="2"/>
  <c r="D162" i="2"/>
  <c r="N162" i="2"/>
  <c r="B162" i="2"/>
  <c r="I162" i="2"/>
  <c r="Z162" i="2"/>
  <c r="H162" i="2"/>
  <c r="O176" i="2"/>
  <c r="S176" i="2"/>
  <c r="I184" i="2"/>
  <c r="S184" i="2"/>
  <c r="I192" i="2"/>
  <c r="S192" i="2"/>
  <c r="I200" i="2"/>
  <c r="S200" i="2"/>
  <c r="S73" i="2"/>
  <c r="Z73" i="2"/>
  <c r="N73" i="2"/>
  <c r="F73" i="2"/>
  <c r="Y73" i="2"/>
  <c r="M73" i="2"/>
  <c r="E73" i="2"/>
  <c r="S81" i="2"/>
  <c r="R81" i="2"/>
  <c r="J81" i="2"/>
  <c r="B81" i="2"/>
  <c r="Q81" i="2"/>
  <c r="I81" i="2"/>
  <c r="A81" i="2"/>
  <c r="S105" i="2"/>
  <c r="L105" i="2"/>
  <c r="D105" i="2"/>
  <c r="Q105" i="2"/>
  <c r="H105" i="2"/>
  <c r="P105" i="2"/>
  <c r="G105" i="2"/>
  <c r="S113" i="2"/>
  <c r="O113" i="2"/>
  <c r="G113" i="2"/>
  <c r="N113" i="2"/>
  <c r="E113" i="2"/>
  <c r="Z113" i="2"/>
  <c r="M113" i="2"/>
  <c r="D113" i="2"/>
  <c r="S121" i="2"/>
  <c r="U121" i="2"/>
  <c r="K121" i="2"/>
  <c r="C121" i="2"/>
  <c r="Y121" i="2"/>
  <c r="L121" i="2"/>
  <c r="B121" i="2"/>
  <c r="J121" i="2"/>
  <c r="A121" i="2"/>
  <c r="S129" i="2"/>
  <c r="P129" i="2"/>
  <c r="H129" i="2"/>
  <c r="Y129" i="2"/>
  <c r="L129" i="2"/>
  <c r="C129" i="2"/>
  <c r="K129" i="2"/>
  <c r="B129" i="2"/>
  <c r="R137" i="2"/>
  <c r="S137" i="2"/>
  <c r="K137" i="2"/>
  <c r="C137" i="2"/>
  <c r="Y137" i="2"/>
  <c r="J137" i="2"/>
  <c r="A137" i="2"/>
  <c r="U137" i="2"/>
  <c r="I137" i="2"/>
  <c r="L145" i="2"/>
  <c r="D145" i="2"/>
  <c r="S145" i="2"/>
  <c r="U145" i="2"/>
  <c r="J145" i="2"/>
  <c r="A145" i="2"/>
  <c r="Z145" i="2"/>
  <c r="K145" i="2"/>
  <c r="Y145" i="2"/>
  <c r="I145" i="2"/>
  <c r="O153" i="2"/>
  <c r="G153" i="2"/>
  <c r="S153" i="2"/>
  <c r="P153" i="2"/>
  <c r="H153" i="2"/>
  <c r="Y153" i="2"/>
  <c r="K153" i="2"/>
  <c r="A153" i="2"/>
  <c r="N153" i="2"/>
  <c r="C153" i="2"/>
  <c r="M153" i="2"/>
  <c r="B153" i="2"/>
  <c r="Q161" i="2"/>
  <c r="I161" i="2"/>
  <c r="A161" i="2"/>
  <c r="S161" i="2"/>
  <c r="R161" i="2"/>
  <c r="J161" i="2"/>
  <c r="B161" i="2"/>
  <c r="N161" i="2"/>
  <c r="D161" i="2"/>
  <c r="G161" i="2"/>
  <c r="F161" i="2"/>
  <c r="O191" i="2"/>
  <c r="S191" i="2"/>
  <c r="L12" i="2"/>
  <c r="I23" i="2"/>
  <c r="H49" i="2"/>
  <c r="L57" i="2"/>
  <c r="Z57" i="2"/>
  <c r="R65" i="2"/>
  <c r="H89" i="2"/>
  <c r="R89" i="2"/>
  <c r="K97" i="2"/>
  <c r="K105" i="2"/>
  <c r="C113" i="2"/>
  <c r="I121" i="2"/>
  <c r="G129" i="2"/>
  <c r="D137" i="2"/>
  <c r="O137" i="2"/>
  <c r="M145" i="2"/>
  <c r="S90" i="2"/>
  <c r="O90" i="2"/>
  <c r="G90" i="2"/>
  <c r="N90" i="2"/>
  <c r="F90" i="2"/>
  <c r="K23" i="2"/>
  <c r="E24" i="2"/>
  <c r="O24" i="2"/>
  <c r="B30" i="2"/>
  <c r="L30" i="2"/>
  <c r="G43" i="2"/>
  <c r="Q43" i="2"/>
  <c r="I49" i="2"/>
  <c r="I50" i="2"/>
  <c r="U50" i="2"/>
  <c r="C57" i="2"/>
  <c r="A58" i="2"/>
  <c r="M58" i="2"/>
  <c r="I65" i="2"/>
  <c r="I66" i="2"/>
  <c r="U66" i="2"/>
  <c r="J73" i="2"/>
  <c r="J74" i="2"/>
  <c r="Y74" i="2"/>
  <c r="D81" i="2"/>
  <c r="N81" i="2"/>
  <c r="B82" i="2"/>
  <c r="N82" i="2"/>
  <c r="I89" i="2"/>
  <c r="U89" i="2"/>
  <c r="I90" i="2"/>
  <c r="U90" i="2"/>
  <c r="B97" i="2"/>
  <c r="L97" i="2"/>
  <c r="A105" i="2"/>
  <c r="M105" i="2"/>
  <c r="B106" i="2"/>
  <c r="P106" i="2"/>
  <c r="F113" i="2"/>
  <c r="R113" i="2"/>
  <c r="G114" i="2"/>
  <c r="Z114" i="2"/>
  <c r="M121" i="2"/>
  <c r="B122" i="2"/>
  <c r="N122" i="2"/>
  <c r="I129" i="2"/>
  <c r="Z129" i="2"/>
  <c r="L130" i="2"/>
  <c r="E137" i="2"/>
  <c r="P137" i="2"/>
  <c r="J138" i="2"/>
  <c r="N145" i="2"/>
  <c r="D146" i="2"/>
  <c r="R146" i="2"/>
  <c r="I153" i="2"/>
  <c r="C154" i="2"/>
  <c r="E161" i="2"/>
  <c r="Z161" i="2"/>
  <c r="P162" i="2"/>
  <c r="S7" i="2"/>
  <c r="N7" i="2"/>
  <c r="D7" i="2"/>
  <c r="M7" i="2"/>
  <c r="B7" i="2"/>
  <c r="S13" i="2"/>
  <c r="Z13" i="2"/>
  <c r="I13" i="2"/>
  <c r="R13" i="2"/>
  <c r="H13" i="2"/>
  <c r="S19" i="2"/>
  <c r="Z19" i="2"/>
  <c r="M19" i="2"/>
  <c r="E19" i="2"/>
  <c r="Y19" i="2"/>
  <c r="L19" i="2"/>
  <c r="D19" i="2"/>
  <c r="S25" i="2"/>
  <c r="O25" i="2"/>
  <c r="G25" i="2"/>
  <c r="Z25" i="2"/>
  <c r="N25" i="2"/>
  <c r="F25" i="2"/>
  <c r="S37" i="2"/>
  <c r="U37" i="2"/>
  <c r="I37" i="2"/>
  <c r="R37" i="2"/>
  <c r="H37" i="2"/>
  <c r="S12" i="2"/>
  <c r="I12" i="2"/>
  <c r="R12" i="2"/>
  <c r="H12" i="2"/>
  <c r="S18" i="2"/>
  <c r="Q18" i="2"/>
  <c r="I18" i="2"/>
  <c r="A18" i="2"/>
  <c r="P18" i="2"/>
  <c r="H18" i="2"/>
  <c r="S23" i="2"/>
  <c r="N23" i="2"/>
  <c r="D23" i="2"/>
  <c r="M23" i="2"/>
  <c r="B23" i="2"/>
  <c r="S29" i="2"/>
  <c r="Z29" i="2"/>
  <c r="J29" i="2"/>
  <c r="I29" i="2"/>
  <c r="S49" i="2"/>
  <c r="Y49" i="2"/>
  <c r="M49" i="2"/>
  <c r="E49" i="2"/>
  <c r="L49" i="2"/>
  <c r="D49" i="2"/>
  <c r="S57" i="2"/>
  <c r="Q57" i="2"/>
  <c r="I57" i="2"/>
  <c r="A57" i="2"/>
  <c r="P57" i="2"/>
  <c r="H57" i="2"/>
  <c r="S65" i="2"/>
  <c r="Y65" i="2"/>
  <c r="M65" i="2"/>
  <c r="E65" i="2"/>
  <c r="L65" i="2"/>
  <c r="D65" i="2"/>
  <c r="S97" i="2"/>
  <c r="P97" i="2"/>
  <c r="H97" i="2"/>
  <c r="O97" i="2"/>
  <c r="G97" i="2"/>
  <c r="O183" i="2"/>
  <c r="S183" i="2"/>
  <c r="F29" i="2"/>
  <c r="R49" i="2"/>
  <c r="B57" i="2"/>
  <c r="H65" i="2"/>
  <c r="I73" i="2"/>
  <c r="U73" i="2"/>
  <c r="C81" i="2"/>
  <c r="M81" i="2"/>
  <c r="A97" i="2"/>
  <c r="Y97" i="2"/>
  <c r="Q113" i="2"/>
  <c r="S98" i="2"/>
  <c r="R98" i="2"/>
  <c r="J98" i="2"/>
  <c r="B98" i="2"/>
  <c r="Q98" i="2"/>
  <c r="I98" i="2"/>
  <c r="A98" i="2"/>
  <c r="M12" i="2"/>
  <c r="B18" i="2"/>
  <c r="L18" i="2"/>
  <c r="C23" i="2"/>
  <c r="Y23" i="2"/>
  <c r="O12" i="2"/>
  <c r="A12" i="2"/>
  <c r="N12" i="2"/>
  <c r="C18" i="2"/>
  <c r="M18" i="2"/>
  <c r="L23" i="2"/>
  <c r="F24" i="2"/>
  <c r="P24" i="2"/>
  <c r="L29" i="2"/>
  <c r="C30" i="2"/>
  <c r="M30" i="2"/>
  <c r="H43" i="2"/>
  <c r="Y43" i="2"/>
  <c r="J49" i="2"/>
  <c r="Z49" i="2"/>
  <c r="J50" i="2"/>
  <c r="Y50" i="2"/>
  <c r="D57" i="2"/>
  <c r="N57" i="2"/>
  <c r="D58" i="2"/>
  <c r="N58" i="2"/>
  <c r="J65" i="2"/>
  <c r="Z65" i="2"/>
  <c r="J66" i="2"/>
  <c r="Y66" i="2"/>
  <c r="A73" i="2"/>
  <c r="K73" i="2"/>
  <c r="A74" i="2"/>
  <c r="K74" i="2"/>
  <c r="Z74" i="2"/>
  <c r="E81" i="2"/>
  <c r="O81" i="2"/>
  <c r="E82" i="2"/>
  <c r="O82" i="2"/>
  <c r="J89" i="2"/>
  <c r="Z89" i="2"/>
  <c r="J90" i="2"/>
  <c r="Y90" i="2"/>
  <c r="C97" i="2"/>
  <c r="M97" i="2"/>
  <c r="C98" i="2"/>
  <c r="M98" i="2"/>
  <c r="B105" i="2"/>
  <c r="N105" i="2"/>
  <c r="E106" i="2"/>
  <c r="Q106" i="2"/>
  <c r="H113" i="2"/>
  <c r="U113" i="2"/>
  <c r="H114" i="2"/>
  <c r="N121" i="2"/>
  <c r="C122" i="2"/>
  <c r="O122" i="2"/>
  <c r="J129" i="2"/>
  <c r="A130" i="2"/>
  <c r="M130" i="2"/>
  <c r="F137" i="2"/>
  <c r="Q137" i="2"/>
  <c r="K138" i="2"/>
  <c r="B145" i="2"/>
  <c r="O145" i="2"/>
  <c r="E146" i="2"/>
  <c r="Z146" i="2"/>
  <c r="J153" i="2"/>
  <c r="F154" i="2"/>
  <c r="Z154" i="2"/>
  <c r="H161" i="2"/>
  <c r="A162" i="2"/>
  <c r="Q162" i="2"/>
  <c r="S8" i="2"/>
  <c r="L8" i="2"/>
  <c r="D8" i="2"/>
  <c r="U8" i="2"/>
  <c r="K8" i="2"/>
  <c r="C8" i="2"/>
  <c r="S14" i="2"/>
  <c r="P14" i="2"/>
  <c r="H14" i="2"/>
  <c r="U14" i="2"/>
  <c r="O14" i="2"/>
  <c r="G14" i="2"/>
  <c r="S39" i="2"/>
  <c r="U39" i="2"/>
  <c r="S100" i="2"/>
  <c r="P100" i="2"/>
  <c r="S108" i="2"/>
  <c r="U108" i="2"/>
  <c r="K108" i="2"/>
  <c r="C108" i="2"/>
  <c r="S116" i="2"/>
  <c r="O116" i="2"/>
  <c r="G116" i="2"/>
  <c r="S124" i="2"/>
  <c r="U124" i="2"/>
  <c r="K124" i="2"/>
  <c r="C124" i="2"/>
  <c r="S132" i="2"/>
  <c r="O132" i="2"/>
  <c r="G132" i="2"/>
  <c r="Q140" i="2"/>
  <c r="I140" i="2"/>
  <c r="A140" i="2"/>
  <c r="S140" i="2"/>
  <c r="U140" i="2"/>
  <c r="J140" i="2"/>
  <c r="L148" i="2"/>
  <c r="D148" i="2"/>
  <c r="S148" i="2"/>
  <c r="U148" i="2"/>
  <c r="J148" i="2"/>
  <c r="A148" i="2"/>
  <c r="Z156" i="2"/>
  <c r="N156" i="2"/>
  <c r="F156" i="2"/>
  <c r="S156" i="2"/>
  <c r="O156" i="2"/>
  <c r="G156" i="2"/>
  <c r="J156" i="2"/>
  <c r="P164" i="2"/>
  <c r="H164" i="2"/>
  <c r="S164" i="2"/>
  <c r="Q164" i="2"/>
  <c r="I164" i="2"/>
  <c r="A164" i="2"/>
  <c r="M164" i="2"/>
  <c r="C164" i="2"/>
  <c r="O186" i="2"/>
  <c r="S186" i="2"/>
  <c r="Q194" i="2"/>
  <c r="S194" i="2"/>
  <c r="O199" i="2"/>
  <c r="S199" i="2"/>
  <c r="U10" i="2"/>
  <c r="S10" i="2"/>
  <c r="O139" i="2"/>
  <c r="G139" i="2"/>
  <c r="S139" i="2"/>
  <c r="Q147" i="2"/>
  <c r="I147" i="2"/>
  <c r="A147" i="2"/>
  <c r="S147" i="2"/>
  <c r="U155" i="2"/>
  <c r="K155" i="2"/>
  <c r="C155" i="2"/>
  <c r="S155" i="2"/>
  <c r="Y155" i="2"/>
  <c r="L155" i="2"/>
  <c r="D155" i="2"/>
  <c r="Z163" i="2"/>
  <c r="N163" i="2"/>
  <c r="F163" i="2"/>
  <c r="S163" i="2"/>
  <c r="O163" i="2"/>
  <c r="G163" i="2"/>
  <c r="U177" i="2"/>
  <c r="S177" i="2"/>
  <c r="U185" i="2"/>
  <c r="S185" i="2"/>
  <c r="S193" i="2"/>
  <c r="U201" i="2"/>
  <c r="S201" i="2"/>
  <c r="O149" i="2"/>
  <c r="D151" i="2"/>
  <c r="L151" i="2"/>
  <c r="A157" i="2"/>
  <c r="I157" i="2"/>
  <c r="Q157" i="2"/>
  <c r="F159" i="2"/>
  <c r="N159" i="2"/>
  <c r="Z159" i="2"/>
  <c r="U26" i="2"/>
  <c r="U31" i="2"/>
  <c r="U46" i="2"/>
  <c r="S196" i="2"/>
  <c r="S188" i="2"/>
  <c r="S180" i="2"/>
  <c r="S203" i="2"/>
  <c r="S195" i="2"/>
  <c r="S187" i="2"/>
  <c r="S179" i="2"/>
  <c r="Z178" i="2"/>
  <c r="P178" i="2"/>
  <c r="H178" i="2"/>
  <c r="M178" i="2"/>
  <c r="E178" i="2"/>
  <c r="L178" i="2"/>
  <c r="D178" i="2"/>
  <c r="R178" i="2"/>
  <c r="J178" i="2"/>
  <c r="B178" i="2"/>
  <c r="Z202" i="2"/>
  <c r="P202" i="2"/>
  <c r="H202" i="2"/>
  <c r="M202" i="2"/>
  <c r="E202" i="2"/>
  <c r="L202" i="2"/>
  <c r="D202" i="2"/>
  <c r="R202" i="2"/>
  <c r="J202" i="2"/>
  <c r="B202" i="2"/>
  <c r="Z181" i="2"/>
  <c r="P181" i="2"/>
  <c r="H181" i="2"/>
  <c r="M181" i="2"/>
  <c r="E181" i="2"/>
  <c r="L181" i="2"/>
  <c r="D181" i="2"/>
  <c r="R181" i="2"/>
  <c r="J181" i="2"/>
  <c r="B181" i="2"/>
  <c r="Z189" i="2"/>
  <c r="P189" i="2"/>
  <c r="H189" i="2"/>
  <c r="M189" i="2"/>
  <c r="E189" i="2"/>
  <c r="L189" i="2"/>
  <c r="D189" i="2"/>
  <c r="R189" i="2"/>
  <c r="J189" i="2"/>
  <c r="B189" i="2"/>
  <c r="Z197" i="2"/>
  <c r="P197" i="2"/>
  <c r="H197" i="2"/>
  <c r="M197" i="2"/>
  <c r="E197" i="2"/>
  <c r="L197" i="2"/>
  <c r="D197" i="2"/>
  <c r="R197" i="2"/>
  <c r="J197" i="2"/>
  <c r="B197" i="2"/>
  <c r="E165" i="2"/>
  <c r="M165" i="2"/>
  <c r="E166" i="2"/>
  <c r="M166" i="2"/>
  <c r="E167" i="2"/>
  <c r="M167" i="2"/>
  <c r="E168" i="2"/>
  <c r="M168" i="2"/>
  <c r="E169" i="2"/>
  <c r="M169" i="2"/>
  <c r="E170" i="2"/>
  <c r="M170" i="2"/>
  <c r="E171" i="2"/>
  <c r="M171" i="2"/>
  <c r="E172" i="2"/>
  <c r="M172" i="2"/>
  <c r="E173" i="2"/>
  <c r="M173" i="2"/>
  <c r="E174" i="2"/>
  <c r="M174" i="2"/>
  <c r="E175" i="2"/>
  <c r="M175" i="2"/>
  <c r="E176" i="2"/>
  <c r="M176" i="2"/>
  <c r="N177" i="2"/>
  <c r="F178" i="2"/>
  <c r="N179" i="2"/>
  <c r="F180" i="2"/>
  <c r="N181" i="2"/>
  <c r="F182" i="2"/>
  <c r="N183" i="2"/>
  <c r="F184" i="2"/>
  <c r="N185" i="2"/>
  <c r="F186" i="2"/>
  <c r="N187" i="2"/>
  <c r="F188" i="2"/>
  <c r="N189" i="2"/>
  <c r="F190" i="2"/>
  <c r="N191" i="2"/>
  <c r="F192" i="2"/>
  <c r="N193" i="2"/>
  <c r="F194" i="2"/>
  <c r="N195" i="2"/>
  <c r="F196" i="2"/>
  <c r="N197" i="2"/>
  <c r="F198" i="2"/>
  <c r="N199" i="2"/>
  <c r="F200" i="2"/>
  <c r="N201" i="2"/>
  <c r="F202" i="2"/>
  <c r="N203" i="2"/>
  <c r="F204" i="2"/>
  <c r="Z182" i="2"/>
  <c r="P182" i="2"/>
  <c r="H182" i="2"/>
  <c r="M182" i="2"/>
  <c r="E182" i="2"/>
  <c r="L182" i="2"/>
  <c r="D182" i="2"/>
  <c r="R182" i="2"/>
  <c r="J182" i="2"/>
  <c r="B182" i="2"/>
  <c r="Z190" i="2"/>
  <c r="P190" i="2"/>
  <c r="H190" i="2"/>
  <c r="M190" i="2"/>
  <c r="E190" i="2"/>
  <c r="L190" i="2"/>
  <c r="D190" i="2"/>
  <c r="R190" i="2"/>
  <c r="J190" i="2"/>
  <c r="B190" i="2"/>
  <c r="Z198" i="2"/>
  <c r="P198" i="2"/>
  <c r="H198" i="2"/>
  <c r="M198" i="2"/>
  <c r="E198" i="2"/>
  <c r="L198" i="2"/>
  <c r="D198" i="2"/>
  <c r="R198" i="2"/>
  <c r="J198" i="2"/>
  <c r="B198" i="2"/>
  <c r="F165" i="2"/>
  <c r="N165" i="2"/>
  <c r="F166" i="2"/>
  <c r="N166" i="2"/>
  <c r="F167" i="2"/>
  <c r="N167" i="2"/>
  <c r="F168" i="2"/>
  <c r="N168" i="2"/>
  <c r="F169" i="2"/>
  <c r="N169" i="2"/>
  <c r="F170" i="2"/>
  <c r="N170" i="2"/>
  <c r="F171" i="2"/>
  <c r="N171" i="2"/>
  <c r="F172" i="2"/>
  <c r="N172" i="2"/>
  <c r="F173" i="2"/>
  <c r="N173" i="2"/>
  <c r="F174" i="2"/>
  <c r="N174" i="2"/>
  <c r="F175" i="2"/>
  <c r="N175" i="2"/>
  <c r="F176" i="2"/>
  <c r="N176" i="2"/>
  <c r="Y176" i="2"/>
  <c r="O177" i="2"/>
  <c r="G178" i="2"/>
  <c r="Y178" i="2"/>
  <c r="O179" i="2"/>
  <c r="G180" i="2"/>
  <c r="Y180" i="2"/>
  <c r="O181" i="2"/>
  <c r="G182" i="2"/>
  <c r="Y182" i="2"/>
  <c r="G184" i="2"/>
  <c r="Y184" i="2"/>
  <c r="O185" i="2"/>
  <c r="G186" i="2"/>
  <c r="Y186" i="2"/>
  <c r="O187" i="2"/>
  <c r="G188" i="2"/>
  <c r="Y188" i="2"/>
  <c r="O189" i="2"/>
  <c r="G190" i="2"/>
  <c r="Y190" i="2"/>
  <c r="G192" i="2"/>
  <c r="Y192" i="2"/>
  <c r="O193" i="2"/>
  <c r="G194" i="2"/>
  <c r="Y194" i="2"/>
  <c r="O195" i="2"/>
  <c r="G196" i="2"/>
  <c r="Y196" i="2"/>
  <c r="O197" i="2"/>
  <c r="G198" i="2"/>
  <c r="Y198" i="2"/>
  <c r="G200" i="2"/>
  <c r="Y200" i="2"/>
  <c r="O201" i="2"/>
  <c r="G202" i="2"/>
  <c r="Y202" i="2"/>
  <c r="O203" i="2"/>
  <c r="G204" i="2"/>
  <c r="Z183" i="2"/>
  <c r="P183" i="2"/>
  <c r="H183" i="2"/>
  <c r="M183" i="2"/>
  <c r="L183" i="2"/>
  <c r="D183" i="2"/>
  <c r="R183" i="2"/>
  <c r="J183" i="2"/>
  <c r="B183" i="2"/>
  <c r="Z191" i="2"/>
  <c r="P191" i="2"/>
  <c r="H191" i="2"/>
  <c r="M191" i="2"/>
  <c r="E191" i="2"/>
  <c r="L191" i="2"/>
  <c r="D191" i="2"/>
  <c r="R191" i="2"/>
  <c r="J191" i="2"/>
  <c r="B191" i="2"/>
  <c r="Z199" i="2"/>
  <c r="P199" i="2"/>
  <c r="H199" i="2"/>
  <c r="M199" i="2"/>
  <c r="E199" i="2"/>
  <c r="L199" i="2"/>
  <c r="D199" i="2"/>
  <c r="R199" i="2"/>
  <c r="J199" i="2"/>
  <c r="B199" i="2"/>
  <c r="G165" i="2"/>
  <c r="O165" i="2"/>
  <c r="Y165" i="2"/>
  <c r="G166" i="2"/>
  <c r="O166" i="2"/>
  <c r="Y166" i="2"/>
  <c r="G167" i="2"/>
  <c r="O167" i="2"/>
  <c r="Y167" i="2"/>
  <c r="G168" i="2"/>
  <c r="O168" i="2"/>
  <c r="Y168" i="2"/>
  <c r="G169" i="2"/>
  <c r="O169" i="2"/>
  <c r="Y169" i="2"/>
  <c r="G170" i="2"/>
  <c r="O170" i="2"/>
  <c r="Y170" i="2"/>
  <c r="G171" i="2"/>
  <c r="O171" i="2"/>
  <c r="Y171" i="2"/>
  <c r="G172" i="2"/>
  <c r="O172" i="2"/>
  <c r="Y172" i="2"/>
  <c r="G173" i="2"/>
  <c r="O173" i="2"/>
  <c r="Y173" i="2"/>
  <c r="G174" i="2"/>
  <c r="O174" i="2"/>
  <c r="Y174" i="2"/>
  <c r="G175" i="2"/>
  <c r="O175" i="2"/>
  <c r="Y175" i="2"/>
  <c r="G176" i="2"/>
  <c r="A177" i="2"/>
  <c r="Q177" i="2"/>
  <c r="I178" i="2"/>
  <c r="A179" i="2"/>
  <c r="Q179" i="2"/>
  <c r="I180" i="2"/>
  <c r="A181" i="2"/>
  <c r="Q181" i="2"/>
  <c r="I182" i="2"/>
  <c r="A183" i="2"/>
  <c r="Q183" i="2"/>
  <c r="A185" i="2"/>
  <c r="Q185" i="2"/>
  <c r="I186" i="2"/>
  <c r="A187" i="2"/>
  <c r="Q187" i="2"/>
  <c r="I188" i="2"/>
  <c r="A189" i="2"/>
  <c r="Q189" i="2"/>
  <c r="I190" i="2"/>
  <c r="A191" i="2"/>
  <c r="Q191" i="2"/>
  <c r="A193" i="2"/>
  <c r="Q193" i="2"/>
  <c r="I194" i="2"/>
  <c r="A195" i="2"/>
  <c r="Q195" i="2"/>
  <c r="I196" i="2"/>
  <c r="A197" i="2"/>
  <c r="Q197" i="2"/>
  <c r="I198" i="2"/>
  <c r="A199" i="2"/>
  <c r="Q199" i="2"/>
  <c r="A201" i="2"/>
  <c r="Q201" i="2"/>
  <c r="I202" i="2"/>
  <c r="A203" i="2"/>
  <c r="Q203" i="2"/>
  <c r="I204" i="2"/>
  <c r="Z176" i="2"/>
  <c r="Z184" i="2"/>
  <c r="P184" i="2"/>
  <c r="H184" i="2"/>
  <c r="M184" i="2"/>
  <c r="E184" i="2"/>
  <c r="L184" i="2"/>
  <c r="D184" i="2"/>
  <c r="R184" i="2"/>
  <c r="J184" i="2"/>
  <c r="B184" i="2"/>
  <c r="Z192" i="2"/>
  <c r="P192" i="2"/>
  <c r="H192" i="2"/>
  <c r="M192" i="2"/>
  <c r="E192" i="2"/>
  <c r="L192" i="2"/>
  <c r="D192" i="2"/>
  <c r="R192" i="2"/>
  <c r="J192" i="2"/>
  <c r="B192" i="2"/>
  <c r="Z200" i="2"/>
  <c r="P200" i="2"/>
  <c r="H200" i="2"/>
  <c r="M200" i="2"/>
  <c r="E200" i="2"/>
  <c r="L200" i="2"/>
  <c r="D200" i="2"/>
  <c r="R200" i="2"/>
  <c r="J200" i="2"/>
  <c r="B200" i="2"/>
  <c r="H165" i="2"/>
  <c r="P165" i="2"/>
  <c r="Z165" i="2"/>
  <c r="H166" i="2"/>
  <c r="P166" i="2"/>
  <c r="Z166" i="2"/>
  <c r="H167" i="2"/>
  <c r="P167" i="2"/>
  <c r="Z167" i="2"/>
  <c r="H168" i="2"/>
  <c r="P168" i="2"/>
  <c r="Z168" i="2"/>
  <c r="H169" i="2"/>
  <c r="P169" i="2"/>
  <c r="Z169" i="2"/>
  <c r="H170" i="2"/>
  <c r="P170" i="2"/>
  <c r="Z170" i="2"/>
  <c r="H171" i="2"/>
  <c r="P171" i="2"/>
  <c r="Z171" i="2"/>
  <c r="H172" i="2"/>
  <c r="P172" i="2"/>
  <c r="Z172" i="2"/>
  <c r="H173" i="2"/>
  <c r="P173" i="2"/>
  <c r="Z173" i="2"/>
  <c r="H174" i="2"/>
  <c r="P174" i="2"/>
  <c r="Z174" i="2"/>
  <c r="H175" i="2"/>
  <c r="P175" i="2"/>
  <c r="Z175" i="2"/>
  <c r="H176" i="2"/>
  <c r="P176" i="2"/>
  <c r="C177" i="2"/>
  <c r="K178" i="2"/>
  <c r="C179" i="2"/>
  <c r="K180" i="2"/>
  <c r="C181" i="2"/>
  <c r="K182" i="2"/>
  <c r="C183" i="2"/>
  <c r="K184" i="2"/>
  <c r="C185" i="2"/>
  <c r="K186" i="2"/>
  <c r="C187" i="2"/>
  <c r="K188" i="2"/>
  <c r="C189" i="2"/>
  <c r="K190" i="2"/>
  <c r="C191" i="2"/>
  <c r="K192" i="2"/>
  <c r="C193" i="2"/>
  <c r="K194" i="2"/>
  <c r="C195" i="2"/>
  <c r="U195" i="2"/>
  <c r="K196" i="2"/>
  <c r="C197" i="2"/>
  <c r="U197" i="2"/>
  <c r="K198" i="2"/>
  <c r="C199" i="2"/>
  <c r="U199" i="2"/>
  <c r="K200" i="2"/>
  <c r="C201" i="2"/>
  <c r="K202" i="2"/>
  <c r="C203" i="2"/>
  <c r="U203" i="2"/>
  <c r="K204" i="2"/>
  <c r="Z177" i="2"/>
  <c r="P177" i="2"/>
  <c r="H177" i="2"/>
  <c r="M177" i="2"/>
  <c r="E177" i="2"/>
  <c r="L177" i="2"/>
  <c r="D177" i="2"/>
  <c r="R177" i="2"/>
  <c r="J177" i="2"/>
  <c r="B177" i="2"/>
  <c r="Z185" i="2"/>
  <c r="P185" i="2"/>
  <c r="H185" i="2"/>
  <c r="M185" i="2"/>
  <c r="E185" i="2"/>
  <c r="L185" i="2"/>
  <c r="D185" i="2"/>
  <c r="R185" i="2"/>
  <c r="J185" i="2"/>
  <c r="B185" i="2"/>
  <c r="Z193" i="2"/>
  <c r="P193" i="2"/>
  <c r="H193" i="2"/>
  <c r="M193" i="2"/>
  <c r="E193" i="2"/>
  <c r="L193" i="2"/>
  <c r="D193" i="2"/>
  <c r="R193" i="2"/>
  <c r="J193" i="2"/>
  <c r="B193" i="2"/>
  <c r="Z201" i="2"/>
  <c r="P201" i="2"/>
  <c r="H201" i="2"/>
  <c r="M201" i="2"/>
  <c r="E201" i="2"/>
  <c r="L201" i="2"/>
  <c r="D201" i="2"/>
  <c r="R201" i="2"/>
  <c r="J201" i="2"/>
  <c r="B201" i="2"/>
  <c r="A165" i="2"/>
  <c r="I165" i="2"/>
  <c r="Q165" i="2"/>
  <c r="A166" i="2"/>
  <c r="I166" i="2"/>
  <c r="Q166" i="2"/>
  <c r="A167" i="2"/>
  <c r="I167" i="2"/>
  <c r="Q167" i="2"/>
  <c r="A168" i="2"/>
  <c r="I168" i="2"/>
  <c r="Q168" i="2"/>
  <c r="A169" i="2"/>
  <c r="I169" i="2"/>
  <c r="Q169" i="2"/>
  <c r="A170" i="2"/>
  <c r="I170" i="2"/>
  <c r="Q170" i="2"/>
  <c r="A171" i="2"/>
  <c r="I171" i="2"/>
  <c r="Q171" i="2"/>
  <c r="A172" i="2"/>
  <c r="I172" i="2"/>
  <c r="Q172" i="2"/>
  <c r="A173" i="2"/>
  <c r="I173" i="2"/>
  <c r="Q173" i="2"/>
  <c r="A174" i="2"/>
  <c r="I174" i="2"/>
  <c r="Q174" i="2"/>
  <c r="A175" i="2"/>
  <c r="I175" i="2"/>
  <c r="Q175" i="2"/>
  <c r="A176" i="2"/>
  <c r="I176" i="2"/>
  <c r="Q176" i="2"/>
  <c r="F177" i="2"/>
  <c r="N178" i="2"/>
  <c r="F179" i="2"/>
  <c r="N180" i="2"/>
  <c r="F181" i="2"/>
  <c r="N182" i="2"/>
  <c r="F183" i="2"/>
  <c r="N184" i="2"/>
  <c r="F185" i="2"/>
  <c r="N186" i="2"/>
  <c r="F187" i="2"/>
  <c r="N188" i="2"/>
  <c r="F189" i="2"/>
  <c r="N190" i="2"/>
  <c r="F191" i="2"/>
  <c r="N192" i="2"/>
  <c r="F193" i="2"/>
  <c r="N194" i="2"/>
  <c r="F195" i="2"/>
  <c r="N196" i="2"/>
  <c r="F197" i="2"/>
  <c r="N198" i="2"/>
  <c r="F199" i="2"/>
  <c r="N200" i="2"/>
  <c r="F201" i="2"/>
  <c r="N202" i="2"/>
  <c r="F203" i="2"/>
  <c r="N204" i="2"/>
  <c r="B165" i="2"/>
  <c r="J165" i="2"/>
  <c r="R165" i="2"/>
  <c r="B166" i="2"/>
  <c r="J166" i="2"/>
  <c r="R166" i="2"/>
  <c r="B167" i="2"/>
  <c r="J167" i="2"/>
  <c r="R167" i="2"/>
  <c r="B168" i="2"/>
  <c r="J168" i="2"/>
  <c r="R168" i="2"/>
  <c r="B169" i="2"/>
  <c r="J169" i="2"/>
  <c r="R169" i="2"/>
  <c r="B170" i="2"/>
  <c r="J170" i="2"/>
  <c r="R170" i="2"/>
  <c r="B171" i="2"/>
  <c r="J171" i="2"/>
  <c r="R171" i="2"/>
  <c r="B172" i="2"/>
  <c r="J172" i="2"/>
  <c r="R172" i="2"/>
  <c r="B173" i="2"/>
  <c r="J173" i="2"/>
  <c r="R173" i="2"/>
  <c r="B174" i="2"/>
  <c r="J174" i="2"/>
  <c r="R174" i="2"/>
  <c r="B175" i="2"/>
  <c r="J175" i="2"/>
  <c r="R175" i="2"/>
  <c r="B176" i="2"/>
  <c r="J176" i="2"/>
  <c r="R176" i="2"/>
  <c r="G177" i="2"/>
  <c r="Y177" i="2"/>
  <c r="O178" i="2"/>
  <c r="G179" i="2"/>
  <c r="O180" i="2"/>
  <c r="G181" i="2"/>
  <c r="Y181" i="2"/>
  <c r="O182" i="2"/>
  <c r="G183" i="2"/>
  <c r="Y183" i="2"/>
  <c r="O184" i="2"/>
  <c r="G185" i="2"/>
  <c r="Y185" i="2"/>
  <c r="G187" i="2"/>
  <c r="O188" i="2"/>
  <c r="G189" i="2"/>
  <c r="Y189" i="2"/>
  <c r="O190" i="2"/>
  <c r="G191" i="2"/>
  <c r="Y191" i="2"/>
  <c r="O192" i="2"/>
  <c r="G193" i="2"/>
  <c r="Y193" i="2"/>
  <c r="O194" i="2"/>
  <c r="G195" i="2"/>
  <c r="O196" i="2"/>
  <c r="G197" i="2"/>
  <c r="Y197" i="2"/>
  <c r="O198" i="2"/>
  <c r="G199" i="2"/>
  <c r="Y199" i="2"/>
  <c r="O200" i="2"/>
  <c r="G201" i="2"/>
  <c r="Y201" i="2"/>
  <c r="O202" i="2"/>
  <c r="G203" i="2"/>
  <c r="O204" i="2"/>
  <c r="Z186" i="2"/>
  <c r="P186" i="2"/>
  <c r="H186" i="2"/>
  <c r="M186" i="2"/>
  <c r="E186" i="2"/>
  <c r="L186" i="2"/>
  <c r="D186" i="2"/>
  <c r="R186" i="2"/>
  <c r="J186" i="2"/>
  <c r="B186" i="2"/>
  <c r="Z179" i="2"/>
  <c r="P179" i="2"/>
  <c r="H179" i="2"/>
  <c r="M179" i="2"/>
  <c r="E179" i="2"/>
  <c r="L179" i="2"/>
  <c r="D179" i="2"/>
  <c r="R179" i="2"/>
  <c r="J179" i="2"/>
  <c r="B179" i="2"/>
  <c r="Z187" i="2"/>
  <c r="P187" i="2"/>
  <c r="H187" i="2"/>
  <c r="M187" i="2"/>
  <c r="E187" i="2"/>
  <c r="L187" i="2"/>
  <c r="D187" i="2"/>
  <c r="R187" i="2"/>
  <c r="J187" i="2"/>
  <c r="B187" i="2"/>
  <c r="Z195" i="2"/>
  <c r="P195" i="2"/>
  <c r="H195" i="2"/>
  <c r="M195" i="2"/>
  <c r="E195" i="2"/>
  <c r="L195" i="2"/>
  <c r="D195" i="2"/>
  <c r="R195" i="2"/>
  <c r="J195" i="2"/>
  <c r="B195" i="2"/>
  <c r="Z203" i="2"/>
  <c r="P203" i="2"/>
  <c r="H203" i="2"/>
  <c r="M203" i="2"/>
  <c r="E203" i="2"/>
  <c r="L203" i="2"/>
  <c r="D203" i="2"/>
  <c r="R203" i="2"/>
  <c r="J203" i="2"/>
  <c r="B203" i="2"/>
  <c r="C165" i="2"/>
  <c r="K165" i="2"/>
  <c r="U165" i="2"/>
  <c r="C166" i="2"/>
  <c r="K166" i="2"/>
  <c r="U166" i="2"/>
  <c r="C167" i="2"/>
  <c r="K167" i="2"/>
  <c r="C168" i="2"/>
  <c r="K168" i="2"/>
  <c r="U168" i="2"/>
  <c r="C169" i="2"/>
  <c r="K169" i="2"/>
  <c r="U169" i="2"/>
  <c r="C170" i="2"/>
  <c r="K170" i="2"/>
  <c r="U170" i="2"/>
  <c r="C171" i="2"/>
  <c r="K171" i="2"/>
  <c r="U171" i="2"/>
  <c r="C172" i="2"/>
  <c r="K172" i="2"/>
  <c r="U172" i="2"/>
  <c r="C173" i="2"/>
  <c r="K173" i="2"/>
  <c r="U173" i="2"/>
  <c r="C174" i="2"/>
  <c r="K174" i="2"/>
  <c r="U174" i="2"/>
  <c r="C175" i="2"/>
  <c r="K175" i="2"/>
  <c r="U175" i="2"/>
  <c r="C176" i="2"/>
  <c r="K176" i="2"/>
  <c r="I177" i="2"/>
  <c r="A178" i="2"/>
  <c r="Q178" i="2"/>
  <c r="I179" i="2"/>
  <c r="A180" i="2"/>
  <c r="I181" i="2"/>
  <c r="A182" i="2"/>
  <c r="Q182" i="2"/>
  <c r="A184" i="2"/>
  <c r="Q184" i="2"/>
  <c r="I185" i="2"/>
  <c r="A186" i="2"/>
  <c r="Q186" i="2"/>
  <c r="I187" i="2"/>
  <c r="A188" i="2"/>
  <c r="I189" i="2"/>
  <c r="A190" i="2"/>
  <c r="Q190" i="2"/>
  <c r="I191" i="2"/>
  <c r="A192" i="2"/>
  <c r="Q192" i="2"/>
  <c r="I193" i="2"/>
  <c r="A194" i="2"/>
  <c r="I195" i="2"/>
  <c r="A196" i="2"/>
  <c r="I197" i="2"/>
  <c r="A198" i="2"/>
  <c r="Q198" i="2"/>
  <c r="I199" i="2"/>
  <c r="A200" i="2"/>
  <c r="Q200" i="2"/>
  <c r="I201" i="2"/>
  <c r="A202" i="2"/>
  <c r="Q202" i="2"/>
  <c r="I203" i="2"/>
  <c r="A204" i="2"/>
  <c r="Z194" i="2"/>
  <c r="P194" i="2"/>
  <c r="H194" i="2"/>
  <c r="M194" i="2"/>
  <c r="E194" i="2"/>
  <c r="L194" i="2"/>
  <c r="D194" i="2"/>
  <c r="R194" i="2"/>
  <c r="J194" i="2"/>
  <c r="B194" i="2"/>
  <c r="Z180" i="2"/>
  <c r="P180" i="2"/>
  <c r="H180" i="2"/>
  <c r="M180" i="2"/>
  <c r="E180" i="2"/>
  <c r="L180" i="2"/>
  <c r="D180" i="2"/>
  <c r="R180" i="2"/>
  <c r="J180" i="2"/>
  <c r="B180" i="2"/>
  <c r="Z188" i="2"/>
  <c r="P188" i="2"/>
  <c r="H188" i="2"/>
  <c r="M188" i="2"/>
  <c r="E188" i="2"/>
  <c r="L188" i="2"/>
  <c r="D188" i="2"/>
  <c r="R188" i="2"/>
  <c r="J188" i="2"/>
  <c r="B188" i="2"/>
  <c r="Z196" i="2"/>
  <c r="P196" i="2"/>
  <c r="H196" i="2"/>
  <c r="M196" i="2"/>
  <c r="E196" i="2"/>
  <c r="L196" i="2"/>
  <c r="D196" i="2"/>
  <c r="R196" i="2"/>
  <c r="J196" i="2"/>
  <c r="B196" i="2"/>
  <c r="Q204" i="2"/>
  <c r="Z204" i="2"/>
  <c r="P204" i="2"/>
  <c r="H204" i="2"/>
  <c r="Y204" i="2"/>
  <c r="M204" i="2"/>
  <c r="E204" i="2"/>
  <c r="L204" i="2"/>
  <c r="D204" i="2"/>
  <c r="U204" i="2"/>
  <c r="R204" i="2"/>
  <c r="J204" i="2"/>
  <c r="B204" i="2"/>
  <c r="D165" i="2"/>
  <c r="L165" i="2"/>
  <c r="D166" i="2"/>
  <c r="L166" i="2"/>
  <c r="D167" i="2"/>
  <c r="L167" i="2"/>
  <c r="D168" i="2"/>
  <c r="L168" i="2"/>
  <c r="D169" i="2"/>
  <c r="L169" i="2"/>
  <c r="D170" i="2"/>
  <c r="L170" i="2"/>
  <c r="D171" i="2"/>
  <c r="L171" i="2"/>
  <c r="D172" i="2"/>
  <c r="L172" i="2"/>
  <c r="D173" i="2"/>
  <c r="L173" i="2"/>
  <c r="D174" i="2"/>
  <c r="L174" i="2"/>
  <c r="D175" i="2"/>
  <c r="L175" i="2"/>
  <c r="D176" i="2"/>
  <c r="L176" i="2"/>
  <c r="K177" i="2"/>
  <c r="C178" i="2"/>
  <c r="K179" i="2"/>
  <c r="C180" i="2"/>
  <c r="U180" i="2"/>
  <c r="K181" i="2"/>
  <c r="C182" i="2"/>
  <c r="U182" i="2"/>
  <c r="K183" i="2"/>
  <c r="C184" i="2"/>
  <c r="U184" i="2"/>
  <c r="K185" i="2"/>
  <c r="C186" i="2"/>
  <c r="U186" i="2"/>
  <c r="K187" i="2"/>
  <c r="C188" i="2"/>
  <c r="K189" i="2"/>
  <c r="C190" i="2"/>
  <c r="U190" i="2"/>
  <c r="K191" i="2"/>
  <c r="C192" i="2"/>
  <c r="K193" i="2"/>
  <c r="C194" i="2"/>
  <c r="U194" i="2"/>
  <c r="K195" i="2"/>
  <c r="C196" i="2"/>
  <c r="K197" i="2"/>
  <c r="C198" i="2"/>
  <c r="U198" i="2"/>
  <c r="K199" i="2"/>
  <c r="C200" i="2"/>
  <c r="U200" i="2"/>
  <c r="K201" i="2"/>
  <c r="C202" i="2"/>
  <c r="U202" i="2"/>
  <c r="K203" i="2"/>
  <c r="C204" i="2"/>
  <c r="C29" i="1"/>
  <c r="L28" i="21"/>
  <c r="I28" i="21"/>
  <c r="H28" i="21"/>
  <c r="F28" i="21"/>
  <c r="K28" i="21"/>
  <c r="G28" i="21"/>
  <c r="E28" i="21"/>
  <c r="J28" i="21"/>
  <c r="C19" i="1"/>
  <c r="C23" i="1"/>
  <c r="C21" i="1"/>
  <c r="C28" i="1"/>
  <c r="C18" i="1"/>
  <c r="F18" i="21"/>
  <c r="K18" i="21"/>
  <c r="G18" i="21"/>
  <c r="H18" i="21"/>
  <c r="L18" i="21"/>
  <c r="E18" i="21"/>
  <c r="J18" i="21"/>
  <c r="I18" i="21"/>
  <c r="E19" i="21"/>
  <c r="J19" i="21"/>
  <c r="L19" i="21"/>
  <c r="F19" i="21"/>
  <c r="K19" i="21"/>
  <c r="G19" i="21"/>
  <c r="H19" i="21"/>
  <c r="I19" i="21"/>
  <c r="F20" i="21"/>
  <c r="K20" i="21"/>
  <c r="G20" i="21"/>
  <c r="I20" i="21"/>
  <c r="H20" i="21"/>
  <c r="L20" i="21"/>
  <c r="E20" i="21"/>
  <c r="J20" i="21"/>
  <c r="E17" i="21"/>
  <c r="J17" i="21"/>
  <c r="L17" i="21"/>
  <c r="F17" i="21"/>
  <c r="K17" i="21"/>
  <c r="G17" i="21"/>
  <c r="H17" i="21"/>
  <c r="I17" i="21"/>
  <c r="L5" i="21"/>
  <c r="E5" i="21"/>
  <c r="J5" i="21"/>
  <c r="F5" i="21"/>
  <c r="K5" i="21"/>
  <c r="G5" i="21"/>
  <c r="H5" i="21"/>
  <c r="I5" i="21"/>
  <c r="I21" i="21"/>
  <c r="E21" i="21"/>
  <c r="J21" i="21"/>
  <c r="L21" i="21"/>
  <c r="F21" i="21"/>
  <c r="K21" i="21"/>
  <c r="G21" i="21"/>
  <c r="H21" i="21"/>
  <c r="F6" i="21"/>
  <c r="K6" i="21"/>
  <c r="G6" i="21"/>
  <c r="H6" i="21"/>
  <c r="I6" i="21"/>
  <c r="E6" i="21"/>
  <c r="J6" i="21"/>
  <c r="L6" i="21"/>
  <c r="E22" i="21"/>
  <c r="J22" i="21"/>
  <c r="F22" i="21"/>
  <c r="K22" i="21"/>
  <c r="G22" i="21"/>
  <c r="I22" i="21"/>
  <c r="H22" i="21"/>
  <c r="L22" i="21"/>
  <c r="L7" i="21"/>
  <c r="E7" i="21"/>
  <c r="J7" i="21"/>
  <c r="F7" i="21"/>
  <c r="K7" i="21"/>
  <c r="G7" i="21"/>
  <c r="I7" i="21"/>
  <c r="H7" i="21"/>
  <c r="E23" i="21"/>
  <c r="J23" i="21"/>
  <c r="L23" i="21"/>
  <c r="F23" i="21"/>
  <c r="K23" i="21"/>
  <c r="G23" i="21"/>
  <c r="H23" i="21"/>
  <c r="I23" i="21"/>
  <c r="F8" i="21"/>
  <c r="K8" i="21"/>
  <c r="G8" i="21"/>
  <c r="H8" i="21"/>
  <c r="I8" i="21"/>
  <c r="E8" i="21"/>
  <c r="J8" i="21"/>
  <c r="L8" i="21"/>
  <c r="F24" i="21"/>
  <c r="K24" i="21"/>
  <c r="G24" i="21"/>
  <c r="I24" i="21"/>
  <c r="H24" i="21"/>
  <c r="E24" i="21"/>
  <c r="J24" i="21"/>
  <c r="L24" i="21"/>
  <c r="L9" i="21"/>
  <c r="E9" i="21"/>
  <c r="J9" i="21"/>
  <c r="F9" i="21"/>
  <c r="K9" i="21"/>
  <c r="G9" i="21"/>
  <c r="H9" i="21"/>
  <c r="I9" i="21"/>
  <c r="I25" i="21"/>
  <c r="E25" i="21"/>
  <c r="J25" i="21"/>
  <c r="L25" i="21"/>
  <c r="F25" i="21"/>
  <c r="K25" i="21"/>
  <c r="G25" i="21"/>
  <c r="H25" i="21"/>
  <c r="F10" i="21"/>
  <c r="K10" i="21"/>
  <c r="G10" i="21"/>
  <c r="H10" i="21"/>
  <c r="I10" i="21"/>
  <c r="L10" i="21"/>
  <c r="E10" i="21"/>
  <c r="J10" i="21"/>
  <c r="F26" i="21"/>
  <c r="K26" i="21"/>
  <c r="G26" i="21"/>
  <c r="I26" i="21"/>
  <c r="H26" i="21"/>
  <c r="E26" i="21"/>
  <c r="J26" i="21"/>
  <c r="L26" i="21"/>
  <c r="L11" i="21"/>
  <c r="E11" i="21"/>
  <c r="J11" i="21"/>
  <c r="F11" i="21"/>
  <c r="K11" i="21"/>
  <c r="G11" i="21"/>
  <c r="H11" i="21"/>
  <c r="I11" i="21"/>
  <c r="E27" i="21"/>
  <c r="J27" i="21"/>
  <c r="L27" i="21"/>
  <c r="F27" i="21"/>
  <c r="K27" i="21"/>
  <c r="G27" i="21"/>
  <c r="I27" i="21"/>
  <c r="H27" i="21"/>
  <c r="F12" i="21"/>
  <c r="K12" i="21"/>
  <c r="G12" i="21"/>
  <c r="H12" i="21"/>
  <c r="I12" i="21"/>
  <c r="L12" i="21"/>
  <c r="E12" i="21"/>
  <c r="J12" i="21"/>
  <c r="L13" i="21"/>
  <c r="E13" i="21"/>
  <c r="J13" i="21"/>
  <c r="F13" i="21"/>
  <c r="K13" i="21"/>
  <c r="G13" i="21"/>
  <c r="I13" i="21"/>
  <c r="H13" i="21"/>
  <c r="F14" i="21"/>
  <c r="K14" i="21"/>
  <c r="G14" i="21"/>
  <c r="H14" i="21"/>
  <c r="I14" i="21"/>
  <c r="E14" i="21"/>
  <c r="J14" i="21"/>
  <c r="L15" i="21"/>
  <c r="E15" i="21"/>
  <c r="J15" i="21"/>
  <c r="F15" i="21"/>
  <c r="K15" i="21"/>
  <c r="G15" i="21"/>
  <c r="H15" i="21"/>
  <c r="I15" i="21"/>
  <c r="F16" i="21"/>
  <c r="K16" i="21"/>
  <c r="G16" i="21"/>
  <c r="H16" i="21"/>
  <c r="I16" i="21"/>
  <c r="L16" i="21"/>
  <c r="E16" i="21"/>
  <c r="J16" i="21"/>
  <c r="C24" i="1"/>
  <c r="C16" i="1"/>
  <c r="C20" i="1"/>
  <c r="C14" i="1"/>
  <c r="C25" i="1"/>
  <c r="C17" i="1"/>
  <c r="C15" i="1"/>
  <c r="C9" i="1"/>
  <c r="C22" i="1"/>
  <c r="C26" i="1"/>
  <c r="C27" i="1"/>
  <c r="C31" i="1"/>
  <c r="C13" i="1"/>
  <c r="L14" i="21"/>
  <c r="V184" i="3" l="1"/>
  <c r="U187" i="2" s="1"/>
  <c r="V180" i="3"/>
  <c r="U183" i="2" s="1"/>
  <c r="E183" i="2"/>
  <c r="V176" i="3"/>
  <c r="U179" i="2" s="1"/>
  <c r="V175" i="3"/>
  <c r="U178" i="2" s="1"/>
  <c r="V173" i="3"/>
  <c r="U176" i="2" s="1"/>
  <c r="V131" i="3"/>
  <c r="U134" i="2" s="1"/>
  <c r="M134" i="2"/>
  <c r="M309" i="2"/>
  <c r="V126" i="3"/>
  <c r="U129" i="2" s="1"/>
  <c r="V125" i="3"/>
  <c r="U128" i="2" s="1"/>
  <c r="V193" i="3"/>
  <c r="U196" i="2" s="1"/>
  <c r="V164" i="3"/>
  <c r="U167" i="2" s="1"/>
  <c r="I319" i="2"/>
  <c r="V146" i="3"/>
  <c r="U149" i="2" s="1"/>
  <c r="V143" i="3"/>
  <c r="U146" i="2" s="1"/>
  <c r="B28" i="4"/>
  <c r="B11" i="4"/>
  <c r="B63" i="21"/>
  <c r="C63" i="21"/>
  <c r="H9" i="12"/>
  <c r="K9" i="10"/>
  <c r="O9" i="10" s="1"/>
  <c r="H7" i="12"/>
  <c r="H6" i="12"/>
  <c r="D7" i="12"/>
  <c r="D6" i="12"/>
  <c r="D8" i="12"/>
  <c r="H8" i="12"/>
  <c r="Q40" i="10"/>
  <c r="P40" i="10"/>
  <c r="L40" i="10"/>
  <c r="K40" i="10"/>
  <c r="Q39" i="10"/>
  <c r="P39" i="10"/>
  <c r="L39" i="10"/>
  <c r="K39" i="10"/>
  <c r="Q38" i="10"/>
  <c r="L38" i="10"/>
  <c r="K38" i="10"/>
  <c r="H75" i="11"/>
  <c r="I75" i="11" s="1"/>
  <c r="H76" i="11"/>
  <c r="I76" i="11" s="1"/>
  <c r="Q36" i="10"/>
  <c r="L36" i="10"/>
  <c r="K36" i="10"/>
  <c r="D76" i="11"/>
  <c r="D75" i="11"/>
  <c r="D74" i="11"/>
  <c r="D73" i="11"/>
  <c r="B57" i="21"/>
  <c r="B58" i="21"/>
  <c r="D58" i="21" s="1"/>
  <c r="B16" i="18"/>
  <c r="W245" i="2"/>
  <c r="W246" i="2"/>
  <c r="W247" i="2"/>
  <c r="C33" i="1" s="1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E364" i="2"/>
  <c r="D364" i="2"/>
  <c r="C364" i="2"/>
  <c r="B364" i="2"/>
  <c r="A364" i="2"/>
  <c r="Z363" i="2"/>
  <c r="Y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Z362" i="2"/>
  <c r="Y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Z361" i="2"/>
  <c r="Y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Z360" i="2"/>
  <c r="Y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Z359" i="2"/>
  <c r="Y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Z358" i="2"/>
  <c r="Y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Z357" i="2"/>
  <c r="Y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Z356" i="2"/>
  <c r="Y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Z355" i="2"/>
  <c r="Y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Z354" i="2"/>
  <c r="Y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Z353" i="2"/>
  <c r="Y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Z352" i="2"/>
  <c r="Y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Z351" i="2"/>
  <c r="Y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Z350" i="2"/>
  <c r="Y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Z349" i="2"/>
  <c r="Y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Z348" i="2"/>
  <c r="Y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Z347" i="2"/>
  <c r="Y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Z346" i="2"/>
  <c r="Y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Z345" i="2"/>
  <c r="Y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Z344" i="2"/>
  <c r="Y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Z343" i="2"/>
  <c r="Y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Z342" i="2"/>
  <c r="Y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Z341" i="2"/>
  <c r="Y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Z340" i="2"/>
  <c r="Y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Z339" i="2"/>
  <c r="Y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Z338" i="2"/>
  <c r="Y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Z337" i="2"/>
  <c r="Y337" i="2"/>
  <c r="T337" i="2"/>
  <c r="S337" i="2"/>
  <c r="R337" i="2"/>
  <c r="Q337" i="2"/>
  <c r="P337" i="2"/>
  <c r="O337" i="2"/>
  <c r="N337" i="2"/>
  <c r="M337" i="2"/>
  <c r="L337" i="2"/>
  <c r="K337" i="2"/>
  <c r="J337" i="2"/>
  <c r="H337" i="2"/>
  <c r="G337" i="2"/>
  <c r="F337" i="2"/>
  <c r="D337" i="2"/>
  <c r="C337" i="2"/>
  <c r="B337" i="2"/>
  <c r="A337" i="2"/>
  <c r="Z336" i="2"/>
  <c r="Y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Z335" i="2"/>
  <c r="Y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Z334" i="2"/>
  <c r="Y334" i="2"/>
  <c r="T334" i="2"/>
  <c r="S334" i="2"/>
  <c r="R334" i="2"/>
  <c r="Q334" i="2"/>
  <c r="P334" i="2"/>
  <c r="O334" i="2"/>
  <c r="N334" i="2"/>
  <c r="Z315" i="2"/>
  <c r="Y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Z314" i="2"/>
  <c r="Y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Z313" i="2"/>
  <c r="Y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Z312" i="2"/>
  <c r="Y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Z311" i="2"/>
  <c r="Y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Z310" i="2"/>
  <c r="Y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Z309" i="2"/>
  <c r="Y309" i="2"/>
  <c r="T309" i="2"/>
  <c r="S309" i="2"/>
  <c r="R309" i="2"/>
  <c r="Q309" i="2"/>
  <c r="P309" i="2"/>
  <c r="O309" i="2"/>
  <c r="N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Z308" i="2"/>
  <c r="Y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Z307" i="2"/>
  <c r="Y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Z306" i="2"/>
  <c r="Y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Z305" i="2"/>
  <c r="Y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Z304" i="2"/>
  <c r="Y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Z303" i="2"/>
  <c r="Y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Z302" i="2"/>
  <c r="Y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Z301" i="2"/>
  <c r="Y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Z300" i="2"/>
  <c r="Y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Z299" i="2"/>
  <c r="Y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Z298" i="2"/>
  <c r="Y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Z297" i="2"/>
  <c r="Y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Z296" i="2"/>
  <c r="Y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Z295" i="2"/>
  <c r="Y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Z294" i="2"/>
  <c r="Y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Z293" i="2"/>
  <c r="Y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Z292" i="2"/>
  <c r="Y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Z291" i="2"/>
  <c r="Y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Z290" i="2"/>
  <c r="Y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Z289" i="2"/>
  <c r="Y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Z288" i="2"/>
  <c r="Y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Z287" i="2"/>
  <c r="Y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Z286" i="2"/>
  <c r="Y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Z285" i="2"/>
  <c r="Y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Z284" i="2"/>
  <c r="Y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Z283" i="2"/>
  <c r="Y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Z282" i="2"/>
  <c r="Y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Z281" i="2"/>
  <c r="Y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Z280" i="2"/>
  <c r="Y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Z279" i="2"/>
  <c r="Y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Z278" i="2"/>
  <c r="Y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Z277" i="2"/>
  <c r="Y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Z276" i="2"/>
  <c r="Y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Z275" i="2"/>
  <c r="Y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Z274" i="2"/>
  <c r="Y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Z273" i="2"/>
  <c r="Y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Z272" i="2"/>
  <c r="Y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Z271" i="2"/>
  <c r="Y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Z270" i="2"/>
  <c r="Y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Z266" i="2"/>
  <c r="Y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Z265" i="2"/>
  <c r="Y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Z264" i="2"/>
  <c r="Y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Z263" i="2"/>
  <c r="Y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Z262" i="2"/>
  <c r="Y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Z261" i="2"/>
  <c r="Y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Z260" i="2"/>
  <c r="Y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Z259" i="2"/>
  <c r="Y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Z258" i="2"/>
  <c r="Y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Z257" i="2"/>
  <c r="Y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Z256" i="2"/>
  <c r="Y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Z255" i="2"/>
  <c r="Y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Z254" i="2"/>
  <c r="Y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Z253" i="2"/>
  <c r="Y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Z252" i="2"/>
  <c r="Y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Z251" i="2"/>
  <c r="Y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Z250" i="2"/>
  <c r="Y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Z249" i="2"/>
  <c r="Y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Z248" i="2"/>
  <c r="Y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Z247" i="2"/>
  <c r="Y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Z246" i="2"/>
  <c r="Y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Z245" i="2"/>
  <c r="Y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W10" i="2"/>
  <c r="W11" i="2"/>
  <c r="AB6" i="13"/>
  <c r="S6" i="13"/>
  <c r="V6" i="13"/>
  <c r="X6" i="13"/>
  <c r="U6" i="13"/>
  <c r="AE6" i="13"/>
  <c r="Z6" i="13"/>
  <c r="AA6" i="13"/>
  <c r="R6" i="13"/>
  <c r="AI6" i="13"/>
  <c r="H25" i="11" s="1"/>
  <c r="T6" i="13"/>
  <c r="K6" i="13"/>
  <c r="M6" i="13" s="1"/>
  <c r="Q6" i="13"/>
  <c r="W6" i="13"/>
  <c r="AJ6" i="13"/>
  <c r="AD6" i="13"/>
  <c r="Y6" i="13"/>
  <c r="AC6" i="13"/>
  <c r="AG27" i="13"/>
  <c r="N27" i="13"/>
  <c r="N28" i="13"/>
  <c r="AG28" i="13"/>
  <c r="M30" i="13"/>
  <c r="AG30" i="13"/>
  <c r="V38" i="13"/>
  <c r="AG38" i="13"/>
  <c r="M38" i="13"/>
  <c r="V40" i="13"/>
  <c r="AG40" i="13"/>
  <c r="AG44" i="13"/>
  <c r="M44" i="13"/>
  <c r="N49" i="13"/>
  <c r="AG49" i="13"/>
  <c r="AG51" i="13"/>
  <c r="N51" i="13"/>
  <c r="M54" i="13"/>
  <c r="AG54" i="13"/>
  <c r="AG59" i="13"/>
  <c r="N59" i="13"/>
  <c r="M60" i="13"/>
  <c r="AG60" i="13"/>
  <c r="AG74" i="13"/>
  <c r="AE74" i="13"/>
  <c r="AG76" i="13"/>
  <c r="M76" i="13"/>
  <c r="AG77" i="13"/>
  <c r="M77" i="13"/>
  <c r="AG78" i="13"/>
  <c r="M78" i="13"/>
  <c r="AG79" i="13"/>
  <c r="W79" i="13"/>
  <c r="T79" i="13"/>
  <c r="AE80" i="13"/>
  <c r="AJ80" i="13"/>
  <c r="AC80" i="13"/>
  <c r="AG80" i="13"/>
  <c r="AD80" i="13"/>
  <c r="AG83" i="13"/>
  <c r="U83" i="13"/>
  <c r="S88" i="13"/>
  <c r="W88" i="13"/>
  <c r="AB88" i="13"/>
  <c r="Y88" i="13"/>
  <c r="AD88" i="13"/>
  <c r="AA88" i="13"/>
  <c r="AE88" i="13"/>
  <c r="AJ88" i="13"/>
  <c r="AH88" i="13"/>
  <c r="P88" i="13"/>
  <c r="AC88" i="13"/>
  <c r="N88" i="13"/>
  <c r="U88" i="13"/>
  <c r="AG88" i="13"/>
  <c r="X88" i="13"/>
  <c r="AG94" i="13"/>
  <c r="M94" i="13"/>
  <c r="AG95" i="13"/>
  <c r="R95" i="13"/>
  <c r="N96" i="13"/>
  <c r="U96" i="13"/>
  <c r="S96" i="13"/>
  <c r="AG96" i="13"/>
  <c r="Z96" i="13"/>
  <c r="AB96" i="13"/>
  <c r="W96" i="13"/>
  <c r="AC96" i="13"/>
  <c r="AH96" i="13"/>
  <c r="Y96" i="13"/>
  <c r="AE96" i="13"/>
  <c r="AJ96" i="13"/>
  <c r="P96" i="13"/>
  <c r="AD96" i="13"/>
  <c r="V96" i="13"/>
  <c r="AA96" i="13"/>
  <c r="P97" i="13"/>
  <c r="K97" i="13"/>
  <c r="T97" i="13"/>
  <c r="AG97" i="13"/>
  <c r="Q97" i="13"/>
  <c r="AF97" i="13"/>
  <c r="AG101" i="13"/>
  <c r="N101" i="13"/>
  <c r="AG102" i="13"/>
  <c r="N102" i="13"/>
  <c r="AC104" i="13"/>
  <c r="AA104" i="13"/>
  <c r="AB104" i="13"/>
  <c r="Q104" i="13"/>
  <c r="AG104" i="13"/>
  <c r="P104" i="13"/>
  <c r="Z104" i="13"/>
  <c r="AJ104" i="13"/>
  <c r="T104" i="13"/>
  <c r="N104" i="13"/>
  <c r="X104" i="13"/>
  <c r="U104" i="13"/>
  <c r="S104" i="13"/>
  <c r="AH104" i="13"/>
  <c r="AD104" i="13"/>
  <c r="Y104" i="13"/>
  <c r="AE104" i="13"/>
  <c r="W104" i="13"/>
  <c r="S106" i="13"/>
  <c r="R106" i="13"/>
  <c r="AG106" i="13"/>
  <c r="L107" i="13"/>
  <c r="AF107" i="13"/>
  <c r="AG107" i="13"/>
  <c r="U108" i="13"/>
  <c r="L108" i="13"/>
  <c r="AG108" i="13"/>
  <c r="P112" i="13"/>
  <c r="AG112" i="13"/>
  <c r="L113" i="13"/>
  <c r="AG113" i="13"/>
  <c r="P113" i="13"/>
  <c r="AG114" i="13"/>
  <c r="L114" i="13"/>
  <c r="AG115" i="13"/>
  <c r="AF115" i="13"/>
  <c r="N115" i="13"/>
  <c r="AG117" i="13"/>
  <c r="T117" i="13"/>
  <c r="T118" i="13"/>
  <c r="AG118" i="13"/>
  <c r="M118" i="13"/>
  <c r="S119" i="13"/>
  <c r="M119" i="13"/>
  <c r="AG119" i="13"/>
  <c r="S122" i="13"/>
  <c r="AG122" i="13"/>
  <c r="N123" i="13"/>
  <c r="U123" i="13"/>
  <c r="AF123" i="13"/>
  <c r="AG123" i="13"/>
  <c r="P123" i="13"/>
  <c r="M124" i="13"/>
  <c r="AG124" i="13"/>
  <c r="AG126" i="13"/>
  <c r="Q126" i="13"/>
  <c r="AG137" i="13"/>
  <c r="L137" i="13"/>
  <c r="P138" i="13"/>
  <c r="AG138" i="13"/>
  <c r="AG139" i="13"/>
  <c r="P139" i="13"/>
  <c r="M140" i="13"/>
  <c r="AG140" i="13"/>
  <c r="AG143" i="13"/>
  <c r="O143" i="13"/>
  <c r="O144" i="13"/>
  <c r="AG144" i="13"/>
  <c r="AG145" i="13"/>
  <c r="L145" i="13"/>
  <c r="K145" i="13"/>
  <c r="N145" i="13"/>
  <c r="AF145" i="13"/>
  <c r="X145" i="13"/>
  <c r="AG146" i="13"/>
  <c r="L146" i="13"/>
  <c r="AG149" i="13"/>
  <c r="W149" i="13"/>
  <c r="O154" i="13"/>
  <c r="AG154" i="13"/>
  <c r="M158" i="13"/>
  <c r="AG158" i="13"/>
  <c r="AG159" i="13"/>
  <c r="M159" i="13"/>
  <c r="L162" i="13"/>
  <c r="AG162" i="13"/>
  <c r="N166" i="13"/>
  <c r="M166" i="13"/>
  <c r="AG166" i="13"/>
  <c r="N167" i="13"/>
  <c r="AG167" i="13"/>
  <c r="Q167" i="13"/>
  <c r="R168" i="13"/>
  <c r="AG168" i="13"/>
  <c r="AB168" i="13"/>
  <c r="O169" i="13"/>
  <c r="AG169" i="13"/>
  <c r="O170" i="13"/>
  <c r="AG170" i="13"/>
  <c r="U170" i="13"/>
  <c r="AG172" i="13"/>
  <c r="P172" i="13"/>
  <c r="AG173" i="13"/>
  <c r="P173" i="13"/>
  <c r="N174" i="13"/>
  <c r="AG174" i="13"/>
  <c r="W174" i="13"/>
  <c r="AG177" i="13"/>
  <c r="R177" i="13"/>
  <c r="X181" i="13"/>
  <c r="Q181" i="13"/>
  <c r="AG181" i="13"/>
  <c r="AG182" i="13"/>
  <c r="M182" i="13"/>
  <c r="Q182" i="13"/>
  <c r="T182" i="13"/>
  <c r="L187" i="13"/>
  <c r="AG187" i="13"/>
  <c r="V189" i="13"/>
  <c r="AG189" i="13"/>
  <c r="AG190" i="13"/>
  <c r="S190" i="13"/>
  <c r="Q190" i="13"/>
  <c r="Z190" i="13"/>
  <c r="AG194" i="13"/>
  <c r="L194" i="13"/>
  <c r="AF194" i="13"/>
  <c r="R194" i="13"/>
  <c r="R195" i="13"/>
  <c r="AG195" i="13"/>
  <c r="AG199" i="13"/>
  <c r="N199" i="13"/>
  <c r="AG200" i="13"/>
  <c r="K200" i="13"/>
  <c r="AF201" i="13"/>
  <c r="AG201" i="13"/>
  <c r="L201" i="13"/>
  <c r="AG202" i="13"/>
  <c r="AF202" i="13"/>
  <c r="L202" i="13"/>
  <c r="AG204" i="13"/>
  <c r="M204" i="13"/>
  <c r="AG205" i="13"/>
  <c r="M205" i="13"/>
  <c r="M206" i="13"/>
  <c r="AG206" i="13"/>
  <c r="O207" i="13"/>
  <c r="AG207" i="13"/>
  <c r="O208" i="13"/>
  <c r="AG208" i="13"/>
  <c r="AC214" i="13"/>
  <c r="Y214" i="13"/>
  <c r="X214" i="13"/>
  <c r="AG214" i="13"/>
  <c r="U214" i="13"/>
  <c r="R214" i="13"/>
  <c r="AJ214" i="13"/>
  <c r="AH214" i="13"/>
  <c r="P214" i="13"/>
  <c r="W214" i="13"/>
  <c r="O214" i="13"/>
  <c r="L214" i="13"/>
  <c r="V214" i="13"/>
  <c r="Q214" i="13"/>
  <c r="K214" i="13"/>
  <c r="S214" i="13"/>
  <c r="AE214" i="13"/>
  <c r="AB214" i="13"/>
  <c r="AA214" i="13"/>
  <c r="AD214" i="13"/>
  <c r="Z214" i="13"/>
  <c r="AH215" i="13"/>
  <c r="Y215" i="13"/>
  <c r="AG215" i="13"/>
  <c r="AB215" i="13"/>
  <c r="AA215" i="13"/>
  <c r="AJ215" i="13"/>
  <c r="Z215" i="13"/>
  <c r="AE215" i="13"/>
  <c r="AC215" i="13"/>
  <c r="Q215" i="13"/>
  <c r="AD215" i="13"/>
  <c r="W215" i="13"/>
  <c r="AF218" i="13"/>
  <c r="AG218" i="13"/>
  <c r="L218" i="13"/>
  <c r="AG219" i="13"/>
  <c r="L219" i="13"/>
  <c r="AG220" i="13"/>
  <c r="L220" i="13"/>
  <c r="V221" i="13"/>
  <c r="AG221" i="13"/>
  <c r="Y223" i="13"/>
  <c r="AG223" i="13"/>
  <c r="N223" i="13"/>
  <c r="O224" i="13"/>
  <c r="AG224" i="13"/>
  <c r="K225" i="13"/>
  <c r="Z225" i="13"/>
  <c r="AG225" i="13"/>
  <c r="AF225" i="13"/>
  <c r="R225" i="13"/>
  <c r="P225" i="13"/>
  <c r="X229" i="13"/>
  <c r="Z229" i="13"/>
  <c r="Y229" i="13"/>
  <c r="AA229" i="13"/>
  <c r="AE229" i="13"/>
  <c r="P229" i="13"/>
  <c r="AG229" i="13"/>
  <c r="AD229" i="13"/>
  <c r="K229" i="13"/>
  <c r="N229" i="13"/>
  <c r="L229" i="13"/>
  <c r="AB229" i="13"/>
  <c r="AH229" i="13"/>
  <c r="O229" i="13"/>
  <c r="R229" i="13"/>
  <c r="AC229" i="13"/>
  <c r="V229" i="13"/>
  <c r="U229" i="13"/>
  <c r="S229" i="13"/>
  <c r="AJ229" i="13"/>
  <c r="N236" i="13"/>
  <c r="AG236" i="13"/>
  <c r="Y238" i="13"/>
  <c r="T238" i="13"/>
  <c r="N238" i="13"/>
  <c r="L238" i="13"/>
  <c r="Q238" i="13"/>
  <c r="AA238" i="13"/>
  <c r="AH238" i="13"/>
  <c r="U238" i="13"/>
  <c r="R238" i="13"/>
  <c r="AJ238" i="13"/>
  <c r="AB238" i="13"/>
  <c r="AD238" i="13"/>
  <c r="AE238" i="13"/>
  <c r="AC238" i="13"/>
  <c r="AG238" i="13"/>
  <c r="X238" i="13"/>
  <c r="P238" i="13"/>
  <c r="Z238" i="13"/>
  <c r="W238" i="13"/>
  <c r="AA239" i="13"/>
  <c r="AD239" i="13"/>
  <c r="AB239" i="13"/>
  <c r="AJ239" i="13"/>
  <c r="AE239" i="13"/>
  <c r="O239" i="13"/>
  <c r="AC239" i="13"/>
  <c r="Q239" i="13"/>
  <c r="L239" i="13"/>
  <c r="N239" i="13"/>
  <c r="T239" i="13"/>
  <c r="AH239" i="13"/>
  <c r="AG239" i="13"/>
  <c r="R239" i="13"/>
  <c r="P239" i="13"/>
  <c r="S239" i="13"/>
  <c r="V239" i="13"/>
  <c r="X239" i="13"/>
  <c r="U239" i="13"/>
  <c r="Y239" i="13"/>
  <c r="Z239" i="13"/>
  <c r="N241" i="13"/>
  <c r="AG241" i="13"/>
  <c r="AB241" i="13"/>
  <c r="AF242" i="13"/>
  <c r="AG242" i="13"/>
  <c r="AJ242" i="13"/>
  <c r="P242" i="13"/>
  <c r="L242" i="13"/>
  <c r="AG243" i="13"/>
  <c r="N243" i="13"/>
  <c r="AG245" i="13"/>
  <c r="Z245" i="13"/>
  <c r="Y246" i="13"/>
  <c r="T246" i="13"/>
  <c r="W246" i="13"/>
  <c r="AH246" i="13"/>
  <c r="AB246" i="13"/>
  <c r="AG246" i="13"/>
  <c r="S246" i="13"/>
  <c r="R246" i="13"/>
  <c r="AJ246" i="13"/>
  <c r="P246" i="13"/>
  <c r="N246" i="13"/>
  <c r="U246" i="13"/>
  <c r="X246" i="13"/>
  <c r="AD246" i="13"/>
  <c r="AC246" i="13"/>
  <c r="AE246" i="13"/>
  <c r="AA246" i="13"/>
  <c r="L246" i="13"/>
  <c r="AG247" i="13"/>
  <c r="K247" i="13"/>
  <c r="T249" i="13"/>
  <c r="O249" i="13"/>
  <c r="AF249" i="13"/>
  <c r="L249" i="13"/>
  <c r="AG249" i="13"/>
  <c r="U249" i="13"/>
  <c r="AG252" i="13"/>
  <c r="M252" i="13"/>
  <c r="AG256" i="13"/>
  <c r="Q256" i="13"/>
  <c r="K256" i="13"/>
  <c r="AH257" i="13"/>
  <c r="K257" i="13"/>
  <c r="AG257" i="13"/>
  <c r="AG258" i="13"/>
  <c r="AJ258" i="13"/>
  <c r="L258" i="13"/>
  <c r="S258" i="13"/>
  <c r="AF258" i="13"/>
  <c r="O258" i="13"/>
  <c r="AB263" i="13"/>
  <c r="AA263" i="13"/>
  <c r="AC263" i="13"/>
  <c r="Z263" i="13"/>
  <c r="U263" i="13"/>
  <c r="AD263" i="13"/>
  <c r="Y263" i="13"/>
  <c r="W263" i="13"/>
  <c r="T263" i="13"/>
  <c r="P263" i="13"/>
  <c r="S263" i="13"/>
  <c r="X263" i="13"/>
  <c r="Q263" i="13"/>
  <c r="L263" i="13"/>
  <c r="V263" i="13"/>
  <c r="R263" i="13"/>
  <c r="AG263" i="13"/>
  <c r="AE263" i="13"/>
  <c r="AJ263" i="13"/>
  <c r="AH263" i="13"/>
  <c r="V265" i="13"/>
  <c r="AJ265" i="13"/>
  <c r="O265" i="13"/>
  <c r="R265" i="13"/>
  <c r="AE265" i="13"/>
  <c r="AD265" i="13"/>
  <c r="AC265" i="13"/>
  <c r="S265" i="13"/>
  <c r="AH265" i="13"/>
  <c r="AG265" i="13"/>
  <c r="Y265" i="13"/>
  <c r="X265" i="13"/>
  <c r="Q265" i="13"/>
  <c r="AB265" i="13"/>
  <c r="N265" i="13"/>
  <c r="M265" i="13"/>
  <c r="Z265" i="13"/>
  <c r="U265" i="13"/>
  <c r="L266" i="13"/>
  <c r="AG266" i="13"/>
  <c r="T266" i="13"/>
  <c r="AA266" i="13"/>
  <c r="AF266" i="13"/>
  <c r="AD269" i="13"/>
  <c r="Z269" i="13"/>
  <c r="AA269" i="13"/>
  <c r="AC269" i="13"/>
  <c r="AB269" i="13"/>
  <c r="W269" i="13"/>
  <c r="P269" i="13"/>
  <c r="U269" i="13"/>
  <c r="O269" i="13"/>
  <c r="X269" i="13"/>
  <c r="AJ269" i="13"/>
  <c r="AG269" i="13"/>
  <c r="L269" i="13"/>
  <c r="K269" i="13"/>
  <c r="AH269" i="13"/>
  <c r="AE269" i="13"/>
  <c r="L270" i="13"/>
  <c r="AE270" i="13"/>
  <c r="Y270" i="13"/>
  <c r="U270" i="13"/>
  <c r="R270" i="13"/>
  <c r="S270" i="13"/>
  <c r="W270" i="13"/>
  <c r="P270" i="13"/>
  <c r="AG270" i="13"/>
  <c r="X270" i="13"/>
  <c r="Z270" i="13"/>
  <c r="O270" i="13"/>
  <c r="AA270" i="13"/>
  <c r="L273" i="13"/>
  <c r="AF273" i="13"/>
  <c r="X273" i="13"/>
  <c r="U273" i="13"/>
  <c r="AH273" i="13"/>
  <c r="Y273" i="13"/>
  <c r="AA273" i="13"/>
  <c r="AD273" i="13"/>
  <c r="AB273" i="13"/>
  <c r="AE273" i="13"/>
  <c r="AC273" i="13"/>
  <c r="AJ273" i="13"/>
  <c r="O273" i="13"/>
  <c r="AG273" i="13"/>
  <c r="P273" i="13"/>
  <c r="Z273" i="13"/>
  <c r="M273" i="13"/>
  <c r="N273" i="13"/>
  <c r="W273" i="13"/>
  <c r="T273" i="13"/>
  <c r="Q273" i="13"/>
  <c r="R273" i="13"/>
  <c r="S273" i="13"/>
  <c r="V273" i="13"/>
  <c r="AF277" i="13"/>
  <c r="AG277" i="13"/>
  <c r="M277" i="13"/>
  <c r="N279" i="13"/>
  <c r="AG279" i="13"/>
  <c r="U281" i="13"/>
  <c r="AA281" i="13"/>
  <c r="S281" i="13"/>
  <c r="AH281" i="13"/>
  <c r="AC281" i="13"/>
  <c r="AD281" i="13"/>
  <c r="AE281" i="13"/>
  <c r="AB281" i="13"/>
  <c r="Y281" i="13"/>
  <c r="Z281" i="13"/>
  <c r="V281" i="13"/>
  <c r="AJ281" i="13"/>
  <c r="O281" i="13"/>
  <c r="X281" i="13"/>
  <c r="AF281" i="13"/>
  <c r="R281" i="13"/>
  <c r="W281" i="13"/>
  <c r="L281" i="13"/>
  <c r="M281" i="13"/>
  <c r="Q281" i="13"/>
  <c r="AG281" i="13"/>
  <c r="AG283" i="13"/>
  <c r="L283" i="13"/>
  <c r="AG284" i="13"/>
  <c r="L284" i="13"/>
  <c r="AG285" i="13"/>
  <c r="M285" i="13"/>
  <c r="AF285" i="13"/>
  <c r="X285" i="13"/>
  <c r="Q285" i="13"/>
  <c r="U287" i="13"/>
  <c r="Y287" i="13"/>
  <c r="AD287" i="13"/>
  <c r="Z287" i="13"/>
  <c r="AA287" i="13"/>
  <c r="R287" i="13"/>
  <c r="P287" i="13"/>
  <c r="W287" i="13"/>
  <c r="L287" i="13"/>
  <c r="V287" i="13"/>
  <c r="AG287" i="13"/>
  <c r="Q287" i="13"/>
  <c r="AB287" i="13"/>
  <c r="AJ287" i="13"/>
  <c r="AH287" i="13"/>
  <c r="AE287" i="13"/>
  <c r="AC289" i="13"/>
  <c r="AE289" i="13"/>
  <c r="AD289" i="13"/>
  <c r="AG289" i="13"/>
  <c r="R289" i="13"/>
  <c r="AH289" i="13"/>
  <c r="Y289" i="13"/>
  <c r="AB289" i="13"/>
  <c r="AA289" i="13"/>
  <c r="Z289" i="13"/>
  <c r="V289" i="13"/>
  <c r="X289" i="13"/>
  <c r="S289" i="13"/>
  <c r="Q289" i="13"/>
  <c r="T289" i="13"/>
  <c r="O289" i="13"/>
  <c r="M289" i="13"/>
  <c r="AJ289" i="13"/>
  <c r="AG290" i="13"/>
  <c r="P290" i="13"/>
  <c r="U290" i="13"/>
  <c r="AF290" i="13"/>
  <c r="N290" i="13"/>
  <c r="L290" i="13"/>
  <c r="AA293" i="13"/>
  <c r="O293" i="13"/>
  <c r="S293" i="13"/>
  <c r="P293" i="13"/>
  <c r="L293" i="13"/>
  <c r="T293" i="13"/>
  <c r="N293" i="13"/>
  <c r="K293" i="13"/>
  <c r="AE293" i="13"/>
  <c r="AC293" i="13"/>
  <c r="AD293" i="13"/>
  <c r="AH293" i="13"/>
  <c r="AJ293" i="13"/>
  <c r="AG293" i="13"/>
  <c r="Y293" i="13"/>
  <c r="R293" i="13"/>
  <c r="AB293" i="13"/>
  <c r="W293" i="13"/>
  <c r="Q293" i="13"/>
  <c r="AF293" i="13"/>
  <c r="M293" i="13"/>
  <c r="X293" i="13"/>
  <c r="Z293" i="13"/>
  <c r="U293" i="13"/>
  <c r="V293" i="13"/>
  <c r="V294" i="13"/>
  <c r="AG294" i="13"/>
  <c r="AG295" i="13"/>
  <c r="N295" i="13"/>
  <c r="AG297" i="13"/>
  <c r="T297" i="13"/>
  <c r="M297" i="13"/>
  <c r="AJ301" i="13"/>
  <c r="AH301" i="13"/>
  <c r="AE301" i="13"/>
  <c r="AB301" i="13"/>
  <c r="AD301" i="13"/>
  <c r="Z301" i="13"/>
  <c r="AC301" i="13"/>
  <c r="AA301" i="13"/>
  <c r="Y301" i="13"/>
  <c r="X301" i="13"/>
  <c r="R301" i="13"/>
  <c r="O301" i="13"/>
  <c r="L301" i="13"/>
  <c r="M301" i="13"/>
  <c r="P301" i="13"/>
  <c r="S301" i="13"/>
  <c r="T301" i="13"/>
  <c r="Q301" i="13"/>
  <c r="U301" i="13"/>
  <c r="N301" i="13"/>
  <c r="AG301" i="13"/>
  <c r="AF301" i="13"/>
  <c r="W301" i="13"/>
  <c r="X302" i="13"/>
  <c r="N302" i="13"/>
  <c r="Q302" i="13"/>
  <c r="L302" i="13"/>
  <c r="V302" i="13"/>
  <c r="P302" i="13"/>
  <c r="W302" i="13"/>
  <c r="AA302" i="13"/>
  <c r="Y302" i="13"/>
  <c r="R302" i="13"/>
  <c r="U302" i="13"/>
  <c r="AD302" i="13"/>
  <c r="Z302" i="13"/>
  <c r="AE302" i="13"/>
  <c r="AG302" i="13"/>
  <c r="AC302" i="13"/>
  <c r="AJ302" i="13"/>
  <c r="AB302" i="13"/>
  <c r="AH302" i="13"/>
  <c r="S302" i="13"/>
  <c r="AE303" i="13"/>
  <c r="AJ303" i="13"/>
  <c r="AB303" i="13"/>
  <c r="AC303" i="13"/>
  <c r="AA303" i="13"/>
  <c r="Y303" i="13"/>
  <c r="AG303" i="13"/>
  <c r="U303" i="13"/>
  <c r="X303" i="13"/>
  <c r="Z303" i="13"/>
  <c r="Q303" i="13"/>
  <c r="AH303" i="13"/>
  <c r="L303" i="13"/>
  <c r="O303" i="13"/>
  <c r="R303" i="13"/>
  <c r="P303" i="13"/>
  <c r="V303" i="13"/>
  <c r="W303" i="13"/>
  <c r="AG305" i="13"/>
  <c r="L305" i="13"/>
  <c r="N305" i="13"/>
  <c r="K305" i="13"/>
  <c r="AF305" i="13"/>
  <c r="AF6" i="13"/>
  <c r="AH6" i="13"/>
  <c r="AG6" i="13"/>
  <c r="V332" i="3"/>
  <c r="U335" i="2" s="1"/>
  <c r="V333" i="3"/>
  <c r="U336" i="2" s="1"/>
  <c r="V335" i="3"/>
  <c r="U338" i="2" s="1"/>
  <c r="V336" i="3"/>
  <c r="U339" i="2" s="1"/>
  <c r="V337" i="3"/>
  <c r="U340" i="2" s="1"/>
  <c r="V338" i="3"/>
  <c r="U341" i="2" s="1"/>
  <c r="V339" i="3"/>
  <c r="U342" i="2" s="1"/>
  <c r="V340" i="3"/>
  <c r="U343" i="2" s="1"/>
  <c r="V341" i="3"/>
  <c r="U344" i="2" s="1"/>
  <c r="V342" i="3"/>
  <c r="U345" i="2" s="1"/>
  <c r="V343" i="3"/>
  <c r="U346" i="2" s="1"/>
  <c r="V344" i="3"/>
  <c r="U347" i="2" s="1"/>
  <c r="V345" i="3"/>
  <c r="U348" i="2" s="1"/>
  <c r="V346" i="3"/>
  <c r="U349" i="2" s="1"/>
  <c r="V347" i="3"/>
  <c r="U350" i="2" s="1"/>
  <c r="V348" i="3"/>
  <c r="U351" i="2" s="1"/>
  <c r="V349" i="3"/>
  <c r="U352" i="2" s="1"/>
  <c r="V350" i="3"/>
  <c r="U353" i="2" s="1"/>
  <c r="V351" i="3"/>
  <c r="U354" i="2" s="1"/>
  <c r="V352" i="3"/>
  <c r="U355" i="2" s="1"/>
  <c r="V353" i="3"/>
  <c r="U356" i="2" s="1"/>
  <c r="V354" i="3"/>
  <c r="U357" i="2" s="1"/>
  <c r="V355" i="3"/>
  <c r="U358" i="2" s="1"/>
  <c r="V356" i="3"/>
  <c r="U359" i="2" s="1"/>
  <c r="V357" i="3"/>
  <c r="U360" i="2" s="1"/>
  <c r="V358" i="3"/>
  <c r="U361" i="2" s="1"/>
  <c r="V359" i="3"/>
  <c r="U362" i="2" s="1"/>
  <c r="V360" i="3"/>
  <c r="U363" i="2" s="1"/>
  <c r="V361" i="3"/>
  <c r="U364" i="2" s="1"/>
  <c r="V242" i="3"/>
  <c r="U245" i="2" s="1"/>
  <c r="V243" i="3"/>
  <c r="U246" i="2" s="1"/>
  <c r="V244" i="3"/>
  <c r="V245" i="3"/>
  <c r="V246" i="3"/>
  <c r="V247" i="3"/>
  <c r="U250" i="2" s="1"/>
  <c r="V248" i="3"/>
  <c r="U251" i="2" s="1"/>
  <c r="V249" i="3"/>
  <c r="U252" i="2" s="1"/>
  <c r="V250" i="3"/>
  <c r="U253" i="2" s="1"/>
  <c r="V251" i="3"/>
  <c r="U254" i="2" s="1"/>
  <c r="V252" i="3"/>
  <c r="U255" i="2" s="1"/>
  <c r="V253" i="3"/>
  <c r="U256" i="2" s="1"/>
  <c r="V254" i="3"/>
  <c r="U257" i="2" s="1"/>
  <c r="V255" i="3"/>
  <c r="U258" i="2" s="1"/>
  <c r="V256" i="3"/>
  <c r="U259" i="2" s="1"/>
  <c r="V270" i="3"/>
  <c r="U273" i="2" s="1"/>
  <c r="V271" i="3"/>
  <c r="U274" i="2" s="1"/>
  <c r="V272" i="3"/>
  <c r="U275" i="2" s="1"/>
  <c r="V273" i="3"/>
  <c r="U276" i="2" s="1"/>
  <c r="V274" i="3"/>
  <c r="U277" i="2" s="1"/>
  <c r="V275" i="3"/>
  <c r="U278" i="2" s="1"/>
  <c r="V276" i="3"/>
  <c r="U279" i="2" s="1"/>
  <c r="V277" i="3"/>
  <c r="U280" i="2" s="1"/>
  <c r="V278" i="3"/>
  <c r="U281" i="2" s="1"/>
  <c r="V279" i="3"/>
  <c r="U282" i="2" s="1"/>
  <c r="V280" i="3"/>
  <c r="U283" i="2" s="1"/>
  <c r="V281" i="3"/>
  <c r="U284" i="2" s="1"/>
  <c r="V282" i="3"/>
  <c r="U285" i="2" s="1"/>
  <c r="V283" i="3"/>
  <c r="U286" i="2" s="1"/>
  <c r="V284" i="3"/>
  <c r="U287" i="2" s="1"/>
  <c r="V285" i="3"/>
  <c r="U288" i="2" s="1"/>
  <c r="V286" i="3"/>
  <c r="U289" i="2" s="1"/>
  <c r="V287" i="3"/>
  <c r="U290" i="2" s="1"/>
  <c r="V288" i="3"/>
  <c r="U291" i="2" s="1"/>
  <c r="V289" i="3"/>
  <c r="U292" i="2" s="1"/>
  <c r="V290" i="3"/>
  <c r="U293" i="2" s="1"/>
  <c r="V291" i="3"/>
  <c r="U294" i="2" s="1"/>
  <c r="V292" i="3"/>
  <c r="U295" i="2" s="1"/>
  <c r="V293" i="3"/>
  <c r="U296" i="2" s="1"/>
  <c r="V294" i="3"/>
  <c r="U297" i="2" s="1"/>
  <c r="V295" i="3"/>
  <c r="U298" i="2" s="1"/>
  <c r="V296" i="3"/>
  <c r="U299" i="2" s="1"/>
  <c r="V297" i="3"/>
  <c r="U300" i="2" s="1"/>
  <c r="V298" i="3"/>
  <c r="U301" i="2" s="1"/>
  <c r="V299" i="3"/>
  <c r="U302" i="2" s="1"/>
  <c r="V300" i="3"/>
  <c r="U303" i="2" s="1"/>
  <c r="V301" i="3"/>
  <c r="U304" i="2" s="1"/>
  <c r="V302" i="3"/>
  <c r="U305" i="2" s="1"/>
  <c r="V303" i="3"/>
  <c r="U306" i="2" s="1"/>
  <c r="V304" i="3"/>
  <c r="U307" i="2" s="1"/>
  <c r="V305" i="3"/>
  <c r="U308" i="2" s="1"/>
  <c r="V306" i="3"/>
  <c r="U309" i="2" s="1"/>
  <c r="V307" i="3"/>
  <c r="U310" i="2" s="1"/>
  <c r="V308" i="3"/>
  <c r="U311" i="2" s="1"/>
  <c r="V309" i="3"/>
  <c r="U312" i="2" s="1"/>
  <c r="V310" i="3"/>
  <c r="U313" i="2" s="1"/>
  <c r="V311" i="3"/>
  <c r="U314" i="2" s="1"/>
  <c r="V312" i="3"/>
  <c r="U315" i="2" s="1"/>
  <c r="V314" i="3"/>
  <c r="U317" i="2" s="1"/>
  <c r="V315" i="3"/>
  <c r="U318" i="2" s="1"/>
  <c r="V316" i="3"/>
  <c r="U319" i="2" s="1"/>
  <c r="V317" i="3"/>
  <c r="U320" i="2" s="1"/>
  <c r="V318" i="3"/>
  <c r="U321" i="2" s="1"/>
  <c r="V319" i="3"/>
  <c r="U322" i="2" s="1"/>
  <c r="V320" i="3"/>
  <c r="U323" i="2" s="1"/>
  <c r="V321" i="3"/>
  <c r="U324" i="2" s="1"/>
  <c r="V322" i="3"/>
  <c r="U325" i="2" s="1"/>
  <c r="V323" i="3"/>
  <c r="U326" i="2" s="1"/>
  <c r="V325" i="3"/>
  <c r="U328" i="2" s="1"/>
  <c r="V326" i="3"/>
  <c r="U329" i="2" s="1"/>
  <c r="V327" i="3"/>
  <c r="U330" i="2" s="1"/>
  <c r="V329" i="3"/>
  <c r="U332" i="2" s="1"/>
  <c r="Q37" i="10"/>
  <c r="L37" i="10"/>
  <c r="K37" i="10"/>
  <c r="L35" i="10"/>
  <c r="Q35" i="10"/>
  <c r="Q34" i="10"/>
  <c r="L34" i="10"/>
  <c r="Q33" i="10"/>
  <c r="L33" i="10"/>
  <c r="O33" i="10"/>
  <c r="Q32" i="10"/>
  <c r="L32" i="10"/>
  <c r="O32" i="10"/>
  <c r="L31" i="10"/>
  <c r="O31" i="10"/>
  <c r="Q31" i="10"/>
  <c r="L30" i="10"/>
  <c r="Q30" i="10"/>
  <c r="L29" i="10"/>
  <c r="O29" i="10"/>
  <c r="Q29" i="10"/>
  <c r="L28" i="10"/>
  <c r="M28" i="10" s="1"/>
  <c r="N28" i="10" s="1"/>
  <c r="H63" i="11" s="1"/>
  <c r="I63" i="11" s="1"/>
  <c r="Q28" i="10"/>
  <c r="L27" i="10"/>
  <c r="K27" i="10"/>
  <c r="Q27" i="10"/>
  <c r="K26" i="10"/>
  <c r="L26" i="10"/>
  <c r="Q26" i="10"/>
  <c r="O25" i="10"/>
  <c r="L25" i="10"/>
  <c r="Q25" i="10"/>
  <c r="L24" i="10"/>
  <c r="Q24" i="10"/>
  <c r="O24" i="10"/>
  <c r="Q23" i="10"/>
  <c r="L23" i="10"/>
  <c r="O23" i="10"/>
  <c r="Q22" i="10"/>
  <c r="O22" i="10"/>
  <c r="L22" i="10"/>
  <c r="O21" i="10"/>
  <c r="Q21" i="10"/>
  <c r="L21" i="10"/>
  <c r="Q20" i="10"/>
  <c r="L20" i="10"/>
  <c r="L19" i="10"/>
  <c r="O19" i="10"/>
  <c r="Q19" i="10"/>
  <c r="L18" i="10"/>
  <c r="Q18" i="10"/>
  <c r="L17" i="10"/>
  <c r="O17" i="10"/>
  <c r="Q17" i="10"/>
  <c r="L16" i="10"/>
  <c r="O16" i="10"/>
  <c r="Q16" i="10"/>
  <c r="Q15" i="10"/>
  <c r="L15" i="10"/>
  <c r="Q14" i="10"/>
  <c r="O14" i="10"/>
  <c r="L14" i="10"/>
  <c r="Q13" i="10"/>
  <c r="L13" i="10"/>
  <c r="O13" i="10"/>
  <c r="L12" i="10"/>
  <c r="Q12" i="10"/>
  <c r="Q11" i="10"/>
  <c r="K11" i="10"/>
  <c r="L11" i="10"/>
  <c r="L10" i="10"/>
  <c r="Q10" i="10"/>
  <c r="K10" i="10"/>
  <c r="L9" i="10"/>
  <c r="Q9" i="10"/>
  <c r="O8" i="10"/>
  <c r="L8" i="10"/>
  <c r="Q8" i="10"/>
  <c r="L7" i="10"/>
  <c r="K7" i="10"/>
  <c r="Q7" i="10"/>
  <c r="H68" i="11"/>
  <c r="I68" i="11" s="1"/>
  <c r="H58" i="11"/>
  <c r="I58" i="11" s="1"/>
  <c r="H56" i="11"/>
  <c r="I56" i="11" s="1"/>
  <c r="E18" i="11" s="1"/>
  <c r="G18" i="11" s="1"/>
  <c r="H54" i="11"/>
  <c r="I54" i="11" s="1"/>
  <c r="E16" i="11" s="1"/>
  <c r="G16" i="11" s="1"/>
  <c r="H51" i="11"/>
  <c r="I51" i="11" s="1"/>
  <c r="H49" i="11"/>
  <c r="I49" i="11" s="1"/>
  <c r="E14" i="11" s="1"/>
  <c r="G14" i="11" s="1"/>
  <c r="H48" i="11"/>
  <c r="I48" i="11" s="1"/>
  <c r="E13" i="11" s="1"/>
  <c r="G13" i="11" s="1"/>
  <c r="H46" i="11"/>
  <c r="I46" i="11" s="1"/>
  <c r="H41" i="11"/>
  <c r="I41" i="11" s="1"/>
  <c r="E9" i="11" s="1"/>
  <c r="G9" i="11" s="1"/>
  <c r="H35" i="11"/>
  <c r="I35" i="11" s="1"/>
  <c r="H67" i="11"/>
  <c r="I67" i="11" s="1"/>
  <c r="H60" i="11"/>
  <c r="I60" i="11" s="1"/>
  <c r="H57" i="11"/>
  <c r="I57" i="11" s="1"/>
  <c r="H55" i="11"/>
  <c r="I55" i="11" s="1"/>
  <c r="E17" i="11" s="1"/>
  <c r="G17" i="11" s="1"/>
  <c r="D72" i="11"/>
  <c r="F72" i="11"/>
  <c r="F71" i="11"/>
  <c r="D71" i="11"/>
  <c r="F30" i="11"/>
  <c r="F31" i="11"/>
  <c r="F32" i="11"/>
  <c r="F33" i="11"/>
  <c r="F34" i="11"/>
  <c r="D39" i="11"/>
  <c r="D41" i="11"/>
  <c r="D43" i="11"/>
  <c r="D45" i="11"/>
  <c r="D47" i="11"/>
  <c r="D49" i="11"/>
  <c r="D51" i="11"/>
  <c r="D53" i="11"/>
  <c r="D55" i="11"/>
  <c r="D58" i="11"/>
  <c r="D60" i="11"/>
  <c r="D62" i="11"/>
  <c r="D64" i="11"/>
  <c r="D66" i="11"/>
  <c r="D68" i="11"/>
  <c r="D70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D30" i="11"/>
  <c r="D31" i="11"/>
  <c r="D32" i="11"/>
  <c r="D33" i="11"/>
  <c r="D34" i="11"/>
  <c r="D35" i="11"/>
  <c r="D36" i="11"/>
  <c r="D37" i="11"/>
  <c r="D38" i="11"/>
  <c r="D40" i="11"/>
  <c r="D42" i="11"/>
  <c r="D44" i="11"/>
  <c r="D46" i="11"/>
  <c r="D48" i="11"/>
  <c r="D50" i="11"/>
  <c r="D52" i="11"/>
  <c r="D54" i="11"/>
  <c r="D56" i="11"/>
  <c r="D57" i="11"/>
  <c r="D59" i="11"/>
  <c r="D61" i="11"/>
  <c r="D63" i="11"/>
  <c r="D65" i="11"/>
  <c r="D67" i="11"/>
  <c r="D69" i="11"/>
  <c r="Q6" i="10"/>
  <c r="L6" i="10"/>
  <c r="K6" i="10"/>
  <c r="M34" i="10"/>
  <c r="O34" i="10"/>
  <c r="M35" i="10"/>
  <c r="N35" i="10" s="1"/>
  <c r="H72" i="11" s="1"/>
  <c r="I72" i="11" s="1"/>
  <c r="E22" i="11" s="1"/>
  <c r="G22" i="11" s="1"/>
  <c r="O35" i="10"/>
  <c r="O12" i="10"/>
  <c r="M12" i="10"/>
  <c r="N12" i="10" s="1"/>
  <c r="M20" i="10"/>
  <c r="N20" i="10" s="1"/>
  <c r="H52" i="11" s="1"/>
  <c r="I52" i="11" s="1"/>
  <c r="O20" i="10"/>
  <c r="O18" i="10"/>
  <c r="M18" i="10"/>
  <c r="N18" i="10" s="1"/>
  <c r="H50" i="11" s="1"/>
  <c r="I50" i="11" s="1"/>
  <c r="D33" i="16"/>
  <c r="M30" i="10"/>
  <c r="N30" i="10" s="1"/>
  <c r="H64" i="11" s="1"/>
  <c r="I64" i="11" s="1"/>
  <c r="D31" i="16"/>
  <c r="O15" i="10"/>
  <c r="M9" i="10"/>
  <c r="N9" i="10" s="1"/>
  <c r="H36" i="11" s="1"/>
  <c r="I36" i="11" s="1"/>
  <c r="E36" i="16"/>
  <c r="D46" i="16"/>
  <c r="E27" i="16"/>
  <c r="C35" i="16"/>
  <c r="C25" i="16"/>
  <c r="C26" i="16"/>
  <c r="D32" i="16"/>
  <c r="C33" i="16"/>
  <c r="H65" i="11"/>
  <c r="I65" i="11" s="1"/>
  <c r="H69" i="11"/>
  <c r="I69" i="11" s="1"/>
  <c r="H70" i="11"/>
  <c r="I70" i="11" s="1"/>
  <c r="H66" i="11"/>
  <c r="I66" i="11" s="1"/>
  <c r="H42" i="11"/>
  <c r="I42" i="11" s="1"/>
  <c r="E10" i="11" s="1"/>
  <c r="G10" i="11" s="1"/>
  <c r="D30" i="16"/>
  <c r="B50" i="16"/>
  <c r="C49" i="16"/>
  <c r="D36" i="16"/>
  <c r="C34" i="16"/>
  <c r="E18" i="16"/>
  <c r="B45" i="16"/>
  <c r="D49" i="16"/>
  <c r="C16" i="16"/>
  <c r="D17" i="16"/>
  <c r="E28" i="16"/>
  <c r="C45" i="16"/>
  <c r="E45" i="16" s="1"/>
  <c r="C18" i="16"/>
  <c r="D23" i="16"/>
  <c r="E29" i="16"/>
  <c r="C20" i="16"/>
  <c r="E35" i="16"/>
  <c r="E19" i="16"/>
  <c r="C19" i="16"/>
  <c r="D22" i="16"/>
  <c r="E26" i="16"/>
  <c r="E20" i="16"/>
  <c r="E34" i="16"/>
  <c r="E39" i="16"/>
  <c r="D12" i="16"/>
  <c r="C28" i="16"/>
  <c r="D25" i="16"/>
  <c r="E21" i="16"/>
  <c r="D48" i="16"/>
  <c r="E48" i="16" s="1"/>
  <c r="F8" i="16"/>
  <c r="C27" i="16"/>
  <c r="D24" i="16"/>
  <c r="E32" i="16"/>
  <c r="D39" i="16"/>
  <c r="C24" i="16"/>
  <c r="C32" i="16"/>
  <c r="D21" i="16"/>
  <c r="D29" i="16"/>
  <c r="E17" i="16"/>
  <c r="E25" i="16"/>
  <c r="E33" i="16"/>
  <c r="C46" i="16"/>
  <c r="E12" i="16"/>
  <c r="C21" i="16"/>
  <c r="C29" i="16"/>
  <c r="D18" i="16"/>
  <c r="D26" i="16"/>
  <c r="D34" i="16"/>
  <c r="E22" i="16"/>
  <c r="E30" i="16"/>
  <c r="E38" i="16"/>
  <c r="A8" i="16"/>
  <c r="C22" i="16"/>
  <c r="C30" i="16"/>
  <c r="D27" i="16"/>
  <c r="D35" i="16"/>
  <c r="E23" i="16"/>
  <c r="E31" i="16"/>
  <c r="C38" i="16"/>
  <c r="D19" i="16"/>
  <c r="C17" i="16"/>
  <c r="C23" i="16"/>
  <c r="C31" i="16"/>
  <c r="D20" i="16"/>
  <c r="D28" i="16"/>
  <c r="E24" i="16"/>
  <c r="B48" i="16"/>
  <c r="C37" i="16"/>
  <c r="C36" i="16"/>
  <c r="C39" i="16"/>
  <c r="E37" i="16"/>
  <c r="D38" i="16"/>
  <c r="D37" i="16"/>
  <c r="C47" i="16"/>
  <c r="C44" i="16"/>
  <c r="D47" i="16"/>
  <c r="D44" i="16"/>
  <c r="J334" i="3" l="1"/>
  <c r="I337" i="2" s="1"/>
  <c r="E337" i="2"/>
  <c r="V334" i="3"/>
  <c r="U337" i="2" s="1"/>
  <c r="E334" i="2"/>
  <c r="J331" i="3"/>
  <c r="E333" i="2"/>
  <c r="J330" i="3"/>
  <c r="E331" i="2"/>
  <c r="J328" i="3"/>
  <c r="F327" i="2"/>
  <c r="V324" i="3"/>
  <c r="U327" i="2" s="1"/>
  <c r="I316" i="2"/>
  <c r="V313" i="3"/>
  <c r="U316" i="2" s="1"/>
  <c r="C28" i="4"/>
  <c r="B32" i="4"/>
  <c r="C32" i="4" s="1"/>
  <c r="E31" i="11"/>
  <c r="G31" i="11" s="1"/>
  <c r="C11" i="4"/>
  <c r="B14" i="4"/>
  <c r="C14" i="4" s="1"/>
  <c r="O40" i="10"/>
  <c r="R40" i="10" s="1"/>
  <c r="S40" i="10" s="1"/>
  <c r="M40" i="10"/>
  <c r="N40" i="10" s="1"/>
  <c r="M39" i="10"/>
  <c r="N39" i="10" s="1"/>
  <c r="O39" i="10"/>
  <c r="R39" i="10" s="1"/>
  <c r="M38" i="10"/>
  <c r="N38" i="10" s="1"/>
  <c r="O38" i="10"/>
  <c r="M36" i="10"/>
  <c r="N36" i="10" s="1"/>
  <c r="H73" i="11" s="1"/>
  <c r="I73" i="11" s="1"/>
  <c r="O36" i="10"/>
  <c r="G10" i="20" a="1"/>
  <c r="I10" i="20" s="1"/>
  <c r="J10" i="20" s="1"/>
  <c r="G11" i="20" a="1"/>
  <c r="I11" i="20" s="1"/>
  <c r="J11" i="20" s="1"/>
  <c r="G8" i="20" a="1"/>
  <c r="I8" i="20" s="1"/>
  <c r="J8" i="20" s="1"/>
  <c r="G7" i="20" a="1"/>
  <c r="I7" i="20" s="1"/>
  <c r="J7" i="20" s="1"/>
  <c r="G9" i="20" a="1"/>
  <c r="I9" i="20" s="1"/>
  <c r="J9" i="20" s="1"/>
  <c r="G5" i="20" a="1"/>
  <c r="I5" i="20" s="1"/>
  <c r="J5" i="20" s="1"/>
  <c r="G6" i="20" a="1"/>
  <c r="I6" i="20" s="1"/>
  <c r="J6" i="20" s="1"/>
  <c r="O37" i="10"/>
  <c r="M37" i="10"/>
  <c r="N37" i="10" s="1"/>
  <c r="H74" i="11" s="1"/>
  <c r="I74" i="11" s="1"/>
  <c r="N34" i="10"/>
  <c r="H71" i="11" s="1"/>
  <c r="I71" i="11" s="1"/>
  <c r="E21" i="11" s="1"/>
  <c r="G21" i="11" s="1"/>
  <c r="B15" i="18"/>
  <c r="B17" i="18" s="1"/>
  <c r="H16" i="11"/>
  <c r="J54" i="11" s="1"/>
  <c r="P21" i="10" s="1"/>
  <c r="R21" i="10" s="1"/>
  <c r="H7" i="11"/>
  <c r="J36" i="11" s="1"/>
  <c r="P9" i="10" s="1"/>
  <c r="R9" i="10" s="1"/>
  <c r="T9" i="10" s="1"/>
  <c r="H13" i="11"/>
  <c r="J48" i="11" s="1"/>
  <c r="P16" i="10" s="1"/>
  <c r="R16" i="10" s="1"/>
  <c r="B8" i="16"/>
  <c r="D16" i="16"/>
  <c r="C50" i="16"/>
  <c r="H9" i="11"/>
  <c r="J41" i="11" s="1"/>
  <c r="P13" i="10" s="1"/>
  <c r="R13" i="10" s="1"/>
  <c r="H24" i="11"/>
  <c r="H18" i="11"/>
  <c r="J56" i="11" s="1"/>
  <c r="P23" i="10" s="1"/>
  <c r="R23" i="10" s="1"/>
  <c r="H19" i="11"/>
  <c r="H17" i="11"/>
  <c r="J55" i="11" s="1"/>
  <c r="P22" i="10" s="1"/>
  <c r="R22" i="10" s="1"/>
  <c r="H14" i="11"/>
  <c r="J49" i="11" s="1"/>
  <c r="P17" i="10" s="1"/>
  <c r="R17" i="10" s="1"/>
  <c r="H15" i="11"/>
  <c r="H10" i="11"/>
  <c r="J42" i="11" s="1"/>
  <c r="H8" i="11"/>
  <c r="J40" i="11" s="1"/>
  <c r="J73" i="11"/>
  <c r="P36" i="10" s="1"/>
  <c r="R36" i="10" s="1"/>
  <c r="J75" i="11"/>
  <c r="J76" i="11"/>
  <c r="J74" i="11"/>
  <c r="P37" i="10" s="1"/>
  <c r="R37" i="10" s="1"/>
  <c r="S37" i="10" s="1"/>
  <c r="H11" i="11"/>
  <c r="H20" i="11"/>
  <c r="J62" i="11" s="1"/>
  <c r="P26" i="10" s="1"/>
  <c r="H12" i="11"/>
  <c r="H6" i="11"/>
  <c r="H22" i="11"/>
  <c r="J72" i="11" s="1"/>
  <c r="P35" i="10" s="1"/>
  <c r="R35" i="10" s="1"/>
  <c r="H21" i="11"/>
  <c r="J71" i="11" s="1"/>
  <c r="H23" i="11"/>
  <c r="M27" i="10"/>
  <c r="N27" i="10" s="1"/>
  <c r="O27" i="10"/>
  <c r="M10" i="10"/>
  <c r="N10" i="10" s="1"/>
  <c r="B51" i="21" s="1"/>
  <c r="O10" i="10"/>
  <c r="C16" i="5"/>
  <c r="I18" i="11"/>
  <c r="C11" i="5"/>
  <c r="I13" i="11"/>
  <c r="C15" i="5"/>
  <c r="I17" i="11"/>
  <c r="M26" i="10"/>
  <c r="N26" i="10" s="1"/>
  <c r="H62" i="11" s="1"/>
  <c r="I62" i="11" s="1"/>
  <c r="E20" i="11" s="1"/>
  <c r="G20" i="11" s="1"/>
  <c r="O26" i="10"/>
  <c r="M11" i="10"/>
  <c r="N11" i="10" s="1"/>
  <c r="O11" i="10"/>
  <c r="M7" i="10"/>
  <c r="N7" i="10" s="1"/>
  <c r="H30" i="11" s="1"/>
  <c r="I30" i="11" s="1"/>
  <c r="O7" i="10"/>
  <c r="C14" i="5"/>
  <c r="I16" i="11"/>
  <c r="C20" i="5"/>
  <c r="I22" i="11"/>
  <c r="F30" i="16"/>
  <c r="G30" i="16" s="1"/>
  <c r="C12" i="5"/>
  <c r="I14" i="11"/>
  <c r="C7" i="5"/>
  <c r="I9" i="11"/>
  <c r="M6" i="10"/>
  <c r="N6" i="10" s="1"/>
  <c r="H31" i="11" s="1"/>
  <c r="O6" i="10"/>
  <c r="D57" i="21"/>
  <c r="H59" i="11"/>
  <c r="I59" i="11" s="1"/>
  <c r="H40" i="11"/>
  <c r="I40" i="11" s="1"/>
  <c r="E8" i="11" s="1"/>
  <c r="G8" i="11" s="1"/>
  <c r="F31" i="16"/>
  <c r="G31" i="16" s="1"/>
  <c r="F33" i="16"/>
  <c r="G33" i="16" s="1"/>
  <c r="E46" i="16"/>
  <c r="F36" i="16"/>
  <c r="G36" i="16" s="1"/>
  <c r="F26" i="16"/>
  <c r="G26" i="16" s="1"/>
  <c r="F32" i="16"/>
  <c r="G32" i="16" s="1"/>
  <c r="F18" i="16"/>
  <c r="G18" i="16" s="1"/>
  <c r="F27" i="16"/>
  <c r="G27" i="16" s="1"/>
  <c r="F23" i="16"/>
  <c r="G23" i="16" s="1"/>
  <c r="F24" i="16"/>
  <c r="G24" i="16" s="1"/>
  <c r="E24" i="11"/>
  <c r="G24" i="11" s="1"/>
  <c r="C23" i="5" s="1"/>
  <c r="F22" i="16"/>
  <c r="G22" i="16" s="1"/>
  <c r="E49" i="16"/>
  <c r="E23" i="11"/>
  <c r="G23" i="11" s="1"/>
  <c r="I23" i="11" s="1"/>
  <c r="C8" i="5"/>
  <c r="I10" i="11"/>
  <c r="F29" i="16"/>
  <c r="G29" i="16" s="1"/>
  <c r="F35" i="16"/>
  <c r="G35" i="16" s="1"/>
  <c r="F34" i="16"/>
  <c r="G34" i="16" s="1"/>
  <c r="F25" i="16"/>
  <c r="G25" i="16" s="1"/>
  <c r="F21" i="16"/>
  <c r="G21" i="16" s="1"/>
  <c r="F17" i="16"/>
  <c r="G17" i="16" s="1"/>
  <c r="F39" i="16"/>
  <c r="G39" i="16" s="1"/>
  <c r="F20" i="16"/>
  <c r="G20" i="16" s="1"/>
  <c r="F28" i="16"/>
  <c r="G28" i="16" s="1"/>
  <c r="F19" i="16"/>
  <c r="G19" i="16" s="1"/>
  <c r="F38" i="16"/>
  <c r="G38" i="16" s="1"/>
  <c r="C40" i="16"/>
  <c r="F37" i="16"/>
  <c r="G37" i="16" s="1"/>
  <c r="E44" i="16"/>
  <c r="E47" i="16"/>
  <c r="P34" i="10" l="1"/>
  <c r="R34" i="10" s="1"/>
  <c r="P38" i="10"/>
  <c r="R38" i="10" s="1"/>
  <c r="S38" i="10" s="1"/>
  <c r="V331" i="3"/>
  <c r="U334" i="2" s="1"/>
  <c r="I334" i="2"/>
  <c r="V330" i="3"/>
  <c r="U333" i="2" s="1"/>
  <c r="I333" i="2"/>
  <c r="V328" i="3"/>
  <c r="U331" i="2" s="1"/>
  <c r="I331" i="2"/>
  <c r="I31" i="11"/>
  <c r="E25" i="11"/>
  <c r="G25" i="11" s="1"/>
  <c r="S39" i="10"/>
  <c r="U39" i="10"/>
  <c r="T39" i="10"/>
  <c r="T40" i="10"/>
  <c r="U40" i="10"/>
  <c r="D24" i="18"/>
  <c r="C24" i="18"/>
  <c r="H37" i="11"/>
  <c r="I37" i="11" s="1"/>
  <c r="H44" i="11"/>
  <c r="I44" i="11" s="1"/>
  <c r="H32" i="11"/>
  <c r="I32" i="11" s="1"/>
  <c r="K7" i="20"/>
  <c r="C19" i="5"/>
  <c r="I21" i="11"/>
  <c r="H47" i="11"/>
  <c r="I47" i="11" s="1"/>
  <c r="E12" i="11" s="1"/>
  <c r="G12" i="11" s="1"/>
  <c r="C59" i="21"/>
  <c r="B59" i="21"/>
  <c r="B60" i="21" s="1"/>
  <c r="J39" i="11"/>
  <c r="J38" i="11"/>
  <c r="J35" i="11"/>
  <c r="P8" i="10" s="1"/>
  <c r="R8" i="10" s="1"/>
  <c r="U8" i="10" s="1"/>
  <c r="J37" i="11"/>
  <c r="O6" i="13"/>
  <c r="E16" i="16"/>
  <c r="C8" i="16"/>
  <c r="D8" i="16"/>
  <c r="E8" i="16" s="1"/>
  <c r="D50" i="16"/>
  <c r="E50" i="16" s="1"/>
  <c r="P6" i="13"/>
  <c r="H20" i="16"/>
  <c r="H26" i="16"/>
  <c r="H22" i="16"/>
  <c r="H24" i="16"/>
  <c r="H29" i="16"/>
  <c r="H27" i="16"/>
  <c r="H35" i="16"/>
  <c r="H34" i="16"/>
  <c r="H33" i="16"/>
  <c r="H28" i="16"/>
  <c r="H36" i="16"/>
  <c r="H17" i="16"/>
  <c r="H21" i="16"/>
  <c r="H32" i="16"/>
  <c r="H39" i="16"/>
  <c r="H37" i="16"/>
  <c r="H30" i="16"/>
  <c r="H18" i="16"/>
  <c r="H19" i="16"/>
  <c r="H31" i="16"/>
  <c r="H38" i="16"/>
  <c r="H23" i="16"/>
  <c r="H25" i="16"/>
  <c r="H16" i="16"/>
  <c r="D40" i="16"/>
  <c r="H40" i="16" s="1"/>
  <c r="J68" i="11"/>
  <c r="P31" i="10" s="1"/>
  <c r="R31" i="10" s="1"/>
  <c r="J69" i="11"/>
  <c r="J70" i="11"/>
  <c r="J67" i="11"/>
  <c r="P29" i="10" s="1"/>
  <c r="R29" i="10" s="1"/>
  <c r="J59" i="11"/>
  <c r="P12" i="10" s="1"/>
  <c r="R12" i="10" s="1"/>
  <c r="J60" i="11"/>
  <c r="P14" i="10" s="1"/>
  <c r="R14" i="10" s="1"/>
  <c r="J61" i="11"/>
  <c r="J58" i="11"/>
  <c r="P25" i="10" s="1"/>
  <c r="R25" i="10" s="1"/>
  <c r="J57" i="11"/>
  <c r="P24" i="10" s="1"/>
  <c r="R24" i="10" s="1"/>
  <c r="J51" i="11"/>
  <c r="P19" i="10" s="1"/>
  <c r="R19" i="10" s="1"/>
  <c r="J50" i="11"/>
  <c r="P18" i="10" s="1"/>
  <c r="R18" i="10" s="1"/>
  <c r="J52" i="11"/>
  <c r="P20" i="10" s="1"/>
  <c r="R20" i="10" s="1"/>
  <c r="J53" i="11"/>
  <c r="J45" i="11"/>
  <c r="J43" i="11"/>
  <c r="J44" i="11"/>
  <c r="J46" i="11"/>
  <c r="P15" i="10" s="1"/>
  <c r="R15" i="10" s="1"/>
  <c r="J47" i="11"/>
  <c r="J32" i="11"/>
  <c r="J30" i="11"/>
  <c r="P7" i="10" s="1"/>
  <c r="R7" i="10" s="1"/>
  <c r="J34" i="11"/>
  <c r="J33" i="11"/>
  <c r="J31" i="11"/>
  <c r="P6" i="10" s="1"/>
  <c r="R6" i="10" s="1"/>
  <c r="J63" i="11"/>
  <c r="P28" i="10" s="1"/>
  <c r="R28" i="10" s="1"/>
  <c r="J64" i="11"/>
  <c r="P30" i="10" s="1"/>
  <c r="R30" i="10" s="1"/>
  <c r="J66" i="11"/>
  <c r="J65" i="11"/>
  <c r="R26" i="10"/>
  <c r="U37" i="10"/>
  <c r="T37" i="10"/>
  <c r="S36" i="10"/>
  <c r="T36" i="10"/>
  <c r="U36" i="10"/>
  <c r="B24" i="18"/>
  <c r="T16" i="10"/>
  <c r="S16" i="10"/>
  <c r="U16" i="10"/>
  <c r="S13" i="10"/>
  <c r="T13" i="10"/>
  <c r="U13" i="10"/>
  <c r="U22" i="10"/>
  <c r="T22" i="10"/>
  <c r="S22" i="10"/>
  <c r="U21" i="10"/>
  <c r="T21" i="10"/>
  <c r="S21" i="10"/>
  <c r="S17" i="10"/>
  <c r="U17" i="10"/>
  <c r="T17" i="10"/>
  <c r="H43" i="11"/>
  <c r="I43" i="11" s="1"/>
  <c r="H38" i="11"/>
  <c r="I38" i="11" s="1"/>
  <c r="H33" i="11"/>
  <c r="I33" i="11" s="1"/>
  <c r="S9" i="10"/>
  <c r="U9" i="10"/>
  <c r="T23" i="10"/>
  <c r="U23" i="10"/>
  <c r="S23" i="10"/>
  <c r="C18" i="5"/>
  <c r="I20" i="11"/>
  <c r="H34" i="11"/>
  <c r="I34" i="11" s="1"/>
  <c r="H53" i="11"/>
  <c r="I53" i="11" s="1"/>
  <c r="E15" i="11" s="1"/>
  <c r="G15" i="11" s="1"/>
  <c r="H39" i="11"/>
  <c r="I39" i="11" s="1"/>
  <c r="H61" i="11"/>
  <c r="I61" i="11" s="1"/>
  <c r="E19" i="11" s="1"/>
  <c r="G19" i="11" s="1"/>
  <c r="H45" i="11"/>
  <c r="I45" i="11" s="1"/>
  <c r="S35" i="10"/>
  <c r="U35" i="10"/>
  <c r="T35" i="10"/>
  <c r="C6" i="5"/>
  <c r="I8" i="11"/>
  <c r="I24" i="11"/>
  <c r="C21" i="5"/>
  <c r="U38" i="10" l="1"/>
  <c r="T38" i="10"/>
  <c r="T34" i="10"/>
  <c r="U34" i="10"/>
  <c r="S34" i="10"/>
  <c r="C22" i="5"/>
  <c r="I25" i="11"/>
  <c r="P33" i="10"/>
  <c r="R33" i="10" s="1"/>
  <c r="U33" i="10" s="1"/>
  <c r="C60" i="21"/>
  <c r="D59" i="21"/>
  <c r="E11" i="11"/>
  <c r="G11" i="11" s="1"/>
  <c r="K10" i="20"/>
  <c r="C10" i="5"/>
  <c r="I12" i="11"/>
  <c r="P32" i="10"/>
  <c r="R32" i="10" s="1"/>
  <c r="S8" i="10"/>
  <c r="T8" i="10"/>
  <c r="E40" i="16"/>
  <c r="F16" i="16"/>
  <c r="T31" i="10"/>
  <c r="U31" i="10"/>
  <c r="S31" i="10"/>
  <c r="T29" i="10"/>
  <c r="U29" i="10"/>
  <c r="S29" i="10"/>
  <c r="S25" i="10"/>
  <c r="U25" i="10"/>
  <c r="T25" i="10"/>
  <c r="T14" i="10"/>
  <c r="U14" i="10"/>
  <c r="S14" i="10"/>
  <c r="S24" i="10"/>
  <c r="U24" i="10"/>
  <c r="T24" i="10"/>
  <c r="S19" i="10"/>
  <c r="U19" i="10"/>
  <c r="T19" i="10"/>
  <c r="S18" i="10"/>
  <c r="T18" i="10"/>
  <c r="U18" i="10"/>
  <c r="T20" i="10"/>
  <c r="S20" i="10"/>
  <c r="U20" i="10"/>
  <c r="P10" i="10"/>
  <c r="R10" i="10" s="1"/>
  <c r="U12" i="10"/>
  <c r="S12" i="10"/>
  <c r="T12" i="10"/>
  <c r="P11" i="10"/>
  <c r="R11" i="10" s="1"/>
  <c r="T11" i="10" s="1"/>
  <c r="P27" i="10"/>
  <c r="R27" i="10" s="1"/>
  <c r="S27" i="10" s="1"/>
  <c r="T28" i="10"/>
  <c r="U28" i="10"/>
  <c r="S28" i="10"/>
  <c r="T15" i="10"/>
  <c r="S15" i="10"/>
  <c r="U15" i="10"/>
  <c r="S7" i="10"/>
  <c r="T7" i="10"/>
  <c r="U7" i="10"/>
  <c r="T6" i="10"/>
  <c r="U6" i="10"/>
  <c r="S6" i="10"/>
  <c r="S30" i="10"/>
  <c r="T30" i="10"/>
  <c r="U30" i="10"/>
  <c r="U26" i="10"/>
  <c r="T26" i="10"/>
  <c r="S26" i="10"/>
  <c r="E7" i="11"/>
  <c r="G7" i="11" s="1"/>
  <c r="E6" i="11"/>
  <c r="G6" i="11" s="1"/>
  <c r="K8" i="20"/>
  <c r="C13" i="5"/>
  <c r="I15" i="11"/>
  <c r="C17" i="5"/>
  <c r="I19" i="11"/>
  <c r="K11" i="20"/>
  <c r="V7" i="10" l="1"/>
  <c r="V6" i="10"/>
  <c r="K16" i="16" s="1"/>
  <c r="V8" i="10"/>
  <c r="V9" i="10"/>
  <c r="D60" i="21"/>
  <c r="B62" i="21"/>
  <c r="S33" i="10"/>
  <c r="T33" i="10"/>
  <c r="I11" i="11"/>
  <c r="B50" i="21"/>
  <c r="B52" i="21" s="1"/>
  <c r="C9" i="5"/>
  <c r="K9" i="20"/>
  <c r="S32" i="10"/>
  <c r="T32" i="10"/>
  <c r="U32" i="10"/>
  <c r="G16" i="16"/>
  <c r="F40" i="16"/>
  <c r="G40" i="16" s="1"/>
  <c r="S10" i="10"/>
  <c r="T10" i="10"/>
  <c r="U10" i="10"/>
  <c r="U11" i="10"/>
  <c r="S11" i="10"/>
  <c r="U27" i="10"/>
  <c r="T27" i="10"/>
  <c r="C5" i="5"/>
  <c r="I7" i="11"/>
  <c r="K6" i="20"/>
  <c r="C4" i="5"/>
  <c r="K5" i="20"/>
  <c r="I6" i="11"/>
  <c r="V27" i="10" l="1"/>
  <c r="V40" i="10"/>
  <c r="V17" i="10"/>
  <c r="V16" i="10"/>
  <c r="V22" i="10"/>
  <c r="V36" i="10"/>
  <c r="V37" i="10"/>
  <c r="V13" i="10"/>
  <c r="V23" i="10"/>
  <c r="V21" i="10"/>
  <c r="V39" i="10"/>
  <c r="V34" i="10"/>
  <c r="V32" i="10"/>
  <c r="V11" i="10"/>
  <c r="V35" i="10"/>
  <c r="V38" i="10"/>
  <c r="V10" i="10"/>
  <c r="K20" i="16" s="1"/>
  <c r="V14" i="10"/>
  <c r="V31" i="10"/>
  <c r="V29" i="10"/>
  <c r="V25" i="10"/>
  <c r="V24" i="10"/>
  <c r="V19" i="10"/>
  <c r="V20" i="10"/>
  <c r="V12" i="10"/>
  <c r="V18" i="10"/>
  <c r="V28" i="10"/>
  <c r="V26" i="10"/>
  <c r="V15" i="10"/>
  <c r="V30" i="10"/>
  <c r="V33" i="10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4" i="3"/>
  <c r="W215" i="3"/>
  <c r="W216" i="3"/>
  <c r="W217" i="3"/>
  <c r="W218" i="3"/>
  <c r="W219" i="3"/>
  <c r="W221" i="3"/>
  <c r="W222" i="3"/>
  <c r="W224" i="3"/>
  <c r="W226" i="3"/>
  <c r="W227" i="3"/>
  <c r="W229" i="3"/>
  <c r="W231" i="3"/>
  <c r="W233" i="3"/>
  <c r="W235" i="3"/>
  <c r="W237" i="3"/>
  <c r="W239" i="3"/>
  <c r="W240" i="3"/>
  <c r="W242" i="3"/>
  <c r="W244" i="3"/>
  <c r="W246" i="3"/>
  <c r="W248" i="3"/>
  <c r="W250" i="3"/>
  <c r="W252" i="3"/>
  <c r="W254" i="3"/>
  <c r="W255" i="3"/>
  <c r="W257" i="3"/>
  <c r="W259" i="3"/>
  <c r="W261" i="3"/>
  <c r="W263" i="3"/>
  <c r="W266" i="3"/>
  <c r="W268" i="3"/>
  <c r="W270" i="3"/>
  <c r="W272" i="3"/>
  <c r="W274" i="3"/>
  <c r="W276" i="3"/>
  <c r="W277" i="3"/>
  <c r="W279" i="3"/>
  <c r="W281" i="3"/>
  <c r="W283" i="3"/>
  <c r="W285" i="3"/>
  <c r="W287" i="3"/>
  <c r="W289" i="3"/>
  <c r="W291" i="3"/>
  <c r="W293" i="3"/>
  <c r="W296" i="3"/>
  <c r="W298" i="3"/>
  <c r="W300" i="3"/>
  <c r="W303" i="3"/>
  <c r="W305" i="3"/>
  <c r="W307" i="3"/>
  <c r="W309" i="3"/>
  <c r="W311" i="3"/>
  <c r="W313" i="3"/>
  <c r="W315" i="3"/>
  <c r="W317" i="3"/>
  <c r="W319" i="3"/>
  <c r="W321" i="3"/>
  <c r="W323" i="3"/>
  <c r="W325" i="3"/>
  <c r="W327" i="3"/>
  <c r="W329" i="3"/>
  <c r="W332" i="3"/>
  <c r="W334" i="3"/>
  <c r="W336" i="3"/>
  <c r="W338" i="3"/>
  <c r="W339" i="3"/>
  <c r="W341" i="3"/>
  <c r="W343" i="3"/>
  <c r="W345" i="3"/>
  <c r="W347" i="3"/>
  <c r="W349" i="3"/>
  <c r="W352" i="3"/>
  <c r="W354" i="3"/>
  <c r="W356" i="3"/>
  <c r="W357" i="3"/>
  <c r="W359" i="3"/>
  <c r="W2" i="3"/>
  <c r="W213" i="3"/>
  <c r="W220" i="3"/>
  <c r="W223" i="3"/>
  <c r="W225" i="3"/>
  <c r="W228" i="3"/>
  <c r="W230" i="3"/>
  <c r="W232" i="3"/>
  <c r="W234" i="3"/>
  <c r="W236" i="3"/>
  <c r="W238" i="3"/>
  <c r="W241" i="3"/>
  <c r="W243" i="3"/>
  <c r="W245" i="3"/>
  <c r="W247" i="3"/>
  <c r="W249" i="3"/>
  <c r="W251" i="3"/>
  <c r="W253" i="3"/>
  <c r="W256" i="3"/>
  <c r="W258" i="3"/>
  <c r="W260" i="3"/>
  <c r="W262" i="3"/>
  <c r="W264" i="3"/>
  <c r="W265" i="3"/>
  <c r="W267" i="3"/>
  <c r="W269" i="3"/>
  <c r="W271" i="3"/>
  <c r="W273" i="3"/>
  <c r="W275" i="3"/>
  <c r="W278" i="3"/>
  <c r="W280" i="3"/>
  <c r="W282" i="3"/>
  <c r="W284" i="3"/>
  <c r="W286" i="3"/>
  <c r="W288" i="3"/>
  <c r="W290" i="3"/>
  <c r="W292" i="3"/>
  <c r="W294" i="3"/>
  <c r="W295" i="3"/>
  <c r="W297" i="3"/>
  <c r="W299" i="3"/>
  <c r="W301" i="3"/>
  <c r="W302" i="3"/>
  <c r="W304" i="3"/>
  <c r="W306" i="3"/>
  <c r="W308" i="3"/>
  <c r="W310" i="3"/>
  <c r="W312" i="3"/>
  <c r="W314" i="3"/>
  <c r="W316" i="3"/>
  <c r="W318" i="3"/>
  <c r="W320" i="3"/>
  <c r="W322" i="3"/>
  <c r="W324" i="3"/>
  <c r="W326" i="3"/>
  <c r="W328" i="3"/>
  <c r="W330" i="3"/>
  <c r="W331" i="3"/>
  <c r="W333" i="3"/>
  <c r="W335" i="3"/>
  <c r="W337" i="3"/>
  <c r="W340" i="3"/>
  <c r="W342" i="3"/>
  <c r="W344" i="3"/>
  <c r="W346" i="3"/>
  <c r="W348" i="3"/>
  <c r="W350" i="3"/>
  <c r="W351" i="3"/>
  <c r="W353" i="3"/>
  <c r="W355" i="3"/>
  <c r="W358" i="3"/>
  <c r="W360" i="3"/>
  <c r="W361" i="3"/>
  <c r="A12" i="16"/>
  <c r="C12" i="16"/>
  <c r="B12" i="16"/>
  <c r="K19" i="16"/>
  <c r="K17" i="16"/>
  <c r="K18" i="16"/>
  <c r="N16" i="16"/>
  <c r="M16" i="16"/>
  <c r="L16" i="16"/>
  <c r="O16" i="16"/>
  <c r="V245" i="2" l="1"/>
  <c r="Y242" i="3"/>
  <c r="X245" i="2" s="1"/>
  <c r="V247" i="2"/>
  <c r="Y244" i="3"/>
  <c r="X247" i="2" s="1"/>
  <c r="V249" i="2"/>
  <c r="L6" i="13" s="1"/>
  <c r="N6" i="13" s="1"/>
  <c r="Y246" i="3"/>
  <c r="X249" i="2" s="1"/>
  <c r="V251" i="2"/>
  <c r="Y248" i="3"/>
  <c r="X251" i="2" s="1"/>
  <c r="V253" i="2"/>
  <c r="Y250" i="3"/>
  <c r="X253" i="2" s="1"/>
  <c r="V255" i="2"/>
  <c r="Y252" i="3"/>
  <c r="X255" i="2" s="1"/>
  <c r="V257" i="2"/>
  <c r="Y254" i="3"/>
  <c r="X257" i="2" s="1"/>
  <c r="Y255" i="3"/>
  <c r="X258" i="2" s="1"/>
  <c r="V258" i="2"/>
  <c r="Y257" i="3"/>
  <c r="X260" i="2" s="1"/>
  <c r="V260" i="2"/>
  <c r="Y259" i="3"/>
  <c r="X262" i="2" s="1"/>
  <c r="V262" i="2"/>
  <c r="Y261" i="3"/>
  <c r="X264" i="2" s="1"/>
  <c r="V264" i="2"/>
  <c r="Y263" i="3"/>
  <c r="X266" i="2" s="1"/>
  <c r="V266" i="2"/>
  <c r="Y266" i="3"/>
  <c r="X269" i="2" s="1"/>
  <c r="V269" i="2"/>
  <c r="Y268" i="3"/>
  <c r="X271" i="2" s="1"/>
  <c r="V271" i="2"/>
  <c r="Y270" i="3"/>
  <c r="X273" i="2" s="1"/>
  <c r="V273" i="2"/>
  <c r="Y272" i="3"/>
  <c r="X275" i="2" s="1"/>
  <c r="V275" i="2"/>
  <c r="V277" i="2"/>
  <c r="Y274" i="3"/>
  <c r="X277" i="2" s="1"/>
  <c r="V279" i="2"/>
  <c r="Y276" i="3"/>
  <c r="X279" i="2" s="1"/>
  <c r="V280" i="2"/>
  <c r="Y277" i="3"/>
  <c r="X280" i="2" s="1"/>
  <c r="V282" i="2"/>
  <c r="Y279" i="3"/>
  <c r="X282" i="2" s="1"/>
  <c r="V284" i="2"/>
  <c r="Y281" i="3"/>
  <c r="X284" i="2" s="1"/>
  <c r="V286" i="2"/>
  <c r="Y283" i="3"/>
  <c r="X286" i="2" s="1"/>
  <c r="Y285" i="3"/>
  <c r="X288" i="2" s="1"/>
  <c r="V288" i="2"/>
  <c r="V290" i="2"/>
  <c r="Y287" i="3"/>
  <c r="X290" i="2" s="1"/>
  <c r="Y289" i="3"/>
  <c r="X292" i="2" s="1"/>
  <c r="V292" i="2"/>
  <c r="V294" i="2"/>
  <c r="Y291" i="3"/>
  <c r="X294" i="2" s="1"/>
  <c r="Y293" i="3"/>
  <c r="X296" i="2" s="1"/>
  <c r="V296" i="2"/>
  <c r="Y296" i="3"/>
  <c r="X299" i="2" s="1"/>
  <c r="V299" i="2"/>
  <c r="V301" i="2"/>
  <c r="Y298" i="3"/>
  <c r="X301" i="2" s="1"/>
  <c r="V303" i="2"/>
  <c r="Y300" i="3"/>
  <c r="X303" i="2" s="1"/>
  <c r="V306" i="2"/>
  <c r="Y303" i="3"/>
  <c r="X306" i="2" s="1"/>
  <c r="V308" i="2"/>
  <c r="Y305" i="3"/>
  <c r="X308" i="2" s="1"/>
  <c r="Y307" i="3"/>
  <c r="X310" i="2" s="1"/>
  <c r="V310" i="2"/>
  <c r="V312" i="2"/>
  <c r="Y309" i="3"/>
  <c r="X312" i="2" s="1"/>
  <c r="Y311" i="3"/>
  <c r="X314" i="2" s="1"/>
  <c r="V314" i="2"/>
  <c r="V316" i="2"/>
  <c r="Y313" i="3"/>
  <c r="X316" i="2" s="1"/>
  <c r="V318" i="2"/>
  <c r="Y315" i="3"/>
  <c r="X318" i="2" s="1"/>
  <c r="V320" i="2"/>
  <c r="Y317" i="3"/>
  <c r="X320" i="2" s="1"/>
  <c r="V322" i="2"/>
  <c r="Y319" i="3"/>
  <c r="X322" i="2" s="1"/>
  <c r="V324" i="2"/>
  <c r="Y321" i="3"/>
  <c r="X324" i="2" s="1"/>
  <c r="V326" i="2"/>
  <c r="Y323" i="3"/>
  <c r="X326" i="2" s="1"/>
  <c r="V328" i="2"/>
  <c r="Y325" i="3"/>
  <c r="X328" i="2" s="1"/>
  <c r="V330" i="2"/>
  <c r="Y327" i="3"/>
  <c r="X330" i="2" s="1"/>
  <c r="V332" i="2"/>
  <c r="Y329" i="3"/>
  <c r="X332" i="2" s="1"/>
  <c r="V335" i="2"/>
  <c r="Y332" i="3"/>
  <c r="X335" i="2" s="1"/>
  <c r="V337" i="2"/>
  <c r="Y334" i="3"/>
  <c r="X337" i="2" s="1"/>
  <c r="V339" i="2"/>
  <c r="Y336" i="3"/>
  <c r="X339" i="2" s="1"/>
  <c r="V341" i="2"/>
  <c r="Y338" i="3"/>
  <c r="X341" i="2" s="1"/>
  <c r="V342" i="2"/>
  <c r="Y339" i="3"/>
  <c r="X342" i="2" s="1"/>
  <c r="V344" i="2"/>
  <c r="Y341" i="3"/>
  <c r="X344" i="2" s="1"/>
  <c r="V346" i="2"/>
  <c r="Y343" i="3"/>
  <c r="X346" i="2" s="1"/>
  <c r="V348" i="2"/>
  <c r="Y345" i="3"/>
  <c r="X348" i="2" s="1"/>
  <c r="V350" i="2"/>
  <c r="Y347" i="3"/>
  <c r="X350" i="2" s="1"/>
  <c r="V352" i="2"/>
  <c r="C25" i="18" s="1"/>
  <c r="C26" i="18" s="1"/>
  <c r="Y349" i="3"/>
  <c r="X352" i="2" s="1"/>
  <c r="V355" i="2"/>
  <c r="Y352" i="3"/>
  <c r="X355" i="2" s="1"/>
  <c r="V357" i="2"/>
  <c r="Y354" i="3"/>
  <c r="X357" i="2" s="1"/>
  <c r="V359" i="2"/>
  <c r="Y356" i="3"/>
  <c r="X359" i="2" s="1"/>
  <c r="V360" i="2"/>
  <c r="Y357" i="3"/>
  <c r="X360" i="2" s="1"/>
  <c r="V362" i="2"/>
  <c r="Y359" i="3"/>
  <c r="X362" i="2" s="1"/>
  <c r="V246" i="2"/>
  <c r="Y243" i="3"/>
  <c r="X246" i="2" s="1"/>
  <c r="V248" i="2"/>
  <c r="Y245" i="3"/>
  <c r="X248" i="2" s="1"/>
  <c r="V250" i="2"/>
  <c r="Y247" i="3"/>
  <c r="X250" i="2" s="1"/>
  <c r="V252" i="2"/>
  <c r="Y249" i="3"/>
  <c r="X252" i="2" s="1"/>
  <c r="V254" i="2"/>
  <c r="Y251" i="3"/>
  <c r="X254" i="2" s="1"/>
  <c r="V256" i="2"/>
  <c r="Y253" i="3"/>
  <c r="X256" i="2" s="1"/>
  <c r="V259" i="2"/>
  <c r="Y256" i="3"/>
  <c r="X259" i="2" s="1"/>
  <c r="Y258" i="3"/>
  <c r="X261" i="2" s="1"/>
  <c r="V261" i="2"/>
  <c r="Y260" i="3"/>
  <c r="X263" i="2" s="1"/>
  <c r="V263" i="2"/>
  <c r="Y262" i="3"/>
  <c r="X265" i="2" s="1"/>
  <c r="V265" i="2"/>
  <c r="Y264" i="3"/>
  <c r="X267" i="2" s="1"/>
  <c r="V267" i="2"/>
  <c r="Y265" i="3"/>
  <c r="X268" i="2" s="1"/>
  <c r="V268" i="2"/>
  <c r="Y267" i="3"/>
  <c r="X270" i="2" s="1"/>
  <c r="V270" i="2"/>
  <c r="Y269" i="3"/>
  <c r="X272" i="2" s="1"/>
  <c r="V272" i="2"/>
  <c r="V274" i="2"/>
  <c r="Y271" i="3"/>
  <c r="X274" i="2" s="1"/>
  <c r="V276" i="2"/>
  <c r="Y273" i="3"/>
  <c r="X276" i="2" s="1"/>
  <c r="V278" i="2"/>
  <c r="Y275" i="3"/>
  <c r="X278" i="2" s="1"/>
  <c r="Y278" i="3"/>
  <c r="X281" i="2" s="1"/>
  <c r="V281" i="2"/>
  <c r="V283" i="2"/>
  <c r="Y280" i="3"/>
  <c r="X283" i="2" s="1"/>
  <c r="V285" i="2"/>
  <c r="Y282" i="3"/>
  <c r="X285" i="2" s="1"/>
  <c r="V287" i="2"/>
  <c r="Y284" i="3"/>
  <c r="X287" i="2" s="1"/>
  <c r="Y286" i="3"/>
  <c r="X289" i="2" s="1"/>
  <c r="V289" i="2"/>
  <c r="V291" i="2"/>
  <c r="Y288" i="3"/>
  <c r="X291" i="2" s="1"/>
  <c r="Y290" i="3"/>
  <c r="X293" i="2" s="1"/>
  <c r="V293" i="2"/>
  <c r="Y292" i="3"/>
  <c r="X295" i="2" s="1"/>
  <c r="V295" i="2"/>
  <c r="V297" i="2"/>
  <c r="Y294" i="3"/>
  <c r="X297" i="2" s="1"/>
  <c r="Y295" i="3"/>
  <c r="X298" i="2" s="1"/>
  <c r="V298" i="2"/>
  <c r="Y297" i="3"/>
  <c r="X300" i="2" s="1"/>
  <c r="V300" i="2"/>
  <c r="Y299" i="3"/>
  <c r="X302" i="2" s="1"/>
  <c r="V302" i="2"/>
  <c r="V304" i="2"/>
  <c r="Y301" i="3"/>
  <c r="X304" i="2" s="1"/>
  <c r="V305" i="2"/>
  <c r="Y302" i="3"/>
  <c r="X305" i="2" s="1"/>
  <c r="Y304" i="3"/>
  <c r="X307" i="2" s="1"/>
  <c r="V307" i="2"/>
  <c r="V309" i="2"/>
  <c r="Y306" i="3"/>
  <c r="X309" i="2" s="1"/>
  <c r="Y308" i="3"/>
  <c r="X311" i="2" s="1"/>
  <c r="V311" i="2"/>
  <c r="V313" i="2"/>
  <c r="Y310" i="3"/>
  <c r="X313" i="2" s="1"/>
  <c r="V315" i="2"/>
  <c r="Y312" i="3"/>
  <c r="X315" i="2" s="1"/>
  <c r="V317" i="2"/>
  <c r="Y314" i="3"/>
  <c r="X317" i="2" s="1"/>
  <c r="V319" i="2"/>
  <c r="Y316" i="3"/>
  <c r="X319" i="2" s="1"/>
  <c r="Y318" i="3"/>
  <c r="X321" i="2" s="1"/>
  <c r="V321" i="2"/>
  <c r="V323" i="2"/>
  <c r="Y320" i="3"/>
  <c r="X323" i="2" s="1"/>
  <c r="V325" i="2"/>
  <c r="Y322" i="3"/>
  <c r="X325" i="2" s="1"/>
  <c r="V327" i="2"/>
  <c r="Y324" i="3"/>
  <c r="X327" i="2" s="1"/>
  <c r="V329" i="2"/>
  <c r="Y326" i="3"/>
  <c r="X329" i="2" s="1"/>
  <c r="V331" i="2"/>
  <c r="Y328" i="3"/>
  <c r="X331" i="2" s="1"/>
  <c r="V333" i="2"/>
  <c r="Y330" i="3"/>
  <c r="X333" i="2" s="1"/>
  <c r="V334" i="2"/>
  <c r="Y331" i="3"/>
  <c r="X334" i="2" s="1"/>
  <c r="V336" i="2"/>
  <c r="Y333" i="3"/>
  <c r="X336" i="2" s="1"/>
  <c r="V338" i="2"/>
  <c r="Y335" i="3"/>
  <c r="X338" i="2" s="1"/>
  <c r="V340" i="2"/>
  <c r="Y337" i="3"/>
  <c r="X340" i="2" s="1"/>
  <c r="V343" i="2"/>
  <c r="Y340" i="3"/>
  <c r="X343" i="2" s="1"/>
  <c r="V345" i="2"/>
  <c r="Y342" i="3"/>
  <c r="X345" i="2" s="1"/>
  <c r="V347" i="2"/>
  <c r="Y344" i="3"/>
  <c r="X347" i="2" s="1"/>
  <c r="V349" i="2"/>
  <c r="Y346" i="3"/>
  <c r="X349" i="2" s="1"/>
  <c r="V351" i="2"/>
  <c r="Y348" i="3"/>
  <c r="X351" i="2" s="1"/>
  <c r="V353" i="2"/>
  <c r="Y350" i="3"/>
  <c r="X353" i="2" s="1"/>
  <c r="V354" i="2"/>
  <c r="Y351" i="3"/>
  <c r="X354" i="2" s="1"/>
  <c r="V356" i="2"/>
  <c r="Y353" i="3"/>
  <c r="X356" i="2" s="1"/>
  <c r="V358" i="2"/>
  <c r="Y355" i="3"/>
  <c r="X358" i="2" s="1"/>
  <c r="V361" i="2"/>
  <c r="Y358" i="3"/>
  <c r="X361" i="2" s="1"/>
  <c r="V363" i="2"/>
  <c r="Y360" i="3"/>
  <c r="X363" i="2" s="1"/>
  <c r="V364" i="2"/>
  <c r="Y361" i="3"/>
  <c r="X364" i="2" s="1"/>
  <c r="K30" i="16"/>
  <c r="K21" i="16"/>
  <c r="K25" i="16"/>
  <c r="N25" i="16" s="1"/>
  <c r="K27" i="16"/>
  <c r="K22" i="16"/>
  <c r="N22" i="16" s="1"/>
  <c r="K24" i="16"/>
  <c r="K29" i="16"/>
  <c r="K26" i="16"/>
  <c r="K23" i="16"/>
  <c r="K28" i="16"/>
  <c r="N19" i="16"/>
  <c r="O19" i="16"/>
  <c r="L19" i="16"/>
  <c r="M19" i="16"/>
  <c r="M17" i="16"/>
  <c r="N17" i="16"/>
  <c r="L17" i="16"/>
  <c r="O17" i="16"/>
  <c r="N18" i="16"/>
  <c r="M18" i="16"/>
  <c r="L18" i="16"/>
  <c r="O18" i="16"/>
  <c r="M20" i="16"/>
  <c r="O20" i="16"/>
  <c r="L20" i="16"/>
  <c r="N20" i="16"/>
  <c r="Y238" i="3"/>
  <c r="X241" i="2" s="1"/>
  <c r="V241" i="2"/>
  <c r="Y35" i="3"/>
  <c r="X38" i="2" s="1"/>
  <c r="V38" i="2"/>
  <c r="V16" i="2"/>
  <c r="Y13" i="3"/>
  <c r="X16" i="2" s="1"/>
  <c r="V95" i="2"/>
  <c r="Y92" i="3"/>
  <c r="X95" i="2" s="1"/>
  <c r="Y87" i="3"/>
  <c r="X90" i="2" s="1"/>
  <c r="V90" i="2"/>
  <c r="Y112" i="3"/>
  <c r="X115" i="2" s="1"/>
  <c r="V115" i="2"/>
  <c r="V201" i="2"/>
  <c r="Y198" i="3"/>
  <c r="X201" i="2" s="1"/>
  <c r="V232" i="2"/>
  <c r="Y229" i="3"/>
  <c r="X232" i="2" s="1"/>
  <c r="Y185" i="3"/>
  <c r="X188" i="2" s="1"/>
  <c r="V188" i="2"/>
  <c r="Y232" i="3"/>
  <c r="X235" i="2" s="1"/>
  <c r="V235" i="2"/>
  <c r="Y206" i="3"/>
  <c r="X209" i="2" s="1"/>
  <c r="V209" i="2"/>
  <c r="Y172" i="3"/>
  <c r="X175" i="2" s="1"/>
  <c r="V175" i="2"/>
  <c r="Y211" i="3"/>
  <c r="X214" i="2" s="1"/>
  <c r="V214" i="2"/>
  <c r="V127" i="2"/>
  <c r="Y124" i="3"/>
  <c r="X127" i="2" s="1"/>
  <c r="V43" i="2"/>
  <c r="Y40" i="3"/>
  <c r="X43" i="2" s="1"/>
  <c r="Y207" i="3"/>
  <c r="X210" i="2" s="1"/>
  <c r="V210" i="2"/>
  <c r="V28" i="2"/>
  <c r="Y25" i="3"/>
  <c r="X28" i="2" s="1"/>
  <c r="Y44" i="3"/>
  <c r="X47" i="2" s="1"/>
  <c r="V47" i="2"/>
  <c r="V112" i="2"/>
  <c r="Y109" i="3"/>
  <c r="X112" i="2" s="1"/>
  <c r="V135" i="2"/>
  <c r="Y132" i="3"/>
  <c r="X135" i="2" s="1"/>
  <c r="Y69" i="3"/>
  <c r="X72" i="2" s="1"/>
  <c r="V72" i="2"/>
  <c r="Y217" i="3"/>
  <c r="X220" i="2" s="1"/>
  <c r="V220" i="2"/>
  <c r="Y212" i="3"/>
  <c r="X215" i="2" s="1"/>
  <c r="V215" i="2"/>
  <c r="Y203" i="3"/>
  <c r="X206" i="2" s="1"/>
  <c r="V206" i="2"/>
  <c r="Y201" i="3"/>
  <c r="X204" i="2" s="1"/>
  <c r="V204" i="2"/>
  <c r="Y155" i="3"/>
  <c r="X158" i="2" s="1"/>
  <c r="V158" i="2"/>
  <c r="V139" i="2"/>
  <c r="Y136" i="3"/>
  <c r="X139" i="2" s="1"/>
  <c r="Y137" i="3"/>
  <c r="X140" i="2" s="1"/>
  <c r="V140" i="2"/>
  <c r="Y91" i="3"/>
  <c r="X94" i="2" s="1"/>
  <c r="V94" i="2"/>
  <c r="V26" i="2"/>
  <c r="Y23" i="3"/>
  <c r="X26" i="2" s="1"/>
  <c r="V108" i="2"/>
  <c r="Y105" i="3"/>
  <c r="X108" i="2" s="1"/>
  <c r="V164" i="2"/>
  <c r="Y161" i="3"/>
  <c r="X164" i="2" s="1"/>
  <c r="Y32" i="3"/>
  <c r="X35" i="2" s="1"/>
  <c r="V35" i="2"/>
  <c r="Y76" i="3"/>
  <c r="X79" i="2" s="1"/>
  <c r="V79" i="2"/>
  <c r="V182" i="2"/>
  <c r="Y179" i="3"/>
  <c r="X182" i="2" s="1"/>
  <c r="V37" i="2"/>
  <c r="Y34" i="3"/>
  <c r="X37" i="2" s="1"/>
  <c r="V52" i="2"/>
  <c r="Y49" i="3"/>
  <c r="X52" i="2" s="1"/>
  <c r="Y36" i="3"/>
  <c r="X39" i="2" s="1"/>
  <c r="V39" i="2"/>
  <c r="Y235" i="3"/>
  <c r="X238" i="2" s="1"/>
  <c r="V238" i="2"/>
  <c r="V195" i="2"/>
  <c r="Y192" i="3"/>
  <c r="X195" i="2" s="1"/>
  <c r="Y30" i="3"/>
  <c r="X33" i="2" s="1"/>
  <c r="V33" i="2"/>
  <c r="V186" i="2"/>
  <c r="Y183" i="3"/>
  <c r="X186" i="2" s="1"/>
  <c r="V180" i="2"/>
  <c r="Y177" i="3"/>
  <c r="X180" i="2" s="1"/>
  <c r="V49" i="2"/>
  <c r="Y46" i="3"/>
  <c r="X49" i="2" s="1"/>
  <c r="V126" i="2"/>
  <c r="Y123" i="3"/>
  <c r="X126" i="2" s="1"/>
  <c r="Y83" i="3"/>
  <c r="X86" i="2" s="1"/>
  <c r="V86" i="2"/>
  <c r="Y233" i="3"/>
  <c r="X236" i="2" s="1"/>
  <c r="V236" i="2"/>
  <c r="Y84" i="3"/>
  <c r="X87" i="2" s="1"/>
  <c r="V87" i="2"/>
  <c r="Y157" i="3"/>
  <c r="X160" i="2" s="1"/>
  <c r="V160" i="2"/>
  <c r="V10" i="2"/>
  <c r="Y7" i="3"/>
  <c r="X10" i="2" s="1"/>
  <c r="V106" i="2"/>
  <c r="Y103" i="3"/>
  <c r="X106" i="2" s="1"/>
  <c r="Y225" i="3"/>
  <c r="X228" i="2" s="1"/>
  <c r="V228" i="2"/>
  <c r="Y53" i="3"/>
  <c r="X56" i="2" s="1"/>
  <c r="V56" i="2"/>
  <c r="Y56" i="3"/>
  <c r="X59" i="2" s="1"/>
  <c r="V59" i="2"/>
  <c r="Y90" i="3"/>
  <c r="X93" i="2" s="1"/>
  <c r="V93" i="2"/>
  <c r="Y141" i="3"/>
  <c r="X144" i="2" s="1"/>
  <c r="V144" i="2"/>
  <c r="Y19" i="3"/>
  <c r="X22" i="2" s="1"/>
  <c r="V22" i="2"/>
  <c r="V163" i="2"/>
  <c r="Y160" i="3"/>
  <c r="X163" i="2" s="1"/>
  <c r="Y240" i="3"/>
  <c r="X243" i="2" s="1"/>
  <c r="V243" i="2"/>
  <c r="V178" i="2"/>
  <c r="Y175" i="3"/>
  <c r="X178" i="2" s="1"/>
  <c r="Y125" i="3"/>
  <c r="X128" i="2" s="1"/>
  <c r="V128" i="2"/>
  <c r="V202" i="2"/>
  <c r="Y199" i="3"/>
  <c r="X202" i="2" s="1"/>
  <c r="Y122" i="3"/>
  <c r="X125" i="2" s="1"/>
  <c r="V125" i="2"/>
  <c r="Y176" i="3"/>
  <c r="X179" i="2" s="1"/>
  <c r="V179" i="2"/>
  <c r="V7" i="2"/>
  <c r="Y4" i="3"/>
  <c r="X7" i="2" s="1"/>
  <c r="Y58" i="3"/>
  <c r="X61" i="2" s="1"/>
  <c r="V61" i="2"/>
  <c r="V169" i="2"/>
  <c r="Y166" i="3"/>
  <c r="X169" i="2" s="1"/>
  <c r="Y45" i="3"/>
  <c r="X48" i="2" s="1"/>
  <c r="V48" i="2"/>
  <c r="V197" i="2"/>
  <c r="Y194" i="3"/>
  <c r="X197" i="2" s="1"/>
  <c r="Y37" i="3"/>
  <c r="X40" i="2" s="1"/>
  <c r="V40" i="2"/>
  <c r="Y222" i="3"/>
  <c r="X225" i="2" s="1"/>
  <c r="V225" i="2"/>
  <c r="Y106" i="3"/>
  <c r="X109" i="2" s="1"/>
  <c r="V109" i="2"/>
  <c r="Y205" i="3"/>
  <c r="X208" i="2" s="1"/>
  <c r="V208" i="2"/>
  <c r="V161" i="2"/>
  <c r="Y158" i="3"/>
  <c r="X161" i="2" s="1"/>
  <c r="Y134" i="3"/>
  <c r="X137" i="2" s="1"/>
  <c r="V137" i="2"/>
  <c r="Y121" i="3"/>
  <c r="X124" i="2" s="1"/>
  <c r="V124" i="2"/>
  <c r="V130" i="2"/>
  <c r="Y127" i="3"/>
  <c r="X130" i="2" s="1"/>
  <c r="V145" i="2"/>
  <c r="Y142" i="3"/>
  <c r="X145" i="2" s="1"/>
  <c r="V99" i="2"/>
  <c r="Y96" i="3"/>
  <c r="X99" i="2" s="1"/>
  <c r="Y230" i="3"/>
  <c r="X233" i="2" s="1"/>
  <c r="V233" i="2"/>
  <c r="Y128" i="3"/>
  <c r="X131" i="2" s="1"/>
  <c r="V131" i="2"/>
  <c r="Y27" i="3"/>
  <c r="X30" i="2" s="1"/>
  <c r="V30" i="2"/>
  <c r="V5" i="2"/>
  <c r="Y2" i="3"/>
  <c r="X5" i="2" s="1"/>
  <c r="V98" i="2"/>
  <c r="Y95" i="3"/>
  <c r="X98" i="2" s="1"/>
  <c r="V240" i="2"/>
  <c r="Y237" i="3"/>
  <c r="X240" i="2" s="1"/>
  <c r="V219" i="2"/>
  <c r="Y216" i="3"/>
  <c r="X219" i="2" s="1"/>
  <c r="Y41" i="3"/>
  <c r="X44" i="2" s="1"/>
  <c r="V44" i="2"/>
  <c r="Y186" i="3"/>
  <c r="X189" i="2" s="1"/>
  <c r="V189" i="2"/>
  <c r="Y101" i="3"/>
  <c r="X104" i="2" s="1"/>
  <c r="V104" i="2"/>
  <c r="Y57" i="3"/>
  <c r="X60" i="2" s="1"/>
  <c r="V60" i="2"/>
  <c r="Y15" i="3"/>
  <c r="X18" i="2" s="1"/>
  <c r="V18" i="2"/>
  <c r="V184" i="2"/>
  <c r="Y181" i="3"/>
  <c r="X184" i="2" s="1"/>
  <c r="Y85" i="3"/>
  <c r="X88" i="2" s="1"/>
  <c r="V88" i="2"/>
  <c r="V217" i="2"/>
  <c r="B25" i="18" s="1"/>
  <c r="B26" i="18" s="1"/>
  <c r="Y214" i="3"/>
  <c r="X217" i="2" s="1"/>
  <c r="V76" i="2"/>
  <c r="Y73" i="3"/>
  <c r="X76" i="2" s="1"/>
  <c r="Y147" i="3"/>
  <c r="X150" i="2" s="1"/>
  <c r="V150" i="2"/>
  <c r="V13" i="2"/>
  <c r="Y10" i="3"/>
  <c r="X13" i="2" s="1"/>
  <c r="V148" i="2"/>
  <c r="Y145" i="3"/>
  <c r="X148" i="2" s="1"/>
  <c r="V151" i="2"/>
  <c r="Y148" i="3"/>
  <c r="X151" i="2" s="1"/>
  <c r="V65" i="2"/>
  <c r="Y62" i="3"/>
  <c r="X65" i="2" s="1"/>
  <c r="V97" i="2"/>
  <c r="Y94" i="3"/>
  <c r="X97" i="2" s="1"/>
  <c r="V75" i="2"/>
  <c r="Y72" i="3"/>
  <c r="X75" i="2" s="1"/>
  <c r="V70" i="2"/>
  <c r="Y67" i="3"/>
  <c r="X70" i="2" s="1"/>
  <c r="Y184" i="3"/>
  <c r="X187" i="2" s="1"/>
  <c r="V187" i="2"/>
  <c r="Y88" i="3"/>
  <c r="X91" i="2" s="1"/>
  <c r="V91" i="2"/>
  <c r="V207" i="2"/>
  <c r="Y204" i="3"/>
  <c r="X207" i="2" s="1"/>
  <c r="Y196" i="3"/>
  <c r="X199" i="2" s="1"/>
  <c r="V199" i="2"/>
  <c r="V171" i="2"/>
  <c r="Y168" i="3"/>
  <c r="X171" i="2" s="1"/>
  <c r="Y38" i="3"/>
  <c r="X41" i="2" s="1"/>
  <c r="V41" i="2"/>
  <c r="Y170" i="3"/>
  <c r="X173" i="2" s="1"/>
  <c r="V173" i="2"/>
  <c r="V19" i="2"/>
  <c r="Y16" i="3"/>
  <c r="X19" i="2" s="1"/>
  <c r="V96" i="2"/>
  <c r="Y93" i="3"/>
  <c r="X96" i="2" s="1"/>
  <c r="Y61" i="3"/>
  <c r="X64" i="2" s="1"/>
  <c r="V64" i="2"/>
  <c r="V203" i="2"/>
  <c r="Y200" i="3"/>
  <c r="X203" i="2" s="1"/>
  <c r="V218" i="2"/>
  <c r="Y215" i="3"/>
  <c r="X218" i="2" s="1"/>
  <c r="V82" i="2"/>
  <c r="Y79" i="3"/>
  <c r="X82" i="2" s="1"/>
  <c r="Y3" i="3"/>
  <c r="X6" i="2" s="1"/>
  <c r="V6" i="2"/>
  <c r="Y43" i="3"/>
  <c r="X46" i="2" s="1"/>
  <c r="V46" i="2"/>
  <c r="Y115" i="3"/>
  <c r="X118" i="2" s="1"/>
  <c r="V118" i="2"/>
  <c r="Y197" i="3"/>
  <c r="X200" i="2" s="1"/>
  <c r="V200" i="2"/>
  <c r="V111" i="2"/>
  <c r="Y108" i="3"/>
  <c r="X111" i="2" s="1"/>
  <c r="Y47" i="3"/>
  <c r="X50" i="2" s="1"/>
  <c r="V50" i="2"/>
  <c r="Y139" i="3"/>
  <c r="X142" i="2" s="1"/>
  <c r="V142" i="2"/>
  <c r="V133" i="2"/>
  <c r="Y130" i="3"/>
  <c r="X133" i="2" s="1"/>
  <c r="V198" i="2"/>
  <c r="Y195" i="3"/>
  <c r="X198" i="2" s="1"/>
  <c r="Y227" i="3"/>
  <c r="X230" i="2" s="1"/>
  <c r="V230" i="2"/>
  <c r="V29" i="2"/>
  <c r="Y26" i="3"/>
  <c r="X29" i="2" s="1"/>
  <c r="V42" i="2"/>
  <c r="Y39" i="3"/>
  <c r="X42" i="2" s="1"/>
  <c r="Y77" i="3"/>
  <c r="X80" i="2" s="1"/>
  <c r="V80" i="2"/>
  <c r="Y131" i="3"/>
  <c r="X134" i="2" s="1"/>
  <c r="V134" i="2"/>
  <c r="Y129" i="3"/>
  <c r="X132" i="2" s="1"/>
  <c r="V132" i="2"/>
  <c r="V229" i="2"/>
  <c r="Y226" i="3"/>
  <c r="X229" i="2" s="1"/>
  <c r="Y29" i="3"/>
  <c r="X32" i="2" s="1"/>
  <c r="V32" i="2"/>
  <c r="Y171" i="3"/>
  <c r="X174" i="2" s="1"/>
  <c r="V174" i="2"/>
  <c r="Y234" i="3"/>
  <c r="X237" i="2" s="1"/>
  <c r="V237" i="2"/>
  <c r="V143" i="2"/>
  <c r="Y140" i="3"/>
  <c r="X143" i="2" s="1"/>
  <c r="V20" i="2"/>
  <c r="Y17" i="3"/>
  <c r="X20" i="2" s="1"/>
  <c r="Y111" i="3"/>
  <c r="X114" i="2" s="1"/>
  <c r="V114" i="2"/>
  <c r="Y14" i="3"/>
  <c r="X17" i="2" s="1"/>
  <c r="V17" i="2"/>
  <c r="V101" i="2"/>
  <c r="Y98" i="3"/>
  <c r="X101" i="2" s="1"/>
  <c r="V156" i="2"/>
  <c r="Y153" i="3"/>
  <c r="X156" i="2" s="1"/>
  <c r="V177" i="2"/>
  <c r="Y174" i="3"/>
  <c r="X177" i="2" s="1"/>
  <c r="V84" i="2"/>
  <c r="Y81" i="3"/>
  <c r="X84" i="2" s="1"/>
  <c r="V154" i="2"/>
  <c r="Y151" i="3"/>
  <c r="X154" i="2" s="1"/>
  <c r="Y236" i="3"/>
  <c r="X239" i="2" s="1"/>
  <c r="V239" i="2"/>
  <c r="Y24" i="3"/>
  <c r="X27" i="2" s="1"/>
  <c r="V27" i="2"/>
  <c r="V36" i="2"/>
  <c r="Y33" i="3"/>
  <c r="X36" i="2" s="1"/>
  <c r="Y159" i="3"/>
  <c r="X162" i="2" s="1"/>
  <c r="V162" i="2"/>
  <c r="Y20" i="3"/>
  <c r="X23" i="2" s="1"/>
  <c r="V23" i="2"/>
  <c r="Y110" i="3"/>
  <c r="X113" i="2" s="1"/>
  <c r="V113" i="2"/>
  <c r="Y120" i="3"/>
  <c r="X123" i="2" s="1"/>
  <c r="V123" i="2"/>
  <c r="Y104" i="3"/>
  <c r="X107" i="2" s="1"/>
  <c r="V107" i="2"/>
  <c r="V116" i="2"/>
  <c r="Y113" i="3"/>
  <c r="X116" i="2" s="1"/>
  <c r="Y189" i="3"/>
  <c r="X192" i="2" s="1"/>
  <c r="V192" i="2"/>
  <c r="V102" i="2"/>
  <c r="Y99" i="3"/>
  <c r="X102" i="2" s="1"/>
  <c r="V51" i="2"/>
  <c r="Y48" i="3"/>
  <c r="X51" i="2" s="1"/>
  <c r="Y193" i="3"/>
  <c r="X196" i="2" s="1"/>
  <c r="V196" i="2"/>
  <c r="Y60" i="3"/>
  <c r="X63" i="2" s="1"/>
  <c r="V63" i="2"/>
  <c r="V226" i="2"/>
  <c r="Y223" i="3"/>
  <c r="X226" i="2" s="1"/>
  <c r="V24" i="2"/>
  <c r="Y21" i="3"/>
  <c r="X24" i="2" s="1"/>
  <c r="Y65" i="3"/>
  <c r="X68" i="2" s="1"/>
  <c r="V68" i="2"/>
  <c r="Y117" i="3"/>
  <c r="X120" i="2" s="1"/>
  <c r="V120" i="2"/>
  <c r="Y188" i="3"/>
  <c r="X191" i="2" s="1"/>
  <c r="V191" i="2"/>
  <c r="Y119" i="3"/>
  <c r="X122" i="2" s="1"/>
  <c r="V122" i="2"/>
  <c r="V146" i="2"/>
  <c r="Y143" i="3"/>
  <c r="X146" i="2" s="1"/>
  <c r="Y180" i="3"/>
  <c r="X183" i="2" s="1"/>
  <c r="V183" i="2"/>
  <c r="Y182" i="3"/>
  <c r="X185" i="2" s="1"/>
  <c r="V185" i="2"/>
  <c r="V153" i="2"/>
  <c r="Y150" i="3"/>
  <c r="X153" i="2" s="1"/>
  <c r="V166" i="2"/>
  <c r="Y163" i="3"/>
  <c r="X166" i="2" s="1"/>
  <c r="Y78" i="3"/>
  <c r="X81" i="2" s="1"/>
  <c r="V81" i="2"/>
  <c r="Y144" i="3"/>
  <c r="X147" i="2" s="1"/>
  <c r="V147" i="2"/>
  <c r="V212" i="2"/>
  <c r="Y209" i="3"/>
  <c r="X212" i="2" s="1"/>
  <c r="Y152" i="3"/>
  <c r="X155" i="2" s="1"/>
  <c r="V155" i="2"/>
  <c r="Y135" i="3"/>
  <c r="X138" i="2" s="1"/>
  <c r="V138" i="2"/>
  <c r="Y70" i="3"/>
  <c r="X73" i="2" s="1"/>
  <c r="V73" i="2"/>
  <c r="V172" i="2"/>
  <c r="Y169" i="3"/>
  <c r="X172" i="2" s="1"/>
  <c r="V244" i="2"/>
  <c r="Y241" i="3"/>
  <c r="X244" i="2" s="1"/>
  <c r="V221" i="2"/>
  <c r="Y218" i="3"/>
  <c r="X221" i="2" s="1"/>
  <c r="Y75" i="3"/>
  <c r="X78" i="2" s="1"/>
  <c r="V78" i="2"/>
  <c r="V77" i="2"/>
  <c r="Y74" i="3"/>
  <c r="X77" i="2" s="1"/>
  <c r="V54" i="2"/>
  <c r="Y51" i="3"/>
  <c r="X54" i="2" s="1"/>
  <c r="Y167" i="3"/>
  <c r="X170" i="2" s="1"/>
  <c r="V170" i="2"/>
  <c r="Y187" i="3"/>
  <c r="X190" i="2" s="1"/>
  <c r="V190" i="2"/>
  <c r="V157" i="2"/>
  <c r="Y154" i="3"/>
  <c r="X157" i="2" s="1"/>
  <c r="Y86" i="3"/>
  <c r="X89" i="2" s="1"/>
  <c r="V89" i="2"/>
  <c r="Y97" i="3"/>
  <c r="X100" i="2" s="1"/>
  <c r="V100" i="2"/>
  <c r="Y42" i="3"/>
  <c r="X45" i="2" s="1"/>
  <c r="V45" i="2"/>
  <c r="V213" i="2"/>
  <c r="Y210" i="3"/>
  <c r="X213" i="2" s="1"/>
  <c r="Y228" i="3"/>
  <c r="X231" i="2" s="1"/>
  <c r="V231" i="2"/>
  <c r="Y8" i="3"/>
  <c r="X11" i="2" s="1"/>
  <c r="V11" i="2"/>
  <c r="V53" i="2"/>
  <c r="Y50" i="3"/>
  <c r="X53" i="2" s="1"/>
  <c r="V15" i="2"/>
  <c r="Y12" i="3"/>
  <c r="X15" i="2" s="1"/>
  <c r="Y100" i="3"/>
  <c r="X103" i="2" s="1"/>
  <c r="V103" i="2"/>
  <c r="V74" i="2"/>
  <c r="Y71" i="3"/>
  <c r="X74" i="2" s="1"/>
  <c r="V194" i="2"/>
  <c r="Y191" i="3"/>
  <c r="X194" i="2" s="1"/>
  <c r="V176" i="2"/>
  <c r="Y173" i="3"/>
  <c r="X176" i="2" s="1"/>
  <c r="Y221" i="3"/>
  <c r="X224" i="2" s="1"/>
  <c r="V224" i="2"/>
  <c r="Y9" i="3"/>
  <c r="X12" i="2" s="1"/>
  <c r="V12" i="2"/>
  <c r="V66" i="2"/>
  <c r="Y63" i="3"/>
  <c r="X66" i="2" s="1"/>
  <c r="Y239" i="3"/>
  <c r="X242" i="2" s="1"/>
  <c r="V242" i="2"/>
  <c r="V9" i="2"/>
  <c r="Y6" i="3"/>
  <c r="X9" i="2" s="1"/>
  <c r="Y146" i="3"/>
  <c r="X149" i="2" s="1"/>
  <c r="V149" i="2"/>
  <c r="V121" i="2"/>
  <c r="Y118" i="3"/>
  <c r="X121" i="2" s="1"/>
  <c r="Y178" i="3"/>
  <c r="X181" i="2" s="1"/>
  <c r="V181" i="2"/>
  <c r="Y126" i="3"/>
  <c r="X129" i="2" s="1"/>
  <c r="V129" i="2"/>
  <c r="Y156" i="3"/>
  <c r="X159" i="2" s="1"/>
  <c r="V159" i="2"/>
  <c r="Y138" i="3"/>
  <c r="X141" i="2" s="1"/>
  <c r="V141" i="2"/>
  <c r="V8" i="2"/>
  <c r="Y5" i="3"/>
  <c r="X8" i="2" s="1"/>
  <c r="V205" i="2"/>
  <c r="Y202" i="3"/>
  <c r="X205" i="2" s="1"/>
  <c r="Y116" i="3"/>
  <c r="X119" i="2" s="1"/>
  <c r="V119" i="2"/>
  <c r="Y54" i="3"/>
  <c r="X57" i="2" s="1"/>
  <c r="V57" i="2"/>
  <c r="V105" i="2"/>
  <c r="Y102" i="3"/>
  <c r="X105" i="2" s="1"/>
  <c r="Y64" i="3"/>
  <c r="X67" i="2" s="1"/>
  <c r="V67" i="2"/>
  <c r="V152" i="2"/>
  <c r="Y149" i="3"/>
  <c r="X152" i="2" s="1"/>
  <c r="Y18" i="3"/>
  <c r="X21" i="2" s="1"/>
  <c r="V21" i="2"/>
  <c r="V14" i="2"/>
  <c r="Y11" i="3"/>
  <c r="X14" i="2" s="1"/>
  <c r="V168" i="2"/>
  <c r="Y165" i="3"/>
  <c r="X168" i="2" s="1"/>
  <c r="V193" i="2"/>
  <c r="Y190" i="3"/>
  <c r="X193" i="2" s="1"/>
  <c r="Y22" i="3"/>
  <c r="X25" i="2" s="1"/>
  <c r="V25" i="2"/>
  <c r="Y68" i="3"/>
  <c r="X71" i="2" s="1"/>
  <c r="V71" i="2"/>
  <c r="V117" i="2"/>
  <c r="Y114" i="3"/>
  <c r="X117" i="2" s="1"/>
  <c r="Y82" i="3"/>
  <c r="X85" i="2" s="1"/>
  <c r="V85" i="2"/>
  <c r="Y231" i="3"/>
  <c r="X234" i="2" s="1"/>
  <c r="V234" i="2"/>
  <c r="Y213" i="3"/>
  <c r="X216" i="2" s="1"/>
  <c r="V216" i="2"/>
  <c r="V227" i="2"/>
  <c r="Y224" i="3"/>
  <c r="X227" i="2" s="1"/>
  <c r="Y133" i="3"/>
  <c r="X136" i="2" s="1"/>
  <c r="V136" i="2"/>
  <c r="V55" i="2"/>
  <c r="Y52" i="3"/>
  <c r="X55" i="2" s="1"/>
  <c r="V167" i="2"/>
  <c r="Y164" i="3"/>
  <c r="X167" i="2" s="1"/>
  <c r="V165" i="2"/>
  <c r="Y162" i="3"/>
  <c r="X165" i="2" s="1"/>
  <c r="Y55" i="3"/>
  <c r="X58" i="2" s="1"/>
  <c r="V58" i="2"/>
  <c r="V34" i="2"/>
  <c r="Y31" i="3"/>
  <c r="X34" i="2" s="1"/>
  <c r="Y107" i="3"/>
  <c r="X110" i="2" s="1"/>
  <c r="V110" i="2"/>
  <c r="Y66" i="3"/>
  <c r="X69" i="2" s="1"/>
  <c r="V69" i="2"/>
  <c r="Y89" i="3"/>
  <c r="X92" i="2" s="1"/>
  <c r="V92" i="2"/>
  <c r="Y208" i="3"/>
  <c r="X211" i="2" s="1"/>
  <c r="V211" i="2"/>
  <c r="Y220" i="3"/>
  <c r="X223" i="2" s="1"/>
  <c r="V223" i="2"/>
  <c r="Y59" i="3"/>
  <c r="X62" i="2" s="1"/>
  <c r="V62" i="2"/>
  <c r="V222" i="2"/>
  <c r="D25" i="18" s="1"/>
  <c r="D26" i="18" s="1"/>
  <c r="Y219" i="3"/>
  <c r="X222" i="2" s="1"/>
  <c r="V83" i="2"/>
  <c r="Y80" i="3"/>
  <c r="X83" i="2" s="1"/>
  <c r="Y28" i="3"/>
  <c r="X31" i="2" s="1"/>
  <c r="V31" i="2"/>
  <c r="L30" i="16" l="1"/>
  <c r="N30" i="16"/>
  <c r="O30" i="16"/>
  <c r="M30" i="16"/>
  <c r="M25" i="16"/>
  <c r="L25" i="16"/>
  <c r="O25" i="16"/>
  <c r="L27" i="16"/>
  <c r="M27" i="16"/>
  <c r="C32" i="1"/>
  <c r="C34" i="1" s="1"/>
  <c r="C35" i="1"/>
  <c r="C36" i="1" s="1"/>
  <c r="N27" i="16"/>
  <c r="O27" i="16"/>
  <c r="M21" i="16"/>
  <c r="N21" i="16"/>
  <c r="O21" i="16"/>
  <c r="L21" i="16"/>
  <c r="O22" i="16"/>
  <c r="M22" i="16"/>
  <c r="L22" i="16"/>
  <c r="N24" i="16"/>
  <c r="O24" i="16"/>
  <c r="M24" i="16"/>
  <c r="L24" i="16"/>
  <c r="N29" i="16"/>
  <c r="M29" i="16"/>
  <c r="L29" i="16"/>
  <c r="O29" i="16"/>
  <c r="N26" i="16"/>
  <c r="O26" i="16"/>
  <c r="M26" i="16"/>
  <c r="L26" i="16"/>
  <c r="N23" i="16"/>
  <c r="L23" i="16"/>
  <c r="M23" i="16"/>
  <c r="O23" i="16"/>
  <c r="N28" i="16"/>
  <c r="O28" i="16"/>
  <c r="L28" i="16"/>
  <c r="M28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1" authorId="0" shapeId="0" xr:uid="{2A166400-5F39-E14D-8128-B3DC0FC11463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Key  — สูตรคำนวณ ห้ามกรอก
เมนู + ขนาด + ความหวาน ต่อกันด้วยเครื่องหมาย | เช่น Original|16 oz|50%
เป็นกุญแจที่ชีต คำนวณสูตร / บันทึกขาย / เตรียมเบส ใช้ค้นหาสูตรที่ถูกแถว</t>
        </r>
      </text>
    </comment>
    <comment ref="B1" authorId="0" shapeId="0" xr:uid="{435BFA78-CE7D-1D41-AD18-1897DAC2880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เมนู
ชื่อภาษาอังกฤษที่ใช้เป็นรหัสเมนู — ต้องตรงกับชีต Lists คอลัมน์ A เป๊ะ ๆ
ชีตนี้คือต้นทางของสูตรทั้งหมด — แก้ที่นี่ที่เดียว ชีต ตารางรวม / คำนวณสูตร / เตรียมเบส จะตามทั้งหมด</t>
        </r>
      </text>
    </comment>
    <comment ref="C1" authorId="0" shapeId="0" xr:uid="{8749F3B6-1D42-8643-8225-3A5B897A7FE8}">
      <text>
        <r>
          <rPr>
            <b/>
            <sz val="10"/>
            <color rgb="FF000000"/>
            <rFont val="Tahoma"/>
            <family val="2"/>
          </rPr>
          <t>ขนาด
16 oz / 20 oz / 22 oz — ทุกเมนูมีสามขนาด ขนาดละ 5 ระดับหวาน = 15 แถวต่อ 1 เมนู
โครงแถว: แถว 2–241 = 16 oz และ 22 oz (กรอกค่าตรง) · แถว 242–361 = 20 oz (สูตรสเกลจาก 16 oz × ช่อง AB2)
อยากแก้สูตร 20 oz → แก้ที่แถว 16 oz ของเมนูนั้น แล้ว 20 oz ตามเอง</t>
        </r>
      </text>
    </comment>
    <comment ref="D1" authorId="0" shapeId="0" xr:uid="{DE5886A1-5205-8B43-9AEF-568D2766B01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ความหวาน
0% / 25% / 50% / 75% / 100%
หมายเหตุสำคัญ (รอบ 6): เบสชาไทยไม่มีน้ำตาลแล้ว ดังนั้น 0% คือไม่มีน้ำตาลเพิ่มจริง (เดิมยังมีจากเบส ~10 g) — เป็นจุดขายของร้าน</t>
        </r>
      </text>
    </comment>
    <comment ref="E1" authorId="0" shapeId="0" xr:uid="{F3C88A63-2FB5-6B44-A450-5DBF8E8A446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ชาไทยเบส (ml)
ปริมาณเบสชาที่ตวงลงแก้ว 1 แก้ว
สำคัญ: นี่คือ “ชาที่ชงเสร็จแล้ว” ไม่ใช่ผงชาแห้ง — สูตรเบสดูที่ชีต เบสและซับสูตร ข้อ 1
มากขึ้น = ชาเข้มขึ้น แต่ของเหลวรวมจะเพิ่ม อาจเกินกรอบแก้ว (ดูคอลัมน์ V)</t>
        </r>
      </text>
    </comment>
    <comment ref="F1" authorId="0" shapeId="0" xr:uid="{1A9BDD66-9E02-A54B-B9ED-96331D49E97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ชาเขียวเบส (ml)
เบสชาเขียวชงสำเร็จแล้ว ต่อแก้ว 1 แก้ว — เมนูชาไทยจะเป็น 0</t>
        </r>
      </text>
    </comment>
    <comment ref="G1" authorId="0" shapeId="0" xr:uid="{0FBD68DC-B592-3D4C-BD64-D1E29EC2A07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นมสด (ml)
นมสดจืด UHT — ให้ความนุ่มลิ้นแต่กลิ่นชาจะจมง่าย จึงต้องคู่กับเบสชาที่เข้มพอ</t>
        </r>
      </text>
    </comment>
    <comment ref="H1" authorId="0" shapeId="0" xr:uid="{E21E0F10-3916-6542-9ED8-1CCED107374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นมข้นจืด (ml)
ให้ความข้นและความมันโดยไม่เพิ่มความหวาน
กลไกสเกลหวาน: สังเกตว่าเมื่อหวานขึ้น นมข้นจืดจะลดลงและนมข้นหวานจะเพิ่มขึ้น — เพื่อให้ปริมาตรแก้วคงที่</t>
        </r>
      </text>
    </comment>
    <comment ref="I1" authorId="0" shapeId="0" xr:uid="{85FE8833-B242-D443-82C5-2EAFBE40A63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นมข้นหวาน (ml)
ตัวให้ความหวานหลักของเมนูกลุ่มนม — เพิ่มขึ้นตามระดับหวาน</t>
        </r>
      </text>
    </comment>
    <comment ref="J1" authorId="0" shapeId="0" xr:uid="{812B4283-2C66-0B46-9612-E3473C879F3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น้ำเชื่อม (ml)
น้ำเชื่อม 1:1 ตัวให้ความหวานของเมนูที่ไม่ต้องการความมันจากนมข้นหวาน
อัปเดตรอบ 6: เมนูชาไทยทุกตัวถูกเติมน้ำเชื่อมเพิ่ม = 0.128 × ปริมาณเบสชา เพื่อชดเชยน้ำตาล 240 g ที่ถอดออกจากเบส (เว้นระดับ 0%)</t>
        </r>
      </text>
    </comment>
    <comment ref="K1" authorId="0" shapeId="0" xr:uid="{203EB789-5CB6-4A45-999F-48D95EF7C1E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น้ำผึ้งเจือจาง (ml)
น้ำผึ้ง 2 ส่วน : น้ำอุ่น 1 ส่วน — เจือจางเพราะน้ำผึ้งข้นเกินจะไม่ละลายในเครื่องดื่มเย็น</t>
        </r>
      </text>
    </comment>
    <comment ref="L1" authorId="0" shapeId="0" xr:uid="{8C592CB1-52A0-084A-AB8D-E60B045D3A8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โกโก้ผง (g)
หน่วยเป็นกรัม ไม่ใช่ ml — ต้องละลายเป็นเพสต์กับของเหลวร้อนก่อน ไม่งั้นจะเป็นเม็ด
ไม่นับรวมในคอลัมน์ ของเหลวรวม เพราะเป็นของแห้ง</t>
        </r>
      </text>
    </comment>
    <comment ref="M1" authorId="0" shapeId="0" xr:uid="{4D62F022-3CF2-8349-8E72-2B6BC979978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น้ำส้มคั้น (ml)
คั้นสดวันต่อวัน — เมนูที่มีน้ำส้มผสมนม ต้องเทน้ำส้มลงก้นแก้วก่อนกันนมตกตะกอน</t>
        </r>
      </text>
    </comment>
    <comment ref="N1" authorId="0" shapeId="0" xr:uid="{EDCC99A1-C370-FA4F-8ECE-D86AA3E57FD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เบสมะพร้าว (ml)
เบสที่ต้องทำเองทุกเช้า ดูสูตรที่ชีต เบสและซับสูตร ข้อ 3
เบสนี้มีน้ำตาลอยู่แล้ว เมนูมะพร้าวจึงใช้นมข้นหวานน้อยกว่าเมนูอื่น</t>
        </r>
      </text>
    </comment>
    <comment ref="O1" authorId="0" shapeId="0" xr:uid="{C11EE511-79D5-9646-A33E-7596009709E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ซอสสตรอว์เบอร์รี่ (g)
ซอสมีเนื้อผลไม้ — ชั่งเป็นกรัมเพราะตวงเป็น ml ไม่แม่น</t>
        </r>
      </text>
    </comment>
    <comment ref="P1" authorId="0" shapeId="0" xr:uid="{D95D4CF2-8AEC-0643-9A50-4D7D7DC6280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น้ำมะนาว (ml)
ใส่หลังสุดเสมอ — กรดจะทำให้สีชาหม่นถ้าแช่ทิ้งไว้นาน และถ้าเจอนมจะตกตะกอน</t>
        </r>
      </text>
    </comment>
    <comment ref="Q1" authorId="0" shapeId="0" xr:uid="{B0308EC5-18B6-364E-BE9A-40308619F4B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โซดา (ml)
ต้องเย็นจัดและเปิดขวดใหม่ทุกแก้ว — ซ่าหายเมื่อไหร่เท่ากับของเสีย</t>
        </r>
      </text>
    </comment>
    <comment ref="R1" authorId="0" shapeId="0" xr:uid="{4046E7CF-2A80-B94B-BEC6-D60A625298F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ครีมชีส/วิปชีส (g)
โฟมชีสที่ตีไว้ ราดด้านบน — ต้องตีใหม่ทุก 2–3 ชม.
ต้องชั่งเป็นกรัม — ตักด้วยช้อนตามความรู้สึก คือสาเหตุหลักที่ทำให้ GP เมนูโฟมหลุด
เมนูโฟมใช้น้ำแข็งน้อยกว่า (200 g) เพราะโฟมกินที่ด้านบน</t>
        </r>
      </text>
    </comment>
    <comment ref="S1" authorId="0" shapeId="0" xr:uid="{0E622C4B-EC81-5545-9FA1-19E8E665F65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น้ำแข็ง (g)
ชั่งเป็นกรัม ไม่นับรวมใน ของเหลวรวม เพราะตอนตวงยังเป็นของแข็ง
3 ระดับตามชนิดเมนู: 240 g ทั่วไป / 220 g มะพร้าว / 200 g เมนูโฟมและปั่น
ชั่งครั้งเดียวแล้วจำระดับในแก้วไว้ เร็วกว่าชั่งทุกแก้ว</t>
        </r>
      </text>
    </comment>
    <comment ref="T1" authorId="0" shapeId="0" xr:uid="{A9822287-2B8B-F84B-8048-824270B9158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มัทหะช็อต (ml)
มัทหะผงเกรดพรีเมียม 1 g ต่อน้ำ 10 ml — ใช้เฉพาะ 4 เมนูพรีเมียม
ต้นทุนสูงสุดในร้าน (~0.44 บาท/ml) — ควบคุม GP เมนูพรีเมียมโดยตรง</t>
        </r>
      </text>
    </comment>
    <comment ref="U1" authorId="0" shapeId="0" xr:uid="{BA72DA41-F4F6-B94A-87CF-291DC794DEB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น้ำดื่ม (ml)
น้ำเปล่ากรอง/ถัง ใช้เป็นส่วนผสมจริงในเมนูเพียวมัทหะ/ชาใส
ต้องนับเป็นวัตถุดิบ ไม่ใช่ของฟรี — เพื่อให้ของเหลวรวมและสต็อกตรงความจริง</t>
        </r>
      </text>
    </comment>
    <comment ref="V1" authorId="0" shapeId="0" xr:uid="{2E4BCE0D-3441-CD46-875E-1A0AD6DC5C44}">
      <text>
        <r>
          <rPr>
            <b/>
            <sz val="10"/>
            <color rgb="FF000000"/>
            <rFont val="Tahoma"/>
            <family val="2"/>
          </rPr>
          <t>ของเหลวรวม (ml)  — สูตรคำนวณ ห้ามกรอก
บวกทุกส่วนผสมที่เป็นของเหลว (ไม่นับน้ำแข็ง โกโก้ผง ซอส ครีมชีส)
ตัวนี้สำคัญมาก: แก้วที่ใส่น้ำแข็งเต็มจุของเหลวได้จริงแค่:
• 16 oz = 180–230 ml
• 20 oz = 225–288 ml
• 22 oz = 248–316 ml
น้อยกว่านี้ = แก้วไม่เต็ม ลูกค้ารู้สึกได้ไม่คุ้ม · มากกว่านี้ = ล้นแก้ว</t>
        </r>
      </text>
    </comment>
    <comment ref="W1" authorId="0" shapeId="0" xr:uid="{8E8FDB8E-A623-254D-89F2-AA21FC43632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ต้นทุน/แก้ว (บาท)  — สูตรคำนวณ ห้ามกรอก
เอาปริมาณวัตถุดิบทุกตัวในแถวนี้ × ต้นทุนต่อหน่วยจากชีต ต้นทุนและราคา แล้วบวกค่าบรรจุภัณฑ์ตามขนาด
⚠ นี่คือต้นทุนวัตถุดิบล้วน ๆ ยังไม่รวมค่าเช่า ค่าแรง ค่าไฟ ค่าเสื่อมอุปกรณ์ หรือค่าของเสีย</t>
        </r>
      </text>
    </comment>
    <comment ref="X1" authorId="0" shapeId="0" xr:uid="{A76B8D22-D13A-4C43-A7C3-F731D8386D8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ราคาขาย (บาท)  — สูตรคำนวณ ห้ามกรอก
ดึงมาจากตารางราคาขายในชีต ต้นทุนและราคา ตามเมนูกับขนาด
อยากขึ้นราคา → แก้ที่ ต้นทุนและราคา แถว 26 ลงมา — ทุกระดับหวานของเมนูนั้นจะเปลี่ยนตามทันที</t>
        </r>
      </text>
    </comment>
    <comment ref="Y1" authorId="0" shapeId="0" xr:uid="{EB4B210A-0602-8843-918C-0EC5057A027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GP %  — สูตรคำนวณ ห้ามกรอก
(ราคาขาย − ต้นทุน/แก้ว) ÷ ราคาขาย
เกณฑ์ของร้าน: ทุกแถวต้อง ≥ 58%
ถ้าแถวไหนต่ำกว่านี้ มี 3 ทางเลือก: ขึ้นราคาขาย / ลดปริมาณวัตถุดิบที่แพง / หาซื้อวัตถุดิบถูกลง</t>
        </r>
      </text>
    </comment>
    <comment ref="Z1" authorId="0" shapeId="0" xr:uid="{69723823-F1E3-B94E-BE78-755E872F8A9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หมายเหตุ
บันทึกว่าแถวนี้เคยถูกแก้อะไรมาบ้าง และเพราะอะไร
สำคัญมากตอนส่งต่องาน: คนที่มาทำต่อจะรู้ว่าทำไมตัวเลขเป็นแบบนี้ จะได้ไม่เผลอแก้กลับ
ข้อความจะไปโผล่ที่ชีต คำนวณสูตร เวลาเลือกเมนูนั้น ๆ</t>
        </r>
      </text>
    </comment>
    <comment ref="AB2" authorId="1" shapeId="0" xr:uid="{8B832A9D-BB44-4AFE-AF9A-EBF934B15E8C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ตัวคูนสเกลปริมาณส่วนผสมของขนาด 20 oz เทียบ 16 oz
= 20/16 = 1.25 (หลักเดียวกันกับ 22 oz ที่เป็น 22/16 = 1.375)
ทุกแถวขนาด 20 oz (แถว 242–361) อ้างช่องนี้
อยากให้ 20 oz เข้มขึ้น/เจือจางลง แก้ค่านี้ช่องเดียว</t>
        </r>
      </text>
    </comment>
    <comment ref="AD2" authorId="1" shapeId="0" xr:uid="{20A780B8-EE1F-4334-BC56-30F2E712BC54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ที่มา: เบสชาเคยมีน้ำตาล 240 g ต่อ 3,000 ml = 0.08 g น้ำตาลต่อ 1 ml เบส
น้ำเชื่อม 1:1 = น้ำตาล 1,000 g ต่อ 1,600 ml = 0.625 g ต่อ 1 ml
0.08 ÷ 0.625 = 0.128 ml น้ำเชื่อม ต่อเบส 1 ml — ค่าเดียวกันทั้งเบสชาไทยและชาเขียว
ระดับความหวาน 0% ไม่ชดเชย (ไม่เติมน้ำตาลเลย)</t>
        </r>
      </text>
    </comment>
    <comment ref="B162" authorId="0" shapeId="0" xr:uid="{8C77E238-B25A-6A4A-901A-4D276DEFA38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มัทฉะลาเต้ — TrueID Food (https://food.trueid.net/detail/Y3RNdL7nRr13) และ Lemon8 @unloveable1994 (https://www.lemon8-app.com/@unloveable1994/7602537441903378951) — ปรับปริมาณเข้าโครงเบส/สเกลหวานของร้าน (แพทเทิร์น Latte)</t>
        </r>
      </text>
    </comment>
    <comment ref="B172" authorId="0" shapeId="0" xr:uid="{FFBAD663-63DB-1E4A-AF65-F8E82456C83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ชาเขียวมะนาว — Bluemochateas (https://bluemochateas.com/ชาเขียวมะนาว-ไม่แต่งสี/) และ TikTok @pbigpakin (https://www.tiktok.com/@pbigpakin/video/7449721795650931984) — ปรับปริมาณเข้าโครงเบสร้าน (แพทเทิร์น Lemon Tea)</t>
        </r>
      </text>
    </comment>
    <comment ref="B182" authorId="0" shapeId="0" xr:uid="{CF88DBED-9182-4D46-AD16-DA393920557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ชาเขียวน้ำผึ้งมะนาว — Lemon8 @_saiiiiiii (https://www.lemon8-app.com/@_saiiiiiii/7359207810766209553) และ Wongnai (https://www.wongnai.com/recipes/ugc/64239aa3e7b643d1bd280ceae5e3271b) — ปรับปริมาณเข้าโครงเบสร้าน สเกลน้ำผึ้ง/น้ำเชื่อมตามแพทเทิร์น Honey Milk</t>
        </r>
      </text>
    </comment>
    <comment ref="B192" authorId="0" shapeId="0" xr:uid="{E1563093-0D34-9E46-A3CE-F53A5E68CBC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มัทฉะครีมชีส — Bluemochatea (https://www.bluemochatea.com/2024/07/29/มัทฉะครีมชีส/) และสูตรครีมชีสโฟม Lemon8 @champion_lucky8 (https://www.lemon8-app.com/@champion_lucky8/7599684755277218321) — ปรับปริมาณเข้าโครงเบสร้าน (แพทเทิร์น Cream Cheese ใช้โฟมชีสสูตรเดียวกับชีตเบส)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Chayanun Sungsa-ard</author>
    <author>TungAo</author>
  </authors>
  <commentList>
    <comment ref="E25" authorId="0" shapeId="0" xr:uid="{3870F9F4-BBA1-42AD-8335-516A0AF305BC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ราคาขาย 20 oz — สูตรคำนวณ ห้ามกรอก
= ราคา 16 oz + (ราคา 22 oz − ราคา 16 oz) × 2/3 ปัดเศษขึ้น/ลงเป็นหลัก 5 บาท
อยากตั้งราคา 20 oz เมนูใดเอง ให้พิมพ์เลขทับช่องนั้นไปเลย (สูตรเป็นแค่ค่าตั้งต้น)</t>
        </r>
      </text>
    </comment>
    <comment ref="A42" authorId="1" shapeId="0" xr:uid="{92EBC4F8-8B40-ED4D-A2E7-29420D63546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มัทฉะลาเต้ — TrueID Food (https://food.trueid.net/detail/Y3RNdL7nRr13) และ Lemon8 @unloveable1994 (https://www.lemon8-app.com/@unloveable1994/7602537441903378951) ปรับปริมาณเข้าโครงเบสร้าน ราคาตั้งตามระดับเดียวกับ Latte</t>
        </r>
      </text>
    </comment>
    <comment ref="A43" authorId="1" shapeId="0" xr:uid="{5A9C8B76-0119-A942-85BA-736706CFF23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ชาเขียวมะนาว — Bluemochateas (https://bluemochateas.com/ชาเขียวมะนาว-ไม่แต่งสี/) และ TikTok @pbigpakin (https://www.tiktok.com/@pbigpakin/video/7449721795650931984) ปรับปริมาณเข้าโครงเบสร้าน ราคาตั้งตามระดับเดียวกับ Lemon Tea</t>
        </r>
      </text>
    </comment>
    <comment ref="A44" authorId="1" shapeId="0" xr:uid="{74683CDB-A817-7B4A-9222-3DB335DAFA4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ชาเขียวน้ำผึ้งมะนาว — Lemon8 @_saiiiiiii (https://www.lemon8-app.com/@_saiiiiiii/7359207810766209553) และ Wongnai ชาเขียวน้ำผึ้งมะนาวโซดา (https://www.wongnai.com/recipes/ugc/64239aa3e7b643d1bd280ceae5e3271b) ปรับปริมาณเข้าโครงเบสร้าน ราคาตั้งตามระดับ Honey Milk เพราะน้ำผึ้งต้นทุนสูง</t>
        </r>
      </text>
    </comment>
    <comment ref="A45" authorId="1" shapeId="0" xr:uid="{79AA0856-4DE9-7A4E-8241-A1165EA54BF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สูตรอ้างอิง: มัทฉะครีมชีส — Bluemochatea (https://www.bluemochatea.com/2024/07/29/มัทฉะครีมชีส/) และสูตรครีมชีสโฟม Lemon8 @champion_lucky8 (https://www.lemon8-app.com/@champion_lucky8/7599684755277218321) ปรับปริมาณเข้าโครงเบสร้าน ราคาตั้งตามระดับเดียวกับ Cream Cheese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5" authorId="0" shapeId="0" xr:uid="{9B6C60E8-B92A-5A4F-B505-25B0980F625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ลำดับ
เลขรันเฉย ๆ ไว้อ้างอิงตอนคุยกัน ไม่มีผลต่อการคำนวณ</t>
        </r>
      </text>
    </comment>
    <comment ref="B5" authorId="0" shapeId="0" xr:uid="{5DEC2490-84F4-9D4C-A969-3C953F784D1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วัตถุดิบในสูตร
ชื่อสิ่งที่สูตรเมนูเรียกหา — ต่างจาก ชื่อสินค้า นะ
ตัวอย่าง: ชาไทยเบส คือวัตถุดิบในสูตร (นับเป็น ml) แต่ตัวมันทำมาจากสินค้า 3 ตัว (ใบชาใต้ + ชาตรามือ + น้ำ)
ชื่อนี้ต้องตรงกับหัวคอลัมน์ในชีต บันทึกขาย ไม่งั้นการตัดสต็อกจากการขายจะไม่ทำงาน</t>
        </r>
      </text>
    </comment>
    <comment ref="C5" authorId="0" shapeId="0" xr:uid="{9B66349B-88A6-EA4C-9A64-67B7818F155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หน่วย
หน่วยที่นับวัตถุดิบในสูตรตัวนี้ — ml สำหรับของเหลว, g สำหรับของแห้ง, ชุด สำหรับบรรจุภัณฑ์</t>
        </r>
      </text>
    </comment>
    <comment ref="D5" authorId="0" shapeId="0" xr:uid="{934D5AB4-E117-6445-ABDE-010C18D93C1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ขนาด batch มาตรฐาน
ปริมาณที่เป็น สูตรตั้งต้น ของเบสตัวนี้ 1 หม้อ
ตัวอย่าง: ชาไทยเบส = 3,000 ml → หมายความว่าสูตรข้างล่าง (tblBOM) ที่บอกว่าใช้ใบชา 210 g คือสำหรับทำ 3,000 ml
ทำอะไร: ระบบเอาต้นทุนรวมทั้ง batch ÷ ตัวเลขนี้ = ต้นทุนต่อ 1 ml ของเบส
⚠ ถ้าแก้เลขนี้ ต้องแก้ปริมาณวัตถุดิบใน tblBOM ให้สอดคล้องกันด้วย</t>
        </r>
      </text>
    </comment>
    <comment ref="E5" authorId="0" shapeId="0" xr:uid="{5A549993-4DF0-7C44-BF9F-207F68D551FD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ต้นทุนคำนวณต่อหน่วย  — สูตรคำนวณ ห้ามกรอก
ต้นทุนจริงต่อ 1 ml (หรือ 1 g) ที่คำนวณจากสูตรจริงในตาราง tblBOM ข้างล่าง
ดึงมาจากไหน: รวมต้นทุนวัตถุดิบทุกตัวของเบสนั้น หารด้วยขนาด batch
ถ้าช่องนี้เป็น 0 แสดงว่ายังไม่มีสูตร BOM ของเบสตัวนั้น</t>
        </r>
      </text>
    </comment>
    <comment ref="F5" authorId="0" shapeId="0" xr:uid="{46A7D74F-05E9-0B46-BCE1-E75F7C357B3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ต้นทุนตั้งต้นต่อหน่วย (ค่าเดิม)
ค่าประมาณที่พิมพ์ไว้ตอนสร้างไฟล์ ใช้เป็นตัวสำรองเมื่อสูตร BOM ยังคำนวณไม่ได้
ใช้เทียบกับคอลัมน์ E เพื่อดูว่าต้นทุนจริงหนีจากที่เคยคิดไปเท่าไหร่</t>
        </r>
      </text>
    </comment>
    <comment ref="G5" authorId="0" shapeId="0" xr:uid="{C346DC42-F20D-4E40-A43B-B480024160F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ต้นทุนที่ใช้  — สูตรคำนวณ ห้ามกรอก
ต้นทุนที่ระบบเอาไปใช้จริง ตามกฎ:
• ถ้าต้นทุนคำนวณ (E) &gt; 0 → ใช้ E
• ถ้า E = 0 → ถอยไปใช้ค่าเดิม (F)
ช่องนี้คือตัวที่ส่งค่าไปให้ชีต ต้นทุนและราคา → แล้วไปคิดต้นทุนทุกเมนูต่อ</t>
        </r>
      </text>
    </comment>
    <comment ref="H5" authorId="0" shapeId="0" xr:uid="{ED62DBEE-6F9C-4144-9063-2463BF8E581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ใช้ไปจากการขาย (หน่วย)  — สูตรคำนวณ ห้ามกรอก
รวมว่าเบสตัวนี้ถูกใช้ไปกี่ ml/g จากทุกแก้วที่ขายในชีต บันทึกขาย
ใช้ตอนวางแผนเตรียมเบส: ดูว่าเบสตัวไหนหมุนเร็วสุด</t>
        </r>
      </text>
    </comment>
    <comment ref="I5" authorId="0" shapeId="0" xr:uid="{11AEEC39-8F53-8240-8897-A390B12E73D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ส่วนต่างจากค่าเดิม  — สูตรคำนวณ ห้ามกรอก
ต้นทุนที่ใช้ ÷ ต้นทุนตั้งต้น − 1 → เป็น %
อ่านอย่างนี้: +12% = ต้นทุนจริงแพงกว่าที่ตั้งไว้ 12% · ติดลบคือถูกกว่าที่ตั้งไว้
ใช้จับสัญญาณว่าวัตถุดิบตัวไหนขึ้นราคาจนกระทบ GP — เกิน +15% ควรหาเจ้าใหม่หรือขยับราคาขาย</t>
        </r>
      </text>
    </comment>
    <comment ref="A29" authorId="0" shapeId="0" xr:uid="{DADEF7FE-1B76-2541-9B31-73F620E06D3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 BOM
รหัสประจำแถวของสูตร เช่น B-01, B-02
BOM = Bill of Materials = รายการวัตถุดิบ คือตารางที่บอกว่า เบส 1 หม้อต้องใช้อะไรบ้าง อย่างละเท่าไหร่</t>
        </r>
      </text>
    </comment>
    <comment ref="B29" authorId="0" shapeId="0" xr:uid="{835E8D08-480D-1F49-AD9B-0352D0BE0A4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วัตถุดิบในสูตร
ระบุว่าแถวนี้เป็นส่วนประกอบของเบสตัวไหน — ต้องสะกดเหมือนชื่อใน tblIng ข้างบนเป๊ะ
ตัวอย่าง: 5 แถวแรก (B-01 ถึง B-05) เขียนว่า ชาไทยเบส ทั้งหมด เพราะเป็นส่วนประกอบ 5 อย่างของเบสตัวเดียวกัน</t>
        </r>
      </text>
    </comment>
    <comment ref="C29" authorId="0" shapeId="0" xr:uid="{B50BC6AA-014B-DE46-8C4B-EEB588C7043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รหัสสินค้า
รหัสของสินค้าจริงที่ซื้อมา ดูจากชีต สินค้าและสต็อก
นี่คือสะพานเชื่อมระหว่างสูตร กับของที่ซื้อจริง — พอราคาซื้อเปลี่ยน ต้นทุนสูตรจะเปลี่ยนตามเองทันที
กรอกรหัสผิด ช่องข้าง ๆ จะขึ้นว่า ไม่พบรหัส</t>
        </r>
      </text>
    </comment>
    <comment ref="D29" authorId="0" shapeId="0" xr:uid="{761D606B-B3D2-4043-AE9E-90194F406A8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ชื่อสินค้า  — สูตรคำนวณ ห้ามกรอก
ดึงชื่อมาจากรหัสสินค้าในคอลัมน์ C โดยอัตโนมัติ มีไว้เพื่อให้ตรวจด้วยตาเปล่าว่ากรอกรหัสถูกตัว</t>
        </r>
      </text>
    </comment>
    <comment ref="E29" authorId="0" shapeId="0" xr:uid="{B17A1F0E-2F42-3A41-B811-6BC92E337D8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ปริมาณต่อ batch
ใช้สินค้าตัวนี้กี่หน่วย ต่อเบส 1 หม้อตามขนาด batch มาตรฐาน
สำคัญ: 5 แถวแรก (B-01 ถึง B-05) ดึงเลขจากชีต เบสและซับสูตร โดยตรง — อย่ามาแก้ที่นี่ ให้ไปแก้ช่องเหลือง B16/B17 ที่ชีตนั้นแทน</t>
        </r>
      </text>
    </comment>
    <comment ref="F29" authorId="0" shapeId="0" xr:uid="{CA76BEC4-0A4C-F543-8B62-3ACDC6472B3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หน่วย  — สูตรคำนวณ ห้ามกรอก
หน่วยใช้ของสินค้านั้น ดึงมาจากชีต สินค้าและสต็อก
ใช้ตรวจว่าตวงหน่วยถูก — ถ้าสูตรเขียน ml แต่สินค้าเก็บเป็น g ต้นทุนจะผิด</t>
        </r>
      </text>
    </comment>
    <comment ref="G29" authorId="0" shapeId="0" xr:uid="{C8B6C475-455E-D74C-9BD0-84DA2626974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ปริมาณต่อ 1 หน่วยสูตร  — สูตรคำนวณ ห้ามกรอก
ปริมาณต่อ batch ÷ ขนาด batch มาตรฐาน
ตัวอย่าง: ใบชาใต้ 210 g ÷ 3,000 ml = 0.07 g ต่อเบส 1 ml
เอาไปคูณกับต้นทุนสินค้าต่อหน่วย ก็ได้ต้นทุนของเบสต่อ 1 ml</t>
        </r>
      </text>
    </comment>
    <comment ref="H29" authorId="0" shapeId="0" xr:uid="{ADA09146-9954-A74C-A142-F0AA0FB3B84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ต้นทุนสินค้าต่อหน่วยใช้  — สูตรคำนวณ ห้ามกรอก
ดึงมาจากชีต สินค้าและสต็อก โดยใช้รหัสสินค้า — นี่คือจุดที่ราคาซื้อจริงไหลเข้ามาสู่สูตร</t>
        </r>
      </text>
    </comment>
    <comment ref="I29" authorId="0" shapeId="0" xr:uid="{45367202-E57E-C341-962C-DEF78B7DB9D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ต้นทุนต่อ 1 หน่วยสูตร  — สูตรคำนวณ ห้ามกรอก
ปริมาณต่อ 1 หน่วยสูตร × ต้นทุนสินค้าต่อหน่วยใช้
เอาทุกแถวของเบสตัวเดียวกันมาบวกกัน = ต้นทุนเบสต่อ 1 ml ที่ไปโผล่ที่ตาราง tblIng ข้างบน</t>
        </r>
      </text>
    </comment>
    <comment ref="J29" authorId="0" shapeId="0" xr:uid="{1A69EDFF-7F95-1A4D-9C96-1ED25AA5465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ใช้ไปจากการขาย (หน่วยใช้)  — สูตรคำนวณ ห้ามกรอก
แปลงจาก เบสที่ขายไปกี่ ml เป็น วัตถุดิบจริงที่หมดไก่กรัม
เช่น ขายชาไทยไป 1,000 ml → แปลงเป็นใบชาใต้ 70 g → ตัดสต็อกใบชาออก 70 g</t>
        </r>
      </text>
    </comment>
    <comment ref="K29" authorId="0" shapeId="0" xr:uid="{6D4D9989-52F4-1243-ACC5-659DC12AC2F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หมายเหตุ
ช่องจดอิสระ — ใช้อทิบายว่าทำไมตัวเลขเป็นเท่านี้ หรือเคยเปลี่ยนอะไรไป
คนอ่านทีหลังจะเข้าใจว่าทำไมสูตรเป็นอย่างนี้</t>
        </r>
      </text>
    </comment>
    <comment ref="E38" authorId="1" shapeId="0" xr:uid="{5DEA56F1-239D-4AFF-B0E7-0FEE000AE6F4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ถอดออกจากเบส (เดิม 240 g) — น้ำตาลทำให้เบสเสียเร็ว ย้ายไปคุมหวานรายแก้วที่น้ำเชื่อม/นมข้นแทน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5" authorId="0" shapeId="0" xr:uid="{0BD4DF5F-3E0F-CD4E-808F-470F4FBB98D2}">
      <text>
        <r>
          <rPr>
            <b/>
            <sz val="10"/>
            <color rgb="FF000000"/>
            <rFont val="Tahoma"/>
            <family val="2"/>
          </rPr>
          <t>รหัสสินค้า — สูตรคำนวณ ห้ามกรอก
ระบบสร้างให้เองจากคอลัมน์ หมวดย่อย (D)
รูปแบบ: &lt;ประเภท&gt;-&lt;หมวดย่อย&gt;-&lt;ลำดับ&gt;
เช่น RM-TEA-01 = วัตถุดิบ หมวดชา/ผงชา ตัวที่ 1 · PK-CUP-02 = บรรจุภัณฑ์ หมวดแก้ว ตัวที่ 2
รหัสนี้เป็นกุญแจที่ชีต บันทึกซื้อ / ปรับสต็อก / ต้นทุนเบส ใช้ดึงข้อมูล
☠ ห้ามเรียงลำดับแถว ห้ามลบแถวกลางตาราง และห้ามแก้หมวดย่อยหลังมีบันทึกแล้ว เพราะรหัสจะขยับ แล้วบันทึกเก่าจะหารหัสไม่เจอ
เพิ่มสินค้าใหม่ = พิมพ์ต่อท้ายตารางเสมอ</t>
        </r>
      </text>
    </comment>
    <comment ref="B5" authorId="0" shapeId="0" xr:uid="{A51ECF00-7921-B04C-90BC-0673B132B7B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ชื่อสินค้า
ชื่อเรียกที่อ่านเข้าใจ ใช้สื่อสารกันในร้าน
เขียนให้ตรงกับสิ่งที่ซื้อจริง เช่น “ใบชาใต้ รินชา สูตร 3” ไม่ใช่ “ชา” เฉย ๆ
สำคัญ: ชื่อนี้จะไปโผล่ในชีต บันทึกซื้อ/ปรับสต็อก/ต้นทุนเบส โดยอัตโนมัติ จึงแก้ชื่อที่นี่ที่เดียวก็เปลี่ยนทั้งไฟล์</t>
        </r>
      </text>
    </comment>
    <comment ref="C5" authorId="0" shapeId="0" xr:uid="{B3791653-168F-6449-883C-945CB947A311}">
      <text>
        <r>
          <rPr>
            <b/>
            <sz val="10"/>
            <color rgb="FF000000"/>
            <rFont val="Tahoma"/>
            <family val="2"/>
          </rPr>
          <t>ประเภท — สูตรคำนวณ ห้ามกรอก
ดึงมาจากหมวดย่อยที่เลือก ตามตาราง Lists!P:Q — วัตถุดิบ / บรรจุภัณฑ์ / วัสดุสิ้นเปลือง</t>
        </r>
      </text>
    </comment>
    <comment ref="D5" authorId="1" shapeId="0" xr:uid="{41139B8A-F143-4395-A75F-C68317852458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หมวดย่อย — กรอกช่องเดียวนี้ช่องเดียว
เลือกจาก dropdown แล้วระบบจะสร้าง รหัสสินค้า (A) และ ประเภท (C) ให้เอง
รูปรหัส: &lt;ประเภท&gt;-&lt;หมวดย่อย&gt;-&lt;ลำดับ&gt; เช่น RM-TEA-01, PK-CUP-02
เพิ่ม/แก้หมวดย่อยได้ที่ชีต Lists คอลัมน์ P:R
⚠ ห้ามเรียงแถว/ลบแถวกลางตาราง เพราะลำดับท้ายรหัสจะขยับ ทำให้บันทึกเก่าหารหัสไม่เจอ เพิ่มสินค้าใหม่ให้พิมพ์ต่อแถวล่างสุดเท่านั้น</t>
        </r>
      </text>
    </comment>
    <comment ref="E5" authorId="0" shapeId="0" xr:uid="{F78E587F-1E1B-9049-8F3C-7F07370837B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หน่วยซื้อ
หน่วยที่เราจ่ายเงินซื้อจริง เช่น ถุง / กระป๋อง / กล่อง / ลัง
ตัวอย่าง: ชาใต้ซื้อเป็น ถุง → หน่วยซื้อ = ถุง
เวลากรอกบันทึกซื้อ จำนวนที่กรอกต้องเป็นหน่วยนี้ (ซื้อ 3 ถุง กรอก 3)</t>
        </r>
      </text>
    </comment>
    <comment ref="F5" authorId="0" shapeId="0" xr:uid="{DD19F9BE-B993-9A4E-B5BE-1683F874AD8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ปริมาณต่อหน่วยซื้อ
1 หน่วยซื้อได้กี่หน่วยใช้ — ตัวเชื่อมที่สำคัญที่สุดของชีตนี้
ตัวอย่าง: ใบชาใต้ 1 ถุง = 1,000 g → ใส่ 1000 · ชาตรามือ 1 ถุง = 400 g → ใส่ 400
ทำอะไร: ระบบเอาราคาต่อถุง ÷ ตัวเลขนี้ = ต้นทุนต่อกรัม ถ้าใส่ผิด ต้นทุนทุกเมนูผิดหมด
⚠ เปลี่ยนขนาดถุงที่ซื้อ (500 g → 1 กก.) ต้องมาแก้ช่องนี้ด้วย</t>
        </r>
      </text>
    </comment>
    <comment ref="G5" authorId="0" shapeId="0" xr:uid="{CF27301A-62D3-C145-A753-4B9E741C523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หน่วยใช้
หน่วยที่เราตวงเวลาชงจริงหน้าร้าน — g (กรัม) หรือ ml (มิลลิลิตร)
สต็อกคงเหลือทั้งหมดนับเป็นหน่วยนี้ เพราะสูตรทุกเมนูเขียนเป็น g/ml หมด จึงตัดสต็อกตรงกัน</t>
        </r>
      </text>
    </comment>
    <comment ref="H5" authorId="0" shapeId="0" xr:uid="{7E27CD01-C703-8D47-92F5-BB5362E16F6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ราคาตั้งต้นต่อหน่วยซื้อ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ราคาสำรองต่อ</t>
        </r>
        <r>
          <rPr>
            <sz val="10"/>
            <color rgb="FF000000"/>
            <rFont val="Tahoma"/>
            <family val="2"/>
          </rPr>
          <t xml:space="preserve"> 1 </t>
        </r>
        <r>
          <rPr>
            <sz val="10"/>
            <color rgb="FF000000"/>
            <rFont val="Tahoma"/>
            <family val="2"/>
          </rPr>
          <t>หน่วยซื้อ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ใช้เมื่อยังไม่มีบันทึกซื้อจริง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สำคัญ</t>
        </r>
        <r>
          <rPr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นี่คือราคา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สำรอง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เท่านั้น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พอมีบิลซื้อในชีต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บันทึกซื้อ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ระบบจะเลิกใช้ช่องนี้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และหันไปใช้ราคาเฉลี่ยจากบิลจริงแทน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จึงไม่ต้องกลับมาแก้ช่องนี้ทุกครั้งที่ราคาขึ้น</t>
        </r>
        <r>
          <rPr>
            <sz val="10"/>
            <color rgb="FF000000"/>
            <rFont val="Tahoma"/>
            <family val="2"/>
          </rPr>
          <t xml:space="preserve"> — </t>
        </r>
        <r>
          <rPr>
            <sz val="10"/>
            <color rgb="FF000000"/>
            <rFont val="Tahoma"/>
            <family val="2"/>
          </rPr>
          <t>แค่ลงบิลให้ครบ</t>
        </r>
      </text>
    </comment>
    <comment ref="I5" authorId="0" shapeId="0" xr:uid="{B2C782DF-795B-CF43-A5BF-4613F8BA5BA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จุดสั่งซื้อ</t>
        </r>
        <r>
          <rPr>
            <sz val="10"/>
            <color rgb="FF000000"/>
            <rFont val="Tahoma"/>
            <family val="2"/>
          </rPr>
          <t xml:space="preserve"> (</t>
        </r>
        <r>
          <rPr>
            <sz val="10"/>
            <color rgb="FF000000"/>
            <rFont val="Tahoma"/>
            <family val="2"/>
          </rPr>
          <t>หน่วยใช้</t>
        </r>
        <r>
          <rPr>
            <sz val="10"/>
            <color rgb="FF000000"/>
            <rFont val="Tahoma"/>
            <family val="2"/>
          </rPr>
          <t xml:space="preserve">)
</t>
        </r>
        <r>
          <rPr>
            <sz val="10"/>
            <color rgb="FF000000"/>
            <rFont val="Tahoma"/>
            <family val="2"/>
          </rPr>
          <t>เหลือเท่าไหร่จึงควรสั่งซื้อรอบใหม่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วิธีคิด</t>
        </r>
        <r>
          <rPr>
            <sz val="10"/>
            <color rgb="FF000000"/>
            <rFont val="Tahoma"/>
            <family val="2"/>
          </rPr>
          <t xml:space="preserve">: </t>
        </r>
        <r>
          <rPr>
            <sz val="10"/>
            <color rgb="FF000000"/>
            <rFont val="Tahoma"/>
            <family val="2"/>
          </rPr>
          <t>ปริมาณที่ใช้ต่อวัน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จำนวนวันที่ของรอของ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เช่น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ใช้ใบชา</t>
        </r>
        <r>
          <rPr>
            <sz val="10"/>
            <color rgb="FF000000"/>
            <rFont val="Tahoma"/>
            <family val="2"/>
          </rPr>
          <t xml:space="preserve"> 105 g/</t>
        </r>
        <r>
          <rPr>
            <sz val="10"/>
            <color rgb="FF000000"/>
            <rFont val="Tahoma"/>
            <family val="2"/>
          </rPr>
          <t>วัน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ของมาถึงใน</t>
        </r>
        <r>
          <rPr>
            <sz val="10"/>
            <color rgb="FF000000"/>
            <rFont val="Tahoma"/>
            <family val="2"/>
          </rPr>
          <t xml:space="preserve"> 3 </t>
        </r>
        <r>
          <rPr>
            <sz val="10"/>
            <color rgb="FF000000"/>
            <rFont val="Tahoma"/>
            <family val="2"/>
          </rPr>
          <t>วัน</t>
        </r>
        <r>
          <rPr>
            <sz val="10"/>
            <color rgb="FF000000"/>
            <rFont val="Tahoma"/>
            <family val="2"/>
          </rPr>
          <t xml:space="preserve"> → </t>
        </r>
        <r>
          <rPr>
            <sz val="10"/>
            <color rgb="FF000000"/>
            <rFont val="Tahoma"/>
            <family val="2"/>
          </rPr>
          <t>ตั้งจุดสั่งซื้อ</t>
        </r>
        <r>
          <rPr>
            <sz val="10"/>
            <color rgb="FF000000"/>
            <rFont val="Tahoma"/>
            <family val="2"/>
          </rPr>
          <t xml:space="preserve"> 300–400 g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ระบบจะเตือนในคอลัมน์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สถานะ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ว่า</t>
        </r>
        <r>
          <rPr>
            <sz val="10"/>
            <color rgb="FF000000"/>
            <rFont val="Tahoma"/>
            <family val="2"/>
          </rPr>
          <t xml:space="preserve"> “</t>
        </r>
        <r>
          <rPr>
            <sz val="10"/>
            <color rgb="FF000000"/>
            <rFont val="Tahoma"/>
            <family val="2"/>
          </rPr>
          <t>ใกล้หมด</t>
        </r>
        <r>
          <rPr>
            <sz val="10"/>
            <color rgb="FF000000"/>
            <rFont val="Tahoma"/>
            <family val="2"/>
          </rPr>
          <t xml:space="preserve">” </t>
        </r>
        <r>
          <rPr>
            <sz val="10"/>
            <color rgb="FF000000"/>
            <rFont val="Tahoma"/>
            <family val="2"/>
          </rPr>
          <t>เมื่อคงเหลือต่ำกว่าค่านี้</t>
        </r>
      </text>
    </comment>
    <comment ref="J5" authorId="0" shapeId="0" xr:uid="{CEDE1B8D-9765-2046-B07F-DA2BDAAA2E5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ยี่ห้อ</t>
        </r>
        <r>
          <rPr>
            <sz val="10"/>
            <color rgb="FF000000"/>
            <rFont val="Tahoma"/>
            <family val="2"/>
          </rPr>
          <t>/</t>
        </r>
        <r>
          <rPr>
            <sz val="10"/>
            <color rgb="FF000000"/>
            <rFont val="Tahoma"/>
            <family val="2"/>
          </rPr>
          <t>หมายเหตุ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จดยี่ห้อ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สเปก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หรือสิ่งที่คนซื้อต้องรู้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เพื่อซื้อซ้ำได้ตัวเดิม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ช่องนี้ไม่กระทบการคำนวณ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เป็นบันทึกช่วยจำเท่านั้น</t>
        </r>
      </text>
    </comment>
    <comment ref="K5" authorId="0" shapeId="0" xr:uid="{041DAE85-C130-9E40-8B65-8750FEE822A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ซื้อรวม (หน่วยซื้อ)  — สูตรคำนวณ ห้ามกรอก
รวมว่าตั้งแต่เริ่มใช้ไฟล์นี้ ซื้อมากี่หน่วยแล้ว (กี่ถุง/กี่กระป๋อง)
ดึงมาจากชีต บันทึกซื้อ ที่มีรหัสสินค้าเดียวกัน
เลข 0 = ยังไม่เคยลงบันทึกซื้อสินค้าตัวนี้</t>
        </r>
      </text>
    </comment>
    <comment ref="L5" authorId="0" shapeId="0" xr:uid="{EFE5D19A-98F1-C24E-A823-3ABDA53DC97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ยอดซื้อรวม (บาท)  — สูตรคำนวณ ห้ามกรอก
รวมเงินที่จ่ายซื้อสินค้าตัวนี้ทั้งหมด
คู่กับคอลัมน์ J เพื่อหาราคาเฉลี่ยต่อหน่วย</t>
        </r>
      </text>
    </comment>
    <comment ref="M5" authorId="0" shapeId="0" xr:uid="{4762168E-033D-974B-9C14-CE8DD2C4258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ต้นทุนเฉลี่ยต่อหน่วยซื้อ  — สูตรคำนวณ ห้ามกรอก
ราคาต่อถุงที่ระบบเลือกใช้จริง ตามกฎนี้:
• ถ้ามีบันทึกซื้อ → ใช้ ยอดซื้อรวม ÷ ซื้อรวม (เฉลี่ยจริง)
• ถ้ายังไม่มีบันทึก → ใช้ราคาตั้งต้น (คอลัมน์ G)
นี่คือจุดที่ทำให้ “ซื้อเยอะได้ถูก” สะท้อนเข้าระบบเอง</t>
        </r>
      </text>
    </comment>
    <comment ref="N5" authorId="0" shapeId="0" xr:uid="{44EFC2F5-14C6-CB4E-A4CA-A2CB1062C7B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ต้นทุนต่อหน่วยใช้  — สูตรคำนวณ ห้ามกรอก
ต้นทุนต่อ 1 กรัม หรือ 1 ml = ต้นทุนเฉลี่ยต่อถุง ÷ ปริมาณต่อหน่วยซื้อ
ตัวอย่าง: ใบชาใต้ 190 บาท ÷ 1,000 g = 0.19 บาท/g
สำคัญมาก: เลขนี้คือหัวใจของระบบต้นทุนทั้งไฟล์ — สูตรเบส → ต้นทุนต่อแก้ว → GP% ทุกเมนู ดึงจากช่องนี้ทั้งหมด</t>
        </r>
      </text>
    </comment>
    <comment ref="O5" authorId="0" shapeId="0" xr:uid="{E742FF54-6FE6-3C40-A3AF-B7852C13774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รับเข้า (หน่วยใช้)  — สูตรคำนวณ ห้ามกรอก
ปริมาณที่ซื้อเข้ามาทั้งหมด แปลงเป็นหน่วยใช้แล้ว
เช่น ซื้อชาใต้ 3 ถุง × 1,000 g = รับเข้า 3,000 g</t>
        </r>
      </text>
    </comment>
    <comment ref="P5" authorId="0" shapeId="0" xr:uid="{75A6843F-0519-9942-B854-E29595795B9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ใช้จากการขาย (หน่วยใช้)  — สูตรคำนวณ ห้ามกรอก
ระบบไล่จากทุกแก้วที่ขายในชีต บันทึกขาย ว่าใช้วัตถุดิบตัวนี้ไปกี่หน่วย
เส้นทาง: ขายชาไทย 1 แก้ว → สูตรบอกว่าใช้เบส 130 ml → เบสนั้นใช้ใบชากี่ g → ตัดสต็อกใบชาไปเท่านั้น
นี่คือเหตุที่ต้องบันทึกการขายทุกแก้ว ไม่งั้นสต็อกจะไม่ลด</t>
        </r>
      </text>
    </comment>
    <comment ref="Q5" authorId="0" shapeId="0" xr:uid="{7210048A-6979-DD46-8908-45368E114B8D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ปรับปรุง (หน่วยใช้)  — สูตรคำนวณ ห้ามกรอก
รวมการปรับทุกรายการในชีต ปรับสต็อก (ติดลบก็หักออก ติดบวกก็เพิ่ม)
ใช้เมื่อ: ของเสีย/หมดอายุ · นับสต็อกจริงแล้วไม่ตรงกับระบบ · ยอดยกมาครั้งแรกที่เริ่มใช้ไฟล์</t>
        </r>
      </text>
    </comment>
    <comment ref="R5" authorId="0" shapeId="0" xr:uid="{93F1016B-4AFD-E64A-81E6-E39442BB4F7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คงเหลือ (หน่วยใช้)  — สูตรคำนวณ ห้ามกรอก
สต็อกที่ควรมีตอนนี้ = รับเข้า − ใช้จากการขาย + ปรับปรุง
⚠ นี่เป็น สต็อกตามบันทึก ไม่ใช่สต็อกจริง ถ้านับจริงไม่ตรง ให้ไปลงชีต ปรับสต็อก ประเภท “นับจริง-เพิ่ม/ลด” — อย่ามาแก้ช่องนี้</t>
        </r>
      </text>
    </comment>
    <comment ref="S5" authorId="0" shapeId="0" xr:uid="{47EB0C50-BE4E-2545-872D-0BB5EC86335D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คงเหลือ (หน่วยซื้อ)  — สูตรคำนวณ ห้ามกรอก
แปลงคงเหลือเป็นหน่วยซื้อ เพื่อให้อ่านง่ายเวลายืนหน้าชั้น — คงเหลือ 2,500 g → 2.5 ถุง</t>
        </r>
      </text>
    </comment>
    <comment ref="T5" authorId="0" shapeId="0" xr:uid="{B52D1087-31E6-F248-B9D7-8E16DF8ABD8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มูลค่าคงเหลือ (บาท)  — สูตรคำนวณ ห้ามกรอก
คงเหลือ (หน่วยใช้) × ต้นทุนต่อหน่วยใช้ = เงินที่จมอยู่กับของในสต็อก
ตัวเลขนี้ขึ้นไปโผล่ที่ Dashboard</t>
        </r>
      </text>
    </comment>
    <comment ref="U5" authorId="0" shapeId="0" xr:uid="{81003152-15CA-1444-8F2B-44372C0276D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สถานะ  — สูตรคำนวณ ห้ามกรอก
เทียบคงเหลือกับจุดสั่งซื้อให้อัตโนมัติ:
• หมด — คงเหลือ 0 หรือติดลบ หยุดขายเมนูที่ใช้ตัวนี้ทันที
• ใกล้หมด — ต่ำกว่าจุดสั่งซื้อ สั่งเลยวันนี้
• ปกติ — ยังไม่ต้องทำอะไร
เช็กช่องนี้ทุกเช้าก่อนเปิดร้าน</t>
        </r>
      </text>
    </comment>
    <comment ref="V5" authorId="0" shapeId="0" xr:uid="{B0A0AD6E-1997-2E4F-A35C-EF92B7E42F4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ลำดับแจ้งเตือน  — สูตรคำนวณ ห้ามกรอก
เรียงความเร่งด่วนว่าต้องซื้ออะไรก่อน — เลขน้อยคือด่วนกว่า
ใช้เรียงตอนทำใบสั่งของ: เริ่มจากลำดับ 1 ลงมา</t>
        </r>
      </text>
    </comment>
    <comment ref="H7" authorId="1" shapeId="0" xr:uid="{873308BE-353D-4BCF-B08E-A2A3D9187695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Source: ภาพหน้าจอคำสั่งซื้อร้าน "รินชา ใบชาใต้แท้หอมเข้มข้น" (ผู้ใช้อัปโหลด 17 ก.ย. 2026)
ราคาป้าย ฿255/1 กก. × ตัวคูณเกลี่ย = ยอดจ่ายจริง ฿555 ÷ ยอดป้ายรวม ฿740 = 0.7500
(ยอดป้ายรวม = ใบชาเขียว ฿230 + ใบชาใต้ ฿255 × 2 = ฿740)</t>
        </r>
      </text>
    </comment>
    <comment ref="H9" authorId="1" shapeId="0" xr:uid="{280FC47A-86A5-4208-B519-A29FE312C91C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Source: ภาพหน้าจอคำสั่งซื้อร้าน "รินชา ใบชาใต้แท้หอมเข้มข้น" (ผู้ใช้อัปโหลด 17 ก.ย. 2026)
ราคาป้าย ฿230/500 g × ตัวคูณเกลี่ย 0.7500 (฿555 ÷ ฿740)</t>
        </r>
      </text>
    </comment>
    <comment ref="I38" authorId="1" shapeId="0" xr:uid="{31FBB73C-DCD9-4BA6-AC11-AD9DDCCE6B3A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สั่งใหม่เมื่อเหลือ 10 g (ประมาณ 2 แก้วพรีเมียม) — ถุง 30 g ชงได้ ~6 แก้ว (5 g/แก้ว)</t>
        </r>
      </text>
    </comment>
    <comment ref="I40" authorId="1" shapeId="0" xr:uid="{DD7E4949-DC12-4EE1-A465-02F9A4FA94F4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สั่งใหม่เมื่อเหลือ 2 ด้าม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5" authorId="0" shapeId="0" xr:uid="{ABBFE596-C9C6-CB4C-9F26-F3905D57FFD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รหัสรายการ
เลขที่ระบบสร้างให้อัตโนมัติ เพื่ออ้างอิงบิลแต่ละใบ — ไม่ต้องกรอกเอง</t>
        </r>
      </text>
    </comment>
    <comment ref="B5" authorId="0" shapeId="0" xr:uid="{8C511141-FE8C-3449-9E0D-9E04133A7EE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วันที่
วันที่ซื้อของจริง ไม่ใช่วันที่กรอกข้อมูล
สำคัญ: Dashboard ใช้ช่องนี้กรองช่วงวันที่ กรอกผิดงวดจะหายหรือไปอยู่เดือนอื่น</t>
        </r>
      </text>
    </comment>
    <comment ref="C5" authorId="0" shapeId="0" xr:uid="{3113F588-0518-BD44-88C8-4FC1B85CB23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รหัสสินค้า
เลือกจาก dropdown ห้ามพิมพ์เอง — นี่คือตัวเชื่อมที่ทำให้สต็อกกับต้นทุนอัปเดตเอง
กรอกรหัสผิด = บิลนี้จะไม่นับเข้าสต็อกสินค้าตัวที่ต้องการ</t>
        </r>
      </text>
    </comment>
    <comment ref="D5" authorId="0" shapeId="0" xr:uid="{772D76BD-35B3-1E47-B903-B792929501B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ชื่อสินค้า  — สูตรคำนวณ ห้ามกรอก
ขึ้นเองตามรหัสที่เลือก ใช้ยืนยันว่าเลือกรหัสถูกตัว</t>
        </r>
      </text>
    </comment>
    <comment ref="E5" authorId="0" shapeId="0" xr:uid="{B5B432D0-2FA8-2240-9B3C-4767CDA3351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จำนวน</t>
        </r>
        <r>
          <rPr>
            <sz val="10"/>
            <color rgb="FF000000"/>
            <rFont val="Tahoma"/>
            <family val="2"/>
          </rPr>
          <t xml:space="preserve"> (</t>
        </r>
        <r>
          <rPr>
            <sz val="10"/>
            <color rgb="FF000000"/>
            <rFont val="Tahoma"/>
            <family val="2"/>
          </rPr>
          <t>หน่วยซื้อ</t>
        </r>
        <r>
          <rPr>
            <sz val="10"/>
            <color rgb="FF000000"/>
            <rFont val="Tahoma"/>
            <family val="2"/>
          </rPr>
          <t xml:space="preserve">)
</t>
        </r>
        <r>
          <rPr>
            <sz val="10"/>
            <color rgb="FF000000"/>
            <rFont val="Tahoma"/>
            <family val="2"/>
          </rPr>
          <t>ซื้อมากี่หน่วยซื้อ</t>
        </r>
        <r>
          <rPr>
            <sz val="10"/>
            <color rgb="FF000000"/>
            <rFont val="Tahoma"/>
            <family val="2"/>
          </rPr>
          <t xml:space="preserve"> — </t>
        </r>
        <r>
          <rPr>
            <sz val="10"/>
            <color rgb="FF000000"/>
            <rFont val="Tahoma"/>
            <family val="2"/>
          </rPr>
          <t>กี่ถุง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กี่กระป๋อง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กี่ลัง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⚠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ห้ามใส่เป็นกรัมหรือ</t>
        </r>
        <r>
          <rPr>
            <sz val="10"/>
            <color rgb="FF000000"/>
            <rFont val="Tahoma"/>
            <family val="2"/>
          </rPr>
          <t xml:space="preserve"> ml — </t>
        </r>
        <r>
          <rPr>
            <sz val="10"/>
            <color rgb="FF000000"/>
            <rFont val="Tahoma"/>
            <family val="2"/>
          </rPr>
          <t>ซื้อชา</t>
        </r>
        <r>
          <rPr>
            <sz val="10"/>
            <color rgb="FF000000"/>
            <rFont val="Tahoma"/>
            <family val="2"/>
          </rPr>
          <t xml:space="preserve"> 2 </t>
        </r>
        <r>
          <rPr>
            <sz val="10"/>
            <color rgb="FF000000"/>
            <rFont val="Tahoma"/>
            <family val="2"/>
          </rPr>
          <t>ถุง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ใส่</t>
        </r>
        <r>
          <rPr>
            <sz val="10"/>
            <color rgb="FF000000"/>
            <rFont val="Tahoma"/>
            <family val="2"/>
          </rPr>
          <t xml:space="preserve"> 2 </t>
        </r>
        <r>
          <rPr>
            <sz val="10"/>
            <color rgb="FF000000"/>
            <rFont val="Tahoma"/>
            <family val="2"/>
          </rPr>
          <t>ไม่ใช่</t>
        </r>
        <r>
          <rPr>
            <sz val="10"/>
            <color rgb="FF000000"/>
            <rFont val="Tahoma"/>
            <family val="2"/>
          </rPr>
          <t xml:space="preserve"> 2000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ระบบจะคูณกับ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ปริมาณต่อหน่วยซื้อ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เพื่อแปลงเป็นหน่วยใช้เอง</t>
        </r>
      </text>
    </comment>
    <comment ref="F5" authorId="0" shapeId="0" xr:uid="{338377C7-21E6-8E41-8780-D6D1D64AF93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ราคารวม (บาท)
เงินที่จ่ายออกจริงทั้งบิลของรายการนี้ (ไม่ใช่ราคาต่อหน่วย)
เช่น ซื้อชาใต้ 2 ถุง จ่าย 380 บาท → ใส่ 380
สำคัญมาก: ช่องนี้คือตัวที่ทำให้ต้นทุนเฉลี่ยของทั้งร้านอัปเดต กรอกตรงทุกบิล ต้นทุนกับ GP จะแม่นเอง</t>
        </r>
      </text>
    </comment>
    <comment ref="G5" authorId="0" shapeId="0" xr:uid="{939E271C-8153-964E-AC76-A9067023244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ราคาต่อหน่วยซื้อ  — สูตรคำนวณ ห้ามกรอก
ราคารวม ÷ จำนวน = ราคาต่อ 1 ถุง/กระป๋อง
ใช้เช็กว่ารอบนี้ซื้อแพงขึ้นหรือถูกลงกว่ารอบก่อน</t>
        </r>
      </text>
    </comment>
    <comment ref="H5" authorId="0" shapeId="0" xr:uid="{812FA49B-F012-7249-B03A-CDA77A221F2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ปริมาณที่ได้ (หน่วยใช้)  — สูตรคำนวณ ห้ามกรอก
จำนวน (หน่วยซื้อ) × ปริมาณต่อหน่วยซื้อ
เช่น ซื้อ 2 ถุง × 1,000 g = 2,000 g → นี่คือตัวเลขที่ไปเพิ่มสต็อกคงเหลือ</t>
        </r>
      </text>
    </comment>
    <comment ref="I5" authorId="0" shapeId="0" xr:uid="{E9C81082-FEC0-7B4B-AEA7-BA6D5B9ACFB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ร้านค้า
ซื้อจากที่ไหน — ใช้เทียบราคาร้านต่อร้าน และติดตามว่าเจ้าไหนของหมดบ่อย</t>
        </r>
      </text>
    </comment>
    <comment ref="J5" authorId="0" shapeId="0" xr:uid="{8C8DA612-C168-3543-83C9-0C02F628B293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ผู้บันทึก
ใครกรอกรายการนี้ — ใช้ตามกลับเวลาตัวเลขน่าสงสัย</t>
        </r>
      </text>
    </comment>
    <comment ref="K5" authorId="0" shapeId="0" xr:uid="{1D565374-A1E9-3E4D-BBEE-D88EEB61434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หมายเหตุ
เรื่องที่คนอ่านทีหลังต้องรู้ เช่น ติดโปร / ของใกล้หมดอายุ / เปลี่ยนยี่ห้อ</t>
        </r>
      </text>
    </comment>
    <comment ref="C6" authorId="1" shapeId="0" xr:uid="{7BCFC913-DCED-4386-90CC-F907FB160715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ที่มา: สลิปหน้าคำสั่งซื้อ Shopee ที่ผู้ใช้อัปโหลด (17 ก.ย. 2026) — ราคาเกลี่ยจากยอดจ่ายจริง ดูตารางอ้างอิงที่ชีต ทะเบียนอุปกรณ์ แถว 58–69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5" authorId="0" shapeId="0" xr:uid="{F2256A3B-A432-1A4A-89F7-4869E60A7D2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รหัสรายการ
เลขอัตโนมัติของบิลขายแต่ละรายการ — ไม่ต้องกรอก</t>
        </r>
      </text>
    </comment>
    <comment ref="B5" authorId="0" shapeId="0" xr:uid="{1F16778C-D3E9-464C-AFF0-111726DEBAE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วันที่
วันที่ขายจริง
สำคัญ: Dashboard กรองช่วงวันที่จากช่องนี้ กรอกผิดวัน ยอดขายจะหายจากสรุป</t>
        </r>
      </text>
    </comment>
    <comment ref="C5" authorId="0" shapeId="0" xr:uid="{20E1EDAF-1572-E34A-AFAF-1F2CA35569D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เมนู
เลือกจาก dropdown เท่านั้น ห้ามพิมพ์ชื่ออิสระ
ทำอะไร: ระบบจะเอา เมนู + ขนาด + ความหวาน มาต่อกันเป็นกุญแจ แล้วไปดึงสูตรจากชีต ตารางรวม โดยอัตโนมัติ
พิมพ์ชื่อผิดแม้ตัวเดียว = ต้นทุนกับการตัดสต็อกจะเป็น 0 ทั้งแถว</t>
        </r>
      </text>
    </comment>
    <comment ref="D5" authorId="0" shapeId="0" xr:uid="{67DAD6EB-950A-F642-8A97-8FD4730C9260}">
      <text>
        <r>
          <rPr>
            <b/>
            <sz val="10"/>
            <color rgb="FF000000"/>
            <rFont val="Tahoma"/>
            <family val="2"/>
          </rPr>
          <t>ขนาด
16 oz / 20 oz / 22 oz — เลือกจาก dropdown
พิมพ์ต้องมีช่องว่างกลาง เช่น “20 oz” ไม่ใช่ “20oz” ไม่งั้นหาสูตรไม่เจอ</t>
        </r>
      </text>
    </comment>
    <comment ref="E5" authorId="0" shapeId="0" xr:uid="{5696F3FB-6673-9A49-ACCB-43581D02321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ความหวาน
0% / 25% / 50% / 75% / 100% — เลือกจาก dropdown
หมายเหตุสำคัญ: เบสชาไทยไม่มีน้ำตาลแล้ว ดังนั้น 0% คือไม่มีน้ำตาลเพิ่มจริง ๆ</t>
        </r>
      </text>
    </comment>
    <comment ref="F5" authorId="0" shapeId="0" xr:uid="{ACAF2322-F0DF-4C41-B983-AC3798F99CA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จำนวนแก้ว
ขายกี่แก้วในบิลนี้ — สูตรเดียวกันสั่ง 3 แก้ว รวมเป็นแถวเดียวใส่ 3 ได้เลย
ตัวคูณของทุกอย่าง — ยอดขาย ต้นทุน และการตัดสต็อกคูณด้วยเลขนี้ทั้งหมด</t>
        </r>
      </text>
    </comment>
    <comment ref="G5" authorId="0" shapeId="0" xr:uid="{398278A1-1A51-134E-A528-8D0A1DCEC07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ช่องทาง
หน้าร้าน / เดลิเวอรี่ / ออนไลน์ — เลือกจาก dropdown
ใช้ดูว่าช่องทางไหนทำกำไรจริง หลังหักค่า GP แอพส่ง</t>
        </r>
      </text>
    </comment>
    <comment ref="H5" authorId="0" shapeId="0" xr:uid="{A991648F-0418-D346-A70A-05406270C62D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ผู้บันทึก
ใครเป็นคนกรอกรายการนี้ — ใช้ตามกลับเวลาตัวเลขเพี้ยน</t>
        </r>
      </text>
    </comment>
    <comment ref="I5" authorId="0" shapeId="0" xr:uid="{02C3A4BD-55A0-0B41-8205-E9DD6110BDE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หมายเหตุ
เช่น ลูกค้าขอหวานน้อยกว่าปกติ / เปลี่ยนเป็นนมข้นจืด / แจกชิม
ไม่กระทบการคำนวณ แต่ช่วยอธิบายตอนมาดูย้อนหลัง</t>
        </r>
      </text>
    </comment>
    <comment ref="J5" authorId="0" shapeId="0" xr:uid="{C6A8727C-7A11-0949-9798-073A23F35B3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Key  — สูตรคำนวณ ห้ามกรอก
ต่อคำ เมนู + ขนาด + ความหวาน เป็นข้อความเดียว เช่น Original|16 oz|50%
ทำอะไร: เป็นกุญแจที่ใช้ค้นหาสูตรจาก 240 แถวในชีต ตารางรวม
ถ้าช่องนี้ว่าง แสดงว่ากรอกเมนู/ขนาด/หวานไม่ครบ</t>
        </r>
      </text>
    </comment>
    <comment ref="K5" authorId="0" shapeId="0" xr:uid="{D6451280-4493-074E-82B3-CA8594E728E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ราคาต่อแก้ว  — สูตรคำนวณ ห้ามกรอก
ดึงราคาขายจากตารางราคาในชีต ต้นทุนและราคา ตามเมนูกับขนาด
อยากขึ้นราคา → ไปแก้ที่ชีต ต้นทุนและราคา ตารางล่าง ไม่ใช่ที่นี่</t>
        </r>
      </text>
    </comment>
    <comment ref="L5" authorId="0" shapeId="0" xr:uid="{1D0EAF9D-57C3-0242-BC7C-456E2F23987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ต้นทุนต่อแก้ว  — สูตรคำนวณ ห้ามกรอก
ต้นทุนวัตถุดิบรวมของสูตรนี้ รวมบรรจุภัณฑ์แล้ว — ไม่รวมค่าเช่า/ค่าแรง/ค่าเสื่อม
ดึงมาจากชีต ตารางรวม ซึ่งคิดต่อมาจากราคาซื้อจริง</t>
        </r>
      </text>
    </comment>
    <comment ref="M5" authorId="0" shapeId="0" xr:uid="{13496809-F273-DA41-B66F-86B7BC1CE4E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ยอดขาย (บาท)  — สูตรคำนวณ ห้ามกรอก
ราคาต่อแก้ว × จำนวนแก้ว = เงินที่รับมาจริงจากบิลนี้</t>
        </r>
      </text>
    </comment>
    <comment ref="N5" authorId="0" shapeId="0" xr:uid="{1914D331-EA3A-144B-AF97-62234D5CF0D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ต้นทุนรวม (บาท)  — สูตรคำนวณ ห้ามกรอก
ต้นทุนต่อแก้ว × จำนวนแก้ว</t>
        </r>
      </text>
    </comment>
    <comment ref="O5" authorId="0" shapeId="0" xr:uid="{09451853-2348-C24C-977F-826D3E8089C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กำไร (บาท)  — สูตรคำนวณ ห้ามกรอก
ยอดขาย − ต้นทุนรวม = กำไรขั้นต้น (Gross Profit)
⚠ นี่ยังไม่ใช่กำไรสุทธิ — ต้องเอาไปหักค่าเช่า ค่าแรง ค่าไฟ ค่าเสื่อมอุปกรณ์ และค่า GP แอพส่งอีกที</t>
        </r>
      </text>
    </comment>
    <comment ref="P5" authorId="0" shapeId="0" xr:uid="{2B5DF14A-445D-A741-84E2-AD2513F2F9E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GP %  — สูตรคำนวณ ห้ามกรอก
GP = Gross Profit Margin = กำไร ÷ ยอดขาย
อ่านอย่างนี้: GP 68% = ขาย 100 บาท เป็นค่าวัตถุดิบ 32 บาท เหลือ 68 บาทก่อนหักค่าใช้จ่ายอื่น
เกณฑ์ของร้านนี้: ทุกเมนูต้อง GP ≥ 58%</t>
        </r>
      </text>
    </comment>
    <comment ref="Q5" authorId="0" shapeId="0" xr:uid="{628C3CB0-1DD2-FD45-B604-5709BF241195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ชาไทยเบส (ml)  — สูตรคำนวณ ห้ามกรอก
คอลัมน์ Q ถึง AI คือ “กลุ่มตัดสต็อก” ทั้งหมด ทำงานเหมือนกัน:
ดึงปริมาณต่อแก้วจากชีต ตารางรวม โดยใช้ Key × จำนวนแก้ว = วัตถุดิบที่หายไปจากสต็อกจริง
ตัวอย่าง: ขาย Original 16 oz 3 แก้ว → ช่องนี้ขึ้น 130 × 3 = 390 ml
เชื่อมต่อไปที่ชีต สินค้าและสต็อก คอลัมน์ “ใช้จากการขาย” เพื่อหักสต็อกออกโดยอัตโนมัติ
⚠ ห้ามพิมพ์ทับช่องเหล่านี้ สูตรจะหายและสต็อกจะผิดทั้งคอลัมน์</t>
        </r>
      </text>
    </comment>
    <comment ref="R5" authorId="0" shapeId="0" xr:uid="{93C8126E-2FE7-C24B-A201-DBD5FD574FC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ชาเขียวเบส (ml)  — สูตรคำนวณ ห้ามกรอก
ดึงปริมาณต่อแก้ว × จำนวนแก้ว — เมนูชาไทยจะเป็น 0 ช่องนี้</t>
        </r>
      </text>
    </comment>
    <comment ref="S5" authorId="0" shapeId="0" xr:uid="{AAE11F4A-032D-BB45-9B41-0F5D0F21977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นมสด (ml)  — สูตรคำนวณ ห้ามกรอก
ดึงปริมาณต่อแก้ว × จำนวนแก้ว — นมสดอายุสั้น ควรดูช่องนี้เทียบกับสต็อกคงเหลือทุกเช้า</t>
        </r>
      </text>
    </comment>
    <comment ref="T5" authorId="0" shapeId="0" xr:uid="{62DB0483-7580-444D-B961-EB381CB00D6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นมข้นจืด (ml)  — สูตรคำนวณ ห้ามกรอก
ดึงปริมาณต่อแก้ว × จำนวนแก้ว — ตัวนี้ลดลงเมื่อสั่งหวานมากขึ้น</t>
        </r>
      </text>
    </comment>
    <comment ref="U5" authorId="0" shapeId="0" xr:uid="{FCEC98A0-A5F7-6547-B3FD-93ED25353E50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นมข้นหวาน (ml)  — สูตรคำนวณ ห้ามกรอก
เป็นตัวคุมความหวานหลักของเมนูกลุ่มนม</t>
        </r>
      </text>
    </comment>
    <comment ref="V5" authorId="0" shapeId="0" xr:uid="{AC892E77-0C7D-3046-A772-208EF4540CDC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น้ำเชื่อม 1:1 (ml)  — สูตรคำนวณ ห้ามกรอก
น้ำตาล 1 กก. ต่อน้ำ 1 ลิตร → ได้~1,600 ml
อัปเดตรอบ 6: ตัวนี้จะใช้เยอะขึ้นมาก เพราะเป็นตัวชดเชยน้ำตาลที่ถอดออกจากเบสชา</t>
        </r>
      </text>
    </comment>
    <comment ref="W5" authorId="0" shapeId="0" xr:uid="{9618586B-85B3-7B4C-814D-6E33881231D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น้ำผึ้งเจือจาง 2:1 (ml)  — สูตรคำนวณ ห้ามกรอก
2:1 = น้ำผึ้ง 2 ส่วน ต่อน้ำอุ่น 1 ส่วน — เจือจางเพื่อให้ละลายในเครื่องดื่มเย็นได้
ต้นทุนสูง (~0.23 บาท/ml) ต้องคุมการตวงให้แม่น</t>
        </r>
      </text>
    </comment>
    <comment ref="X5" authorId="0" shapeId="0" xr:uid="{529B66F0-FE8D-4341-9EEE-F5F50DE41E2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โกโก้ผง (g)  — สูตรคำนวณ ห้ามกรอก
หน่วยเป็นกรัม ต้องชั่งจึงคุมต้นทุนได้</t>
        </r>
      </text>
    </comment>
    <comment ref="Y5" authorId="0" shapeId="0" xr:uid="{9354EBA5-7E25-EC44-B9D2-EA64B79FD44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น้ำส้มคั้น (ml)  — สูตรคำนวณ ห้ามกรอก
คั้นวันต่อวัน อย่าเก็บค้าง</t>
        </r>
      </text>
    </comment>
    <comment ref="Z5" authorId="0" shapeId="0" xr:uid="{FD17316D-1A1D-7740-82AA-0E1EA47B440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เบสมะพร้าว (ml)  — สูตรคำนวณ ห้ามกรอก
เป็นเบสที่ทำเอง ดูสูตรที่ชีต เบสและซับสูตร ข้อ 3</t>
        </r>
      </text>
    </comment>
    <comment ref="AA5" authorId="0" shapeId="0" xr:uid="{B5C4FF6C-C9D1-BF47-B627-4442DA7A4C8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ซอสสตรอว์เบอร์รี่ (g)  — สูตรคำนวณ ห้ามกรอก
ชั่งเป็นกรัมเพราะซอสมีเนื้อ ตวงเป็น ml จะคลาดเคลื่อน</t>
        </r>
      </text>
    </comment>
    <comment ref="AB5" authorId="0" shapeId="0" xr:uid="{1297F0ED-795D-2C43-8202-80D11883153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น้ำมะนาว (ml)  — สูตรคำนวณ ห้ามกรอก
ต้นทุนสูงตามราคามะนาวตามช่วง ควรอัปเดตราคาซื้อบ่อย</t>
        </r>
      </text>
    </comment>
    <comment ref="AC5" authorId="0" shapeId="0" xr:uid="{E50040DF-80DA-EE4C-9490-55815AB8204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โซดา (ml)  — สูตรคำนวณ ห้ามกรอก
ต้องเปิดขวดใหม่ทุกแก้ว เส้นซ่าหายเท่ากับของเสีย</t>
        </r>
      </text>
    </comment>
    <comment ref="AD5" authorId="0" shapeId="0" xr:uid="{CC9F1FC6-9316-5B4B-BF27-139B7B06AF5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ครีมชีส/วิปชีสโฟม (g)  — สูตรคำนวณ ห้ามกรอก
ต้องตักชั่งเป็นกรัม — ตักด้วยช้อนตามความรู้สึกคือสาเหตุหลักที่ทำให้ GP เมนูโฟมหลุด</t>
        </r>
      </text>
    </comment>
    <comment ref="AE5" authorId="0" shapeId="0" xr:uid="{3F06EFD6-151B-344E-B55F-28D62A38FCB3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น้ำแข็ง (g)  — สูตรคำนวณ ห้ามกรอก
3 ระดับตามชนิดเมนู: 240 g เมนูทั่วไป / 220 g เมนูมะพร้าว / 200 g เมนูโฟมและปั่น</t>
        </r>
      </text>
    </comment>
    <comment ref="AF5" authorId="0" shapeId="0" xr:uid="{094D6574-0640-4F40-BEAC-5B05B6D369B9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มัทหะช็อต (ml)  — สูตรคำนวณ ห้ามกรอก
มัทหะผง 1 g ต่อน้ำ 10 ml — ต้นทุนสูงสุดในร้าน (~0.44 บาท/ml) ต้องตวงให้เป๊ะ ห้ามกะเอา</t>
        </r>
      </text>
    </comment>
    <comment ref="AG5" authorId="0" shapeId="0" xr:uid="{CDA374BB-CA5C-DB45-92EE-A72FAEAD5F2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น้ำดื่ม (ml)  — สูตรคำนวณ ห้ามกรอก
ใช้เฉพาะเมนูเพียวมัทหะ/ชาใส</t>
        </r>
      </text>
    </comment>
    <comment ref="AH5" authorId="0" shapeId="0" xr:uid="{C4E1C4A9-97F6-A845-B067-0A9D8F705CF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บรรจุภัณฑ์ 16 oz (ชุด)  — สูตรคำนวณ ห้ามกรอก
1 ชุด = แก้ว + ฝา + หลอด + สติกเกอร์
ขาย 16 oz 3 แก้ว → ช่องนี้ = 3 · ขาย 22 oz → = 0 แล้วไปนับที่คอลัมน์ถัดไปแทน</t>
        </r>
      </text>
    </comment>
    <comment ref="AI5" authorId="1" shapeId="0" xr:uid="{AB29C9D0-245C-4F03-912A-849D96BC37BE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บรรจุภัณฑ์ 20 oz (ชุด)  — สูตรคำนวณ ห้ามกรอก
1 ชุด = แก้ว 20 oz + ฝาโดม 20 oz + หลอด + สติกเกอร์
ต้นทุนชุด ~4.60 บาท/แก้ว (16 oz = 4.00 · 22 oz = 4.80)</t>
        </r>
      </text>
    </comment>
    <comment ref="AJ5" authorId="0" shapeId="0" xr:uid="{FFD861CA-6049-5C43-A128-A3194F455E5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บรรจุภัณฑ์ 22 oz (ชุด)  — สูตรคำนวณ ห้ามกรอก
เหมือนช่อง 16 oz แต่นับเฉพาะแก้ว 22 oz
ต้นทุนบรรจุภัณฑ์คือต้นทุนก้อนใหญ่ที่หลายร้านลืม — 4.00 บาท (16 oz) / 4.80 บาท (22 oz) ต่อแก้ว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</authors>
  <commentList>
    <comment ref="A5" authorId="0" shapeId="0" xr:uid="{8EAA18B5-F618-2240-B60F-C7C5C11ABFC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รหัสรายการ
เลขอัตโนมัติ ไม่ต้องกรอก</t>
        </r>
      </text>
    </comment>
    <comment ref="B5" authorId="0" shapeId="0" xr:uid="{ABA3E255-D409-F744-B0F9-14DED2D2248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วันที่
วันที่นับสต็อกจริง หรือวันที่ของเสีย/หกหล่น</t>
        </r>
      </text>
    </comment>
    <comment ref="C5" authorId="0" shapeId="0" xr:uid="{DBBDA94D-0450-EB49-AD47-4006EC603C2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รหัสสินค้า
เลือกจาก dropdown — ต้องตรงกับรหัสในชีต สินค้าและสต็อก</t>
        </r>
      </text>
    </comment>
    <comment ref="D5" authorId="0" shapeId="0" xr:uid="{593294CE-6B56-E74E-989E-D91DBDE9588B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ชื่อสินค้า  — สูตรคำนวณ ห้ามกรอก
ขึ้นเองตามรหัสที่เลือก</t>
        </r>
      </text>
    </comment>
    <comment ref="E5" authorId="0" shapeId="0" xr:uid="{FE4CEBC6-EE2D-0545-915E-7C966DA9B0B8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ประเภทการปรับ
เลือกจาก dropdown เพื่อบอกเหตุของการปรับ:
• นับจริง-เพิ่ม / นับจริง-ลด — นับสต็อกแล้วไม่ตรงกับระบบ
• ของเสีย — ทิ้งเพราะหมดอายุ/เสีย
• ทำหล่น — หกหล่นระหว่างทำ
• ยอดยกมา — สต็อกที่มีก่อนเริ่มใช้ไฟล์
ทำอะไร: Dashboard นับจำนวนรายการของเสียจากช่องนี้</t>
        </r>
      </text>
    </comment>
    <comment ref="F5" authorId="0" shapeId="0" xr:uid="{34C6CC9B-E490-1541-B5B1-8EF76FC2B81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จำนวน (+เพิ่ม / -ลด)
ใส่เลขบวกเมื่อสต็อกเพิ่ม ใส่เลขติดลบเมื่อสต็อกลด
ตัวอย่าง: นมหมดอายุทิ้ง 500 ml → ใส่ -500 · นับสต็อกเจอชามากกว่าระบบ 300 g → ใส่ 300
หน่วยต้องเป็นหน่วยใช้ (g/ml) ไม่ใช่หน่วยซื้อ</t>
        </r>
      </text>
    </comment>
    <comment ref="G5" authorId="0" shapeId="0" xr:uid="{148D0C1D-1BA6-514D-AFC9-0C951E82E6DD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หน่วยใช้</t>
        </r>
        <r>
          <rPr>
            <sz val="10"/>
            <color rgb="FF000000"/>
            <rFont val="Tahoma"/>
            <family val="2"/>
          </rPr>
          <t xml:space="preserve">  — </t>
        </r>
        <r>
          <rPr>
            <sz val="10"/>
            <color rgb="FF000000"/>
            <rFont val="Tahoma"/>
            <family val="2"/>
          </rPr>
          <t>สูตรคำนวณ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ห้ามกรอก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ขึ้นเองจากรหัสสินค้า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ไว้เตือนว่าต้องกรอกจำนวนเป็นหน่วยนี้</t>
        </r>
      </text>
    </comment>
    <comment ref="H5" authorId="0" shapeId="0" xr:uid="{5C8BDBD7-DFBD-F741-A421-96D804B00A5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เหตุผล
อธิบายสั้น ๆ ว่าทำไมต้องปรับ — เช่น นมเสียเพราะตู้เย็นเสีย / เบสชาเกิน 72 ชม.
สำคัญ: เหตุผลที่ชัดจะช่วยหาสาเหตุของเสียซ้ำ ๆ ได้</t>
        </r>
      </text>
    </comment>
    <comment ref="I5" authorId="0" shapeId="0" xr:uid="{B10B0D8D-56FF-514C-8BFD-9264F67355E4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ผู้บันทึก
ใครนับ/ปรับ — สำคัญเมื่อต้องสอบย้อนว่าสต็อกหายไปไหน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TungAo</author>
    <author>Chayanun Sungsa-ard</author>
  </authors>
  <commentList>
    <comment ref="A5" authorId="0" shapeId="0" xr:uid="{B59A3F37-D533-E440-8BDD-21B49807180A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รหัสอุปกรณ์ — เลขอัตโนมัติ EQ-001 ไม่ต้องกรอก</t>
        </r>
      </text>
    </comment>
    <comment ref="B5" authorId="0" shapeId="0" xr:uid="{35C5224D-FBD7-3640-AEBD-0A78C659238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ชื่ออุปกรณ์
เช่น เหยือกชง / ตาชั่งดิจิตอล / ชุดชงมัทหะ
ต่างจากวัตถุดิบ: อุปกรณ์ซื้อครั้งเดียวใช้หลายปี จึงนับเป็นค่าเสื่อมรายเดือน ไม่ใช่ต้นทุนต่อแก้ว</t>
        </r>
      </text>
    </comment>
    <comment ref="C5" authorId="0" shapeId="0" xr:uid="{CFCA2462-74A5-EC42-B2C3-190D063C933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วันที่ซื้อ — ใช้เริ่มนับค่าเสื่อม และดูอายุการใช้งานที่เหลือ</t>
        </r>
      </text>
    </comment>
    <comment ref="D5" authorId="0" shapeId="0" xr:uid="{E459990B-D1B2-FD4E-899F-6AD04E63BB5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ราคา (บาท)
ราคาซื้อต่อ 1 ชิ้น (ไม่ใช่ราคารวมทุกชิ้น) — ราคารวมคิดจาก ราคา × จำนวน เอง</t>
        </r>
      </text>
    </comment>
    <comment ref="E5" authorId="0" shapeId="0" xr:uid="{2E5D6CCA-0340-6B4A-A95E-478CD06B081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จำนวน — ซื้อมากี่ชิ้น เช่น เหยือกชง 2 ใบ → ใส่ 2</t>
        </r>
      </text>
    </comment>
    <comment ref="F5" authorId="0" shapeId="0" xr:uid="{8C5EC480-B377-C446-936C-02329C59EC6E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ร้านค้า — ซื้อจากที่ไหน มีประโยชน์ตอนเคลมประกันหรือหาอะไหล่</t>
        </r>
      </text>
    </comment>
    <comment ref="G5" authorId="0" shapeId="0" xr:uid="{F6A51DC1-F387-6142-B17F-E87410724CB6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อายุใช้งาน (ปี)
คาดว่าชิ้นนี้ใช้ได้กี่ปีก่อนต้องซื้อใหม่
ค่าที่ใช้กัน: เครื่องไฟฟ้า 3–5 ปี · แก้ว/เหยือก/ของใช้มือ 2–3 ปี · ชุดชงมัทหะ 1 ปี (ฉะเซ็นไม้ไผ่แตกเร็ว) · ที่เปิดขวดโลหะล้วน 5 ปี
ใส่น้อยกว่าจริง ค่าเสื่อมจะดูสูงเกินจริง</t>
        </r>
      </text>
    </comment>
    <comment ref="H5" authorId="0" shapeId="0" xr:uid="{EEE28CA1-F11B-BC4D-AC5F-7F1585185F9F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ค่าเสื่อมต่อเดือน  — สูตรคำนวณ ห้ามกรอก
(ราคา × จำนวน) ÷ (อายุใช้งานปี × 12)
ค่าเสื่อมคืออะไร: เกลี่ยราคาอุปกรณ์เป็นค่าใช้จ่ายรายเดือน เพื่อรู้ว่าจริง ๆ ร้านมีต้นทุนอุปกรณ์เดือนละเท่าไหร่
เช่น ชุดชงมัทหะ 239 บาท อายุ 1 ปี → 239 ÷ 12 = 19.92 บาท/เดือน — สูงกว่าตาชั่งที่แพงกว่าเกือบเท่าตัว
เอาไปรวมกับค่าเช่า/ค่าไฟ เวลาคิดจุดคุ้มทุน</t>
        </r>
      </text>
    </comment>
    <comment ref="I5" authorId="0" shapeId="0" xr:uid="{51CFEDA0-604E-C147-8186-34C011BA9842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สภาพ
เลือกจาก dropdown: ใช้งานได้ / ต้องซ่อม / เสีย
ใช้เดินสำรวจอุปกรณ์เดือนละครั้ง จะไม่เจอเหตุการณ์เครื่องพังกลางวันขาย</t>
        </r>
      </text>
    </comment>
    <comment ref="J5" authorId="0" shapeId="0" xr:uid="{62770E54-67E0-9943-BE14-9BB97825FB01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ผู้รับผิดชอบ — ใครดูแลอุปกรณ์ชิ้นนี้ มีเจ้าภาพแล้วของเสียน้อยลงจริง</t>
        </r>
      </text>
    </comment>
    <comment ref="K5" authorId="0" shapeId="0" xr:uid="{D28BE3E3-D333-A249-BA59-9C7277D6CE57}">
      <text>
        <r>
          <rPr>
            <b/>
            <sz val="10"/>
            <color rgb="FF000000"/>
            <rFont val="Tahoma"/>
            <family val="2"/>
          </rPr>
          <t>TungAo:</t>
        </r>
        <r>
          <rPr>
            <sz val="10"/>
            <color rgb="FF000000"/>
            <rFont val="Tahoma"/>
            <family val="2"/>
          </rPr>
          <t xml:space="preserve">
หมายเหตุ — เลขเครื่อง/รุ่น · วันหมดประกัน · เบอร์ช่าง · หรือติดธงว่าราคาเป็นค่าประมาณ</t>
        </r>
      </text>
    </comment>
    <comment ref="A58" authorId="1" shapeId="0" xr:uid="{09533F27-A5E2-40AC-8A0A-55441DF5586D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Source: สลิปหน้าคำสั่งซื้อ Shopee (การซื้อของฉัน) 9 ภาพ อัปโหลดเข้าแชท 17 ก.ย. 2026
วิธีคิดราคา: ราคาต่อชิ้น = ราคาป้าย × (ยอดจ่ายจริง ÷ รวมราคาป้ายทั้งออเดอร์)
ตัวเลขราคาป้ายอ่านจากสลิป — หากมีใบเสร็จจริงให้แทนค่ายอดจ่ายจริงในคอลัมน์ C เท่านั้น ราคาทุกแถวจะอัปเดตเอง</t>
        </r>
      </text>
    </comment>
    <comment ref="C60" authorId="1" shapeId="0" xr:uid="{E9FB9E4E-B0D8-48D4-896F-A74913C24AAE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ที่ผู้ใช้ส่งมา (17 ก.ย. 2026) — สินค้าทุกรายการระบุส่งฟรี</t>
        </r>
      </text>
    </comment>
    <comment ref="D60" authorId="1" shapeId="0" xr:uid="{A1642495-BAA1-4A90-BAF1-F9EFFFC70CFC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ราคาป้าย×จำนวน จากสลิปหน้าคำสั่งซื้อ: ที่คีบ 34×1 · เหยือกชงชา 138×2 · ที่ตักน้ำแข็ง 45×1 · ถุงชงชา 37×1 · หัวปั๊มไซรัป 30×2</t>
        </r>
      </text>
    </comment>
    <comment ref="C61" authorId="1" shapeId="0" xr:uid="{1D306D03-B955-4602-BF51-984EC0828E63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(17 ก.ย. 2026)</t>
        </r>
      </text>
    </comment>
    <comment ref="D61" authorId="1" shapeId="0" xr:uid="{4340BC8B-5870-4D56-803E-F71DF2188395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ราคาป้าย×จำนวน: ขวดบีบ 800 มล. 29×4 (3+1 รายการ) · จิ้กเกอร์ 39 · Bar Mat 45×30 65 · Bar Mat 15×30 30 · ฉะเซ็น 95 · เทอร์โมมิเตอร์ 89 · ถุงมือไนไตร 83</t>
        </r>
      </text>
    </comment>
    <comment ref="C62" authorId="1" shapeId="0" xr:uid="{B474A85E-E949-4C15-B478-598FD4E3869D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(17 ก.ย. 2026)</t>
        </r>
      </text>
    </comment>
    <comment ref="D62" authorId="1" shapeId="0" xr:uid="{3243AB6D-9AA0-46B5-AECC-C47BC8129659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฿2,100 (ลดจาก ฿2,730) × 1 ชุด</t>
        </r>
      </text>
    </comment>
    <comment ref="C63" authorId="1" shapeId="0" xr:uid="{80F405EE-62A7-4C7E-9ADB-071A09E2407A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(17 ก.ย. 2026)</t>
        </r>
      </text>
    </comment>
    <comment ref="D63" authorId="1" shapeId="0" xr:uid="{2E2B7D85-1BAB-4775-9F96-A05115C4EC8A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฿1,180 (ลดจาก ฿1,400) × 1 ตัว</t>
        </r>
      </text>
    </comment>
    <comment ref="C64" authorId="1" shapeId="0" xr:uid="{6551191B-4EAA-411A-96E1-33CD2464289D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(17 ก.ย. 2026)</t>
        </r>
      </text>
    </comment>
    <comment ref="D64" authorId="1" shapeId="0" xr:uid="{870836B0-9B21-409F-BBB4-2D41C18B46C2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฿410 × 1 ถุง 30 g</t>
        </r>
      </text>
    </comment>
    <comment ref="C65" authorId="1" shapeId="0" xr:uid="{43FE58C9-723B-4035-935D-123D7C0EB23D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ยอดรวมสินค้า 2 รายการ จากสลิปหน้าคำสั่งซื้อ Shopee (17 ก.ย. 2026)</t>
        </r>
      </text>
    </comment>
    <comment ref="D65" authorId="1" shapeId="0" xr:uid="{FF135E51-95CA-4C4B-804B-B4E1E03AFBB7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฿119 (ลดจาก ฿238) × 2 ตัว</t>
        </r>
      </text>
    </comment>
    <comment ref="C66" authorId="1" shapeId="0" xr:uid="{9E2D84C1-6141-41D2-A504-07EF0A57E8FA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ยอดรวมคำสั่งซื้อจากสลิปหน้าคำสั่งซื้อ Shopee (17 ก.ย. 2026)</t>
        </r>
      </text>
    </comment>
    <comment ref="D66" authorId="1" shapeId="0" xr:uid="{C2AC9DE4-7AB4-42A4-9D59-40F0A32CF54F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฿110 ต่อถาด (ลดจาก ฿200) × 2 ถาด</t>
        </r>
      </text>
    </comment>
    <comment ref="C67" authorId="1" shapeId="0" xr:uid="{D8883A24-89CF-4E4E-B315-DF9399D499AF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ยอดรวมสินค้า 1 รายการ จากสลิปหน้าคำสั่งซื้อ Shopee (17 ก.ย. 2026)</t>
        </r>
      </text>
    </comment>
    <comment ref="D67" authorId="1" shapeId="0" xr:uid="{187490A9-268E-40A6-9759-500B78B7B65F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฿177 (ลดจาก ฿419) × 1 เครื่อง</t>
        </r>
      </text>
    </comment>
    <comment ref="C68" authorId="1" shapeId="0" xr:uid="{C2C414F3-95EA-405B-86FA-01F1A5514FEF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ยอดรวมสินค้า 2 รายการ จากสลิปหน้าคำสั่งซื้อ Shopee (จัดส่งสำเร็จ 17 ก.ย. 2026)</t>
        </r>
      </text>
    </comment>
    <comment ref="D68" authorId="1" shapeId="0" xr:uid="{68F31AFD-E807-482E-B154-1A4BFBD1A458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฿198 (ลดจาก ฿220) × 2 ขวด</t>
        </r>
      </text>
    </comment>
    <comment ref="C69" authorId="1" shapeId="0" xr:uid="{E4922C21-37A4-4202-A4D9-0B350AE0F6A2}">
      <text>
        <r>
          <rPr>
            <b/>
            <sz val="9"/>
            <color indexed="81"/>
            <rFont val="Tahoma"/>
          </rPr>
          <t>ยอดรวมคำสั่งซื้อ Total ฿149.94 (หลังหักส่วนลด ฿40 แล้ว) จากสลิปหน้าคำสั่งซื้อ Shopee</t>
        </r>
      </text>
    </comment>
    <comment ref="D69" authorId="1" shapeId="0" xr:uid="{26279240-2BE8-4105-9173-5E9CCDF15BBA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ราคาป้าย ฿24.99 × 6 ด้าม (TO2 เขียว · TO3 ดำ · TO5 ชมพู · TO6 ม่วง · TO7 ขาว · TO8 ส้ม) อย่างละ 1 ด้าม</t>
        </r>
      </text>
    </comment>
    <comment ref="E69" authorId="1" shapeId="0" xr:uid="{5893939D-D2CA-42D4-A4C7-CD8FAE9537F2}">
      <text>
        <r>
          <rPr>
            <b/>
            <sz val="9"/>
            <color indexed="81"/>
            <rFont val="Tahoma"/>
          </rPr>
          <t>ตัวคูณ = 1.0000 เพราะยอดจ่ายจริงเท่าราคาป้ายรวมพอดี — ส่วนลด ฿40 ถูกหักในราคาต่อด้ามแล้ว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tc={38797B19-8DDD-4546-99E9-7853842E337F}</author>
    <author>tc={4FB528C5-6E30-DD4C-92CE-B2C815E903D3}</author>
    <author>tc={6883E937-099B-C145-B14F-A1010A8BAECE}</author>
    <author>tc={323D1505-4D6E-6149-9850-DC326736D992}</author>
    <author>tc={43ED047A-43DF-EF4D-A923-5FC1D63F0F47}</author>
    <author>tc={D0706228-9B5F-DB45-BA19-1C231F94430B}</author>
    <author>tc={7491FE3A-AC62-9346-BBEE-DCC84925676D}</author>
    <author>tc={07978825-6FF8-0F47-8BFE-CBDA1AA04520}</author>
    <author>tc={EF7811F6-5F95-0546-819E-2194F7E9548C}</author>
    <author>tc={AAFCAEFC-DD83-9D47-95E7-7F293DA8B05F}</author>
  </authors>
  <commentList>
    <comment ref="B6" authorId="0" shapeId="0" xr:uid="{38797B19-8DDD-4546-99E9-7853842E337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Lemon8 @paifooreview (ราคาหน้าร้าน Aoarashi 100 g 1,490฿, ชงได้ ~30–35 แก้ว) https://www.lemon8-app.com/@paifooreview/7492076258533736978 ; Lazada Peace Oriental Teahouse https://www.lazada.co.th/products/marukyu-koyamaen-ceremonial-grade-matcha-i4814941944.html</t>
      </text>
    </comment>
    <comment ref="B7" authorId="1" shapeId="0" xr:uid="{4FB528C5-6E30-DD4C-92CE-B2C815E903D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mybest 'มัทฉะ Marukyu Koyamaen ตัวไหนดี 2026' https://th.my-best.com/53937 ; Lazada Peace Oriental Teahouse (รายชื่อรุ่น) — ราคาประมาณเทียบ Aoarashi</t>
      </text>
    </comment>
    <comment ref="B8" authorId="2" shapeId="0" xr:uid="{6883E937-099B-C145-B14F-A1010A8BAEC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The Home Barista — TOMOCHA Kyoto Uji Matcha Classic 100g/500g https://thehomebarista.com/shop/pure-kyoto-matcha-for-beverage/ · ราคา 2,200฿/500 g เป็นค่าประมาณเกรดลาเต้ ต้องยืนยันกับผู้ขาย</t>
      </text>
    </comment>
    <comment ref="B9" authorId="3" shapeId="0" xr:uid="{323D1505-4D6E-6149-9850-DC326736D99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Union P. Kyoto Uji Matcha Ceremonial 100g https://www.unionpshop.com/product/1156026 ; TrueID '10 ผงมัทฉะ 2026' (Tenju) https://food.trueid.net/detail/4NPMzw6jEkJG · ราคาประมาณ</t>
      </text>
    </comment>
    <comment ref="B10" authorId="4" shapeId="0" xr:uid="{43ED047A-43DF-EF4D-A923-5FC1D63F0F47}">
      <text>
        <t>[Threaded comment]
Your version of Excel allows you to read this threaded comment; however, any edits to it will get removed if the file is opened in a newer version of Excel. Learn more: https://go.microsoft.com/fwlink/?linkid=870924
Comment:
    ค่าประมาณตลาด (Shopee/Lazada ผงมัทฉะ 500 g เกรดเบเกอรี่) — ต้องยืนยันราคาจริงก่อนซื้อ</t>
      </text>
    </comment>
    <comment ref="B11" authorId="5" shapeId="0" xr:uid="{D0706228-9B5F-DB45-BA19-1C231F94430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Boncafe Uji Matcha Green Tea Latte 1 kg https://www.boncafe.co.th/en/shop/non-coffee/tea/green-tea/uji-matcha-green-tea-latte/ ; UCC U-Mixed https://uccthailand.com/product/ผงชาเขียวอูจิมัทฉะสำเร็จรูป/ · ราคาประมาณ</t>
      </text>
    </comment>
    <comment ref="A40" authorId="6" shapeId="0" xr:uid="{7491FE3A-AC62-9346-BBEE-DCC84925676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Lemon8 @kamyui_17 (ร่อนผง, 3–5 g/16 oz, น้ำอุ่น 30 ml) https://www.lemon8-app.com/@kamyui_17/7395869253615747601 ; Lemon8 @wiritira (latte grade, ร่อน 2–4 g) https://www.lemon8-app.com/@wiritira/7594485077812331015</t>
      </text>
    </comment>
    <comment ref="A41" authorId="7" shapeId="0" xr:uid="{07978825-6FF8-0F47-8BFE-CBDA1AA0452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MomoMatcha (2 g : 60–80 ml, น้ำ 70–80°C) https://momomatcha.com/matcha-hot-vs-cold/ ; Siamcoolermart (4 g + น้ำ 60 ml 75°C, double shot 6–7 g/40 ml) https://www.siamcoolermart.com/matcha-latte-cafe-style/ ; Pandateas (น้ำ ~80°C) https://pandateas.net/2025/05/29/มัทฉะลาเต้/</t>
      </text>
    </comment>
    <comment ref="A42" authorId="8" shapeId="0" xr:uid="{EF7811F6-5F95-0546-819E-2194F7E9548C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Lemon8 @sheisbrownie (5 g + น้ำร้อน 80°C 15–20 ml ตี แล้วเติมน้ำ) https://www.lemon8-app.com/@sheisbrownie/7242958134669672961 ; Lemon8 @smileestudio (5 g + น้ำอุ่น 50 ml + นม 100 ml + น้ำเชื่อม 15 ml) https://www.lemon8-app.com/@smileestudio/7555376914781831696</t>
      </text>
    </comment>
    <comment ref="A46" authorId="9" shapeId="0" xr:uid="{AAFCAEFC-DD83-9D47-95E7-7F293DA8B05F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Boncafe storage tips (airtight, cool dry, refrigerate after opening, dry spoon) https://www.boncafe.co.th/en/shop/non-coffee/tea/green-tea/uji-matcha-green-tea-latte/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Chayanun Sungsa-ard</author>
  </authors>
  <commentList>
    <comment ref="S2" authorId="0" shapeId="0" xr:uid="{C7AB81B0-C693-47D3-9A70-27D3A4FE39AE}">
      <text>
        <r>
          <rPr>
            <b/>
            <sz val="9"/>
            <color indexed="81"/>
            <rFont val="Tahoma"/>
          </rPr>
          <t>Chayanun Sungsa-ard:</t>
        </r>
        <r>
          <rPr>
            <sz val="9"/>
            <color indexed="81"/>
            <rFont val="Tahoma"/>
          </rPr>
          <t xml:space="preserve">
อักขระคั่นที่ใช้ต่อ Key = เมนู | ขนาด | ความหวาน
สูตรในชีต เตรียมเบส อ้างช่องนี้ — ห้ามแก้หรือลบ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<sst xmlns="http://schemas.openxmlformats.org/spreadsheetml/2006/main" count="3606" uniqueCount="1274">
  <si>
    <t>DA-YO Recipe Calculator</t>
  </si>
  <si>
    <t>เลือกเมนู → ขนาด → ระดับความหวาน ระบบจะคำนวณสูตร ต้นทุน และกำไรให้อัตโนมัติ</t>
  </si>
  <si>
    <t>เมนู</t>
  </si>
  <si>
    <t>Original</t>
  </si>
  <si>
    <t>ขนาด (oz)</t>
  </si>
  <si>
    <t>16 oz</t>
  </si>
  <si>
    <t>ระดับความหวาน</t>
  </si>
  <si>
    <t>50%</t>
  </si>
  <si>
    <t>หมายเหตุ:</t>
  </si>
  <si>
    <t>ส่วนผสม</t>
  </si>
  <si>
    <t>ปริมาณ</t>
  </si>
  <si>
    <t>หน่วย</t>
  </si>
  <si>
    <t>ชาไทยเบส</t>
  </si>
  <si>
    <t>ml</t>
  </si>
  <si>
    <t>ชาเขียวเบส</t>
  </si>
  <si>
    <t>นมสด</t>
  </si>
  <si>
    <t>นมข้นจืด</t>
  </si>
  <si>
    <t>นมข้นหวาน</t>
  </si>
  <si>
    <t>น้ำเชื่อม 1:1</t>
  </si>
  <si>
    <t>น้ำผึ้งเจือจาง 2:1</t>
  </si>
  <si>
    <t>โกโก้ผง</t>
  </si>
  <si>
    <t>g</t>
  </si>
  <si>
    <t>น้ำส้มคั้น</t>
  </si>
  <si>
    <t>เบสมะพร้าว</t>
  </si>
  <si>
    <t>ซอสสตรอว์เบอร์รี่</t>
  </si>
  <si>
    <t>น้ำมะนาว</t>
  </si>
  <si>
    <t>โซดา</t>
  </si>
  <si>
    <t>ครีมชีส / วิปชีสโฟม</t>
  </si>
  <si>
    <t>น้ำแข็ง</t>
  </si>
  <si>
    <t>ของเหลวรวม</t>
  </si>
  <si>
    <t>ต้นทุนวัตถุดิบ + บรรจุภัณฑ์</t>
  </si>
  <si>
    <t>บาท</t>
  </si>
  <si>
    <t>ราคาขาย</t>
  </si>
  <si>
    <t>กำไรขั้นต้นต่อแก้ว</t>
  </si>
  <si>
    <t>GP %</t>
  </si>
  <si>
    <t>เช็ค GP</t>
  </si>
  <si>
    <t>วิธีใช้: คลิกช่องสีเขียว (C5, C6, C7) แล้วเลือกจาก Dropdown</t>
  </si>
  <si>
    <t>แก้ราคาวัตถุดิบ/ราคาขาย ที่ชีต 'ต้นทุนและราคา' · แก้ปริมาณสูตร ที่ชีต 'ข้อมูลสูตร'</t>
  </si>
  <si>
    <t>ตารางรวมสูตรทั้งหมด</t>
  </si>
  <si>
    <t>ทุกเมนู × ทุกขนาด × ทุกระดับความหวาน — ดึงข้อมูลอัตโนมัติจากชีต "ข้อมูลสูตร" (ห้ามแก้ไขที่นี่ ให้แก้ที่ชีต 'ข้อมูลสูตร' หรือ 'ต้นทุนและราคา')</t>
  </si>
  <si>
    <t>ขนาด</t>
  </si>
  <si>
    <t>ความหวาน</t>
  </si>
  <si>
    <t>ชาไทยเบส (ml)</t>
  </si>
  <si>
    <t>ชาเขียวเบส (ml)</t>
  </si>
  <si>
    <t>นมสด (ml)</t>
  </si>
  <si>
    <t>นมข้นจืด (ml)</t>
  </si>
  <si>
    <t>นมข้นหวาน (ml)</t>
  </si>
  <si>
    <t>น้ำเชื่อม (ml)</t>
  </si>
  <si>
    <t>น้ำผึ้งเจือจาง (ml)</t>
  </si>
  <si>
    <t>โกโก้ผง (g)</t>
  </si>
  <si>
    <t>น้ำส้มคั้น (ml)</t>
  </si>
  <si>
    <t>เบสมะพร้าว (ml)</t>
  </si>
  <si>
    <t>ซอสสตรอว์เบอร์รี่ (g)</t>
  </si>
  <si>
    <t>น้ำมะนาว (ml)</t>
  </si>
  <si>
    <t>โซดา (ml)</t>
  </si>
  <si>
    <t>ครีมชีส/วิปชีส (g)</t>
  </si>
  <si>
    <t>น้ำแข็ง (g)</t>
  </si>
  <si>
    <t>ของเหลวรวม (ml)</t>
  </si>
  <si>
    <t>ต้นทุน/แก้ว</t>
  </si>
  <si>
    <t>หมายเหตุ</t>
  </si>
  <si>
    <t>Key</t>
  </si>
  <si>
    <t>ต้นทุน/แก้ว (บาท)</t>
  </si>
  <si>
    <t>ราคาขาย (บาท)</t>
  </si>
  <si>
    <t>0%</t>
  </si>
  <si>
    <t>25%</t>
  </si>
  <si>
    <t>75%</t>
  </si>
  <si>
    <t>100%</t>
  </si>
  <si>
    <t>22 oz</t>
  </si>
  <si>
    <t>Latte</t>
  </si>
  <si>
    <t>Cream Cheese</t>
  </si>
  <si>
    <t>Whip Cheese</t>
  </si>
  <si>
    <t>Orange Latte</t>
  </si>
  <si>
    <t>Cocoa</t>
  </si>
  <si>
    <t>Thai Tea Frappe</t>
  </si>
  <si>
    <t>Coconut Frappe</t>
  </si>
  <si>
    <t>Honey Milk</t>
  </si>
  <si>
    <t>Coconut Tea</t>
  </si>
  <si>
    <t>Lemon Tea</t>
  </si>
  <si>
    <t>Green Tea</t>
  </si>
  <si>
    <t>Green Coconut</t>
  </si>
  <si>
    <t>Green Honey Milk</t>
  </si>
  <si>
    <t>Green Berry Soda</t>
  </si>
  <si>
    <t>Green Tea Frappe</t>
  </si>
  <si>
    <t>เบสและซับสูตร (ทำล่วงหน้าทุกเช้า) — ปรับปริมาณการทำได้เอง</t>
  </si>
  <si>
    <t>ชีตนี้เป็นส่วนที่ไฟล์เดิมขาดไป — ไฟล์เดิมอ้างถึง 'ชาไทย 100 ml' และ 'นมผสม 75 ml' แต่ไม่เคยบอกว่าทำมาจากอะไร ทำให้สูตรทำซ้ำไม่ได้และคิดต้นทุนไม่ได้</t>
  </si>
  <si>
    <t>วิธีใช้: ทุกเบสมีช่องสีเหลือง "ปริมาณที่ต้องการทำ" — ใส่ตัวเลขที่อยากทำจริง (เช่น เปลี่ยนจาก 3,000 ml เป็น 1,000 ml ตอนทดลองสูตร) แล้วคอลัมน์ "ใช้จริง" ของทุกส่วนผสมในบล็อกนั้นจะปรับตามสัดส่วนให้อัตโนมัติ</t>
  </si>
  <si>
    <t>ปริมาณเบสที่ต้องการทำ</t>
  </si>
  <si>
    <t>วัตถุดิบ</t>
  </si>
  <si>
    <t>สูตรมาตรฐาน</t>
  </si>
  <si>
    <t>ใช้จริง</t>
  </si>
  <si>
    <t>สเปก / ยี่ห้อแนะนำ</t>
  </si>
  <si>
    <t>ชาไทยผงปรุงสำเร็จ ฉลากแดง</t>
  </si>
  <si>
    <t>น้ำ (92–95°C)</t>
  </si>
  <si>
    <t>น้ำตาลทราย</t>
  </si>
  <si>
    <t>เกลือป่น</t>
  </si>
  <si>
    <t>น้ำ (80–85°C)</t>
  </si>
  <si>
    <t>3. เบสมะพร้าว</t>
  </si>
  <si>
    <t>ผสมเย็นทั้งหมด ห้ามให้ความร้อนเด็ดขาด · เขย่าขวดทุกครั้งก่อนตวง (กะทิแยกชั้นเสมอ)</t>
  </si>
  <si>
    <t>น้ำมะพร้าวน้ำหอม 100% ไม่เติมน้ำตาล</t>
  </si>
  <si>
    <t>ให้กลิ่นหัวที่สดชื่น — อ่านฉลากให้แน่ใจว่าไม่เติมน้ำตาล</t>
  </si>
  <si>
    <t>กะทิ UHT</t>
  </si>
  <si>
    <t>ไขมัน 17–19% — ให้ตัวกลาง ทำให้ไม่เป็นน้ำ</t>
  </si>
  <si>
    <t>ไซรัปมะพร้าว</t>
  </si>
  <si>
    <t>ให้หางที่ค้างในปาก 5–10 วิ หลังกลืน</t>
  </si>
  <si>
    <t>เชื่อมรสชากับรสมะพร้าวไม่ให้แยกกัน</t>
  </si>
  <si>
    <t>⚠ น้ำมะพร้าวโดนความร้อนจะเปลี่ยนเป็นสีชมพู/ม่วง และเกิดกลิ่นเปรี้ยว — ชาต้องเย็นสนิทก่อนผสมเสมอ</t>
  </si>
  <si>
    <t>เบสตัวนี้มีน้ำตาลอยู่แล้ว จึงเป็นเหตุผลที่เมนูมะพร้าวใช้นมข้นหวานน้อยกว่าเมนูอื่นในทุกระดับความหวาน</t>
  </si>
  <si>
    <t>4. นมผสม (Milk Solution)</t>
  </si>
  <si>
    <t>นี่คือสิ่งที่ไฟล์เดิมเรียกว่า 'นมผสม' แต่ไม่เคยให้สูตร · การพรีมิกซ์ทำให้เสิร์ฟได้ 45–55 แก้ว/ชม. แทนที่จะเป็น 25</t>
  </si>
  <si>
    <t>ปริมาณที่ต้องการทำ</t>
  </si>
  <si>
    <t>คาร์เนชั่น</t>
  </si>
  <si>
    <t>ตรามะลิ</t>
  </si>
  <si>
    <t>นมสดรสจืด</t>
  </si>
  <si>
    <t>ลดความเลี่ยน เพิ่มความสด</t>
  </si>
  <si>
    <t>อายุ 24 ชม. · ในไฟล์เวอร์ชันนี้ผมแตกเป็นนมข้นจืด/นมข้นหวาน/นมสด แยกคอลัมน์ในตารางสูตรแล้ว เพื่อให้คิดต้นทุนได้ตรง</t>
  </si>
  <si>
    <t>5. ครีมชีสโฟม / วิปชีส</t>
  </si>
  <si>
    <t>ตีครีมชีสให้นิ่มก่อน 30 วิ → ใส่นมข้นหวาน+เกลือ ตี 20 วิ → ค่อย ๆ ใส่นมสดและวิปปิ้งครีม ตีความเร็วกลาง 1.5–2 นาที</t>
  </si>
  <si>
    <t>หยุดที่ ribbon stage: ยกหัวตีขึ้น ครีมต้องไหลเป็นสายแล้วจมหายใน 2–3 วินาที — ห้ามตีจนตั้งยอด ไม่งั้นเทไม่ลง</t>
  </si>
  <si>
    <t>ครีมชีส</t>
  </si>
  <si>
    <t>Anchor / Philadelphia — พักให้นิ่มที่อุณหภูมิห้องก่อน</t>
  </si>
  <si>
    <t>วิปปิ้งครีมเหลว</t>
  </si>
  <si>
    <t>ที่ตลาดนัดแนะนำ non-dairy (Rich's/Emborg) เพราะอยู่ตัวนานกว่าในอากาศร้อน</t>
  </si>
  <si>
    <t>เกลือคือหัวใจ ถ้าไม่ใส่จะเป็นแค่ครีมหวานธรรมดา</t>
  </si>
  <si>
    <t>ใช้ภายใน 12 ชม. — ที่ตลาดนัดควรตีวันละ 2 รอบ (เช้า/บ่าย) · 490 g พอสำหรับ ~8 แก้ว (16 oz ใช้ 60 g)</t>
  </si>
  <si>
    <t>⚠ เวลาตีไม่ปรับตามปริมาณแบบเป๊ะ ๆ — ล็อตเล็กกว่าครึ่งให้ลดเวลาตีลง ~20% แล้วดู ribbon stage เป็นหลัก</t>
  </si>
  <si>
    <t>หมายเหตุ: แต่ละยี่ห้อครีมชีสหวานไม่เท่ากัน ต้องชิมแยกทุกครั้งที่เปลี่ยนยี่ห้อ</t>
  </si>
  <si>
    <t>6. น้ำเชื่อม 1:1</t>
  </si>
  <si>
    <t>ละลายน้ำตาลในน้ำร้อนจนหมด ทิ้งให้เย็นสนิท กรอกใส่ขวดปั๊ม (ปั๊ม 1 ครั้ง = 10 ml เท่ากันทุกครั้ง)</t>
  </si>
  <si>
    <t>~50 °Brix</t>
  </si>
  <si>
    <t>น้ำร้อน</t>
  </si>
  <si>
    <t>ทำให้รสหวานกลมขึ้น ไม่แหลม</t>
  </si>
  <si>
    <t>อายุ 2 สัปดาห์ในตู้เย็น · น้ำตาล 1,000 g + น้ำ 1,000 ml ได้น้ำเชื่อมประมาณ 1,600 ml</t>
  </si>
  <si>
    <t>7. น้ำผึ้งเจือจาง 2:1</t>
  </si>
  <si>
    <t>ผสมน้ำผึ้งกับน้ำอุ่น (ไม่ร้อนจัด) คนให้เข้ากัน ใส่ขวดปั๊ม</t>
  </si>
  <si>
    <t>ถ้าไม่เจือจาง น้ำผึ้งจะจมก้นแก้วละลายไม่ทัน ลูกค้าจะได้ความหวานกระจุกที่จิบสุดท้าย</t>
  </si>
  <si>
    <t>น้ำผึ้ง</t>
  </si>
  <si>
    <t>ต้นทุนสูง (~0.23฿/ml หลังเจือจาง) — ใช้ให้กลิ่น ไม่ใช่ตัวดันความหวานหลัก</t>
  </si>
  <si>
    <t>น้ำอุ่น</t>
  </si>
  <si>
    <t>ไม่เกิน 50°C ความร้อนสูงทำลายกลิ่นน้ำผึ้ง</t>
  </si>
  <si>
    <t>⚠ หมายเหตุความปลอดภัย/เทคนิคเฉพาะเมนู</t>
  </si>
  <si>
    <t>Orange Latte (ชาไทยส้ม)</t>
  </si>
  <si>
    <t>น้ำส้ม pH ~3.5 ทำให้โปรตีนนมตกตะกอนเป็นเม็ด (curdling) — ป้องกันโดย: ใส่น้ำส้มลงก้นแก้วกับน้ำแข็งก่อน แล้วเทชา+นมทับเป็นชั้น ห้ามคน และเสิร์ฟทันที ถ้าจะทำล่วงหน้าให้เปลี่ยนนมสดเป็นครีมเทียมนอนแดรี่</t>
  </si>
  <si>
    <t>Cocoa (ชาไทยโกโก้)</t>
  </si>
  <si>
    <t>ผงโกโก้ไม่ละลายในของเหลวเย็น ต้องละลายกับชาเบสอุ่นหรือน้ำร้อน 20 ml ให้เป็นเพสต์ก่อน แล้วค่อยผสม ไม่งั้นจะมีผงจับก้อนลอย</t>
  </si>
  <si>
    <t>เมนูปั่นทั้งหมด</t>
  </si>
  <si>
    <t>ใส่ของเหลวลงโถก่อนเสมอ แล้วค่อยใส่น้ำแข็งทับ ถ้าใส่น้ำแข็งก่อนใบมีดจะหมุนตัวเปล่า · ปั่นความเร็วสูง 35–45 วินาที · ชิมทันทีหลังปั่น</t>
  </si>
  <si>
    <t>เมนูแยกชั้นทั้งหมด (มะพร้าว/นมสด/โซดา)</t>
  </si>
  <si>
    <t>เทของที่หนาแน่นกว่าลงก่อน แล้วเทชั้นบนผ่านหลังช้อนยาวช้า ๆ ให้ 'แผ่' ไม่ใช่ 'พุ่ง' · ปิดฝาโดม + บอกลูกค้าให้คนก่อนดื่ม</t>
  </si>
  <si>
    <t>น้ำแข็งไม่เท่ากันทุกเมนูโดยตั้งใจ</t>
  </si>
  <si>
    <t>16 oz: เมนูทั่วไป 240 g · เมนูมะพร้าว 220 g · เมนูมีโฟมและเมนูปั่น 200 g — เพราะแก้ว 16 oz จุของเหลวได้จริงราว 190–230 ml เมื่อใส่น้ำแข็งเต็ม ถ้าใส่ 280 g เท่ากันหมด เมนูมะพร้าวกับเมนูโฟมจะล้นแก้ว ชั่งครั้งเดียวตอนซ้อมแล้วจำระดับในแก้วไว้</t>
  </si>
  <si>
    <t>การทดลองสูตรล็อตเล็ก</t>
  </si>
  <si>
    <t>ปรับได้ตามสัดส่วน: ปริมาณวัตถุดิบทุกตัว · ปรับไม่ได้ตามสัดส่วน: เวลาแช่ชา อุณหภูมิน้ำ จำนวนรอบชักชา และเวลาตีโฟม — สามอย่างนี้ให้ยึดค่าเดิมเสมอ ไม่ว่าจะทำล็อตใหญ่หรือเล็ก</t>
  </si>
  <si>
    <t>ต้นทุนวัตถุดิบ และ ราคาขาย</t>
  </si>
  <si>
    <t>ต้นทุน/หน่วย (บาท)</t>
  </si>
  <si>
    <t>อ้างอิงการคำนวณ</t>
  </si>
  <si>
    <t>ชา 180 g (~47฿) + น้ำตาล 240 g (~8฿) ต่อ 3,000 ml</t>
  </si>
  <si>
    <t>นมสดจืด 1 L ~48฿</t>
  </si>
  <si>
    <t>กระป๋อง 405 ml ~30฿</t>
  </si>
  <si>
    <t>กระป๋อง 505 g ~35฿</t>
  </si>
  <si>
    <t>น้ำตาล 1 kg (~26฿) : น้ำ 1 L → ~1,600 ml</t>
  </si>
  <si>
    <t>น้ำผึ้ง 1 kg ~350฿ เจือจางน้ำอุ่น 2:1</t>
  </si>
  <si>
    <t>ผงโกโก้ 1 kg ~600฿</t>
  </si>
  <si>
    <t>ส้มคั้นสด / น้ำส้ม 100% 1 L ~55฿</t>
  </si>
  <si>
    <t>ดูสูตรในชีต 'เบสและซับสูตร' (~76฿ ต่อ 1,000 ml)</t>
  </si>
  <si>
    <t>ซอสมีเนื้อ 1 kg ~180฿</t>
  </si>
  <si>
    <t>มะนาวสด คั้นวันต่อวัน</t>
  </si>
  <si>
    <t>โซดาขวด 325 ml ~7฿</t>
  </si>
  <si>
    <t>ครีมชีส/วิปชีสโฟม</t>
  </si>
  <si>
    <t>คิดจากสูตรในชีต 'เบสและซับสูตร': ~85฿ ต่อ ~490 g</t>
  </si>
  <si>
    <t>น้ำแข็งหลอด ยกกระสอบ ~14฿/kg</t>
  </si>
  <si>
    <t>บรรจุภัณฑ์ 16 oz (แก้ว+ฝา+หลอด+สติกเกอร์)</t>
  </si>
  <si>
    <t>ชุด</t>
  </si>
  <si>
    <t>บรรจุภัณฑ์ 22 oz (แก้ว+ฝา+หลอด+สติกเกอร์)</t>
  </si>
  <si>
    <t>ชื่อไทย</t>
  </si>
  <si>
    <t>ชาไทยเย็น</t>
  </si>
  <si>
    <t>ชาไทยนมสด</t>
  </si>
  <si>
    <t>ชาไทยครีมชีสโฟม</t>
  </si>
  <si>
    <t>ชาไทยวิปชีส</t>
  </si>
  <si>
    <t>ชาไทยส้ม</t>
  </si>
  <si>
    <t>ชาไทยโกโก้</t>
  </si>
  <si>
    <t>ชาไทยปั่น</t>
  </si>
  <si>
    <t>ชาไทยมะพร้าวปั่น</t>
  </si>
  <si>
    <t>ชาไทยนมสดน้ำผึ้ง</t>
  </si>
  <si>
    <t>ชาไทยมะพร้าวน้ำหอม (เย็น)</t>
  </si>
  <si>
    <t>ชามะนาว</t>
  </si>
  <si>
    <t>ชาเขียวเย็น</t>
  </si>
  <si>
    <t>ชาเขียวมะพร้าว</t>
  </si>
  <si>
    <t>ชาเขียวนมสดน้ำผึ้ง</t>
  </si>
  <si>
    <t>ชาเขียวสตรอว์เบอร์รี่โซดา</t>
  </si>
  <si>
    <t>ชาเขียวปั่น</t>
  </si>
  <si>
    <t>บันทึกผลทดสอบรสชาติ (R&amp;D Log)</t>
  </si>
  <si>
    <t>กรอกทุกครั้งที่ทดลองสูตร · คะแนน 1–5 · JAR: 1=น้อยไปมาก 3=พอดี 5=มากไปมาก · เกณฑ์ปล่อยสูตร: 'พอดี' (3) ต้องได้ ≥ 70% ของผู้ชิม และ 'ซื้อซ้ำ' เฉลี่ย ≥ 4.0</t>
  </si>
  <si>
    <t>วันที่</t>
  </si>
  <si>
    <t>รหัสสูตร</t>
  </si>
  <si>
    <t>ผู้ชิม (คน)</t>
  </si>
  <si>
    <t>JAR หวาน</t>
  </si>
  <si>
    <t>JAR เข้มชา</t>
  </si>
  <si>
    <t>JAR ความมัน</t>
  </si>
  <si>
    <t>กลิ่น (1-5)</t>
  </si>
  <si>
    <t>ซื้อซ้ำ (1-5)</t>
  </si>
  <si>
    <t>สรุป/สิ่งที่จะปรับต่อ</t>
  </si>
  <si>
    <t>2026-09-05</t>
  </si>
  <si>
    <t>CT-v1</t>
  </si>
  <si>
    <t>ตัวอย่างการกรอก — JAR หวาน 3.4 เอียงไปทางหวานไป ลดนมข้นหวานลง ~8% แล้วเทสซ้ำ</t>
  </si>
  <si>
    <t>★ หลักการสำคัญสำหรับ DA-YO</t>
  </si>
  <si>
    <t>1. กลิ่นชา</t>
  </si>
  <si>
    <t>กลิ่นชาต้องเด่นชัด — ต้องได้กลิ่นภายใน 2 วินาทีที่ยกแก้ว ก่อนดื่ม</t>
  </si>
  <si>
    <t>2. รสชา</t>
  </si>
  <si>
    <t>รสชาไม่หายไปกับส่วนผสมอื่น — นี่คือเหตุผลที่ต้องเบลนด์ชา 2 ตัว ไม่ใช้ตัวเดียวโดด</t>
  </si>
  <si>
    <t>3. ความสมดุล</t>
  </si>
  <si>
    <t>ชา / นม / หวาน กลมกลืนกัน ไม่มีมิติไหนโดดออกมา</t>
  </si>
  <si>
    <t>4. ความอยากซื้อซ้ำ</t>
  </si>
  <si>
    <t>ลูกค้ากินหมดแล้วอยากซื้อแก้วต่อไปไหม — ตัดสินจากจิบที่ 10 ไม่ใช่จิบแรก</t>
  </si>
  <si>
    <t>✦ Checklist ทดลอง R&amp;D</t>
  </si>
  <si>
    <t>☑ ทดสอบ 25% / 50% / 75%</t>
  </si>
  <si>
    <t>ก่อนล็อกสูตรมาตรฐาน — ล็อกความหวานก่อนเสมอ เพราะความหวานบดบังทุกมิติ</t>
  </si>
  <si>
    <t>☑ ใช้แก้ว &amp; น้ำแข็งจริงของร้าน</t>
  </si>
  <si>
    <t>ผลลัพธ์เปลี่ยนตามอุปกรณ์ · ชั่งน้ำแข็งทุกแก้วตอนซ้อม</t>
  </si>
  <si>
    <t>☑ ให้คะแนน 5 ระดับ</t>
  </si>
  <si>
    <t>กลิ่น / รสเข้ม / ความมัน / สมดุล / ซื้อซ้ำ — จดลงชีต 'R&amp;D Log'</t>
  </si>
  <si>
    <t>☑ เน้นที่ความอยากซื้อซ้ำ</t>
  </si>
  <si>
    <t>ไม่ใช่แค่ความอร่อยครั้งแรก</t>
  </si>
  <si>
    <t>☑ ชิมแบบปิดตา (blind)</t>
  </si>
  <si>
    <t>ใช้แก้วทึบ + รหัสสุ่ม 3 หลัก (ห้ามใช้ A/B/C หรือ 1/2/3) และสลับลำดับทุกคน</t>
  </si>
  <si>
    <t>☑ เปลี่ยนทีละตัวแปรเดียว</t>
  </si>
  <si>
    <t>ถ้าเปลี่ยนน้ำตาลกับปริมาณชาพร้อมกัน จะไม่รู้ว่าอะไรทำให้ดีขึ้น</t>
  </si>
  <si>
    <t>☑ ชิมไม่เกิน 4–5 แก้วต่อรอบ</t>
  </si>
  <si>
    <t>เกินนี้ลิ้นล้า ผลจะมั่ว · ล้างปากด้วยน้ำเปล่า + แครกเกอร์จืด รอ 30 วินาที</t>
  </si>
  <si>
    <t>☑ ทดสอบ 'แก้วที่เดินแล้ว'</t>
  </si>
  <si>
    <t>ชงแล้วทิ้งไว้ 15 นาทีค่อยชิม — ถ้ารสจางเกินแปลว่าเบสเข้มไม่พอ</t>
  </si>
  <si>
    <t>! หมายเหตุสำคัญ</t>
  </si>
  <si>
    <t>แต่ละยี่ห้อหวานไม่เท่ากัน ต้องชิมแยกทุกครั้งที่เปลี่ยนยี่ห้อ</t>
  </si>
  <si>
    <t>เมนูปั่น (Frappe)</t>
  </si>
  <si>
    <t>ชิมทันทีหลังปั่น น้ำแข็งละลายทำให้รสเปลี่ยน</t>
  </si>
  <si>
    <t>Coconut Frappe / Coconut Tea ที่ 0%</t>
  </si>
  <si>
    <t>ยังได้กลิ่นมะพร้าวอยู่ เพราะไซรัปมะพร้าวอยู่ในเบสมะพร้าวแล้ว ไม่ใช่ตัวปรับความหวาน</t>
  </si>
  <si>
    <t>นิยาม % ความหวาน</t>
  </si>
  <si>
    <t>QC ก่อนเปิดร้านทุกวัน</t>
  </si>
  <si>
    <t>อุปกรณ์ที่คุ้มที่สุด</t>
  </si>
  <si>
    <t>เครื่องวัด Brix (refractometer) 600–1,200฿ และตาชั่งดิจิทัล 0.1 g — สองตัวนี้คือความต่างระหว่างรสคงที่กับรสเปลี่ยนทุกวัน</t>
  </si>
  <si>
    <t>สรุปสิ่งที่แก้ไขจากไฟล์เดิม</t>
  </si>
  <si>
    <t>ระดับ</t>
  </si>
  <si>
    <t>จุดที่พบ</t>
  </si>
  <si>
    <t>ปัญหาในไฟล์เดิม</t>
  </si>
  <si>
    <t>สิ่งที่แก้</t>
  </si>
  <si>
    <t>🔴 บั๊ก</t>
  </si>
  <si>
    <t>Thai Tea Frappe / Coconut Frappe / Honey Milk ขนาด 16 oz</t>
  </si>
  <si>
    <t>ทั้ง 5 ระดับความหวานมีค่าเหมือนกันหมด ลูกค้าเลือก 0% ก็ได้แก้วเดียวกับ 100% — Calculator ตอบเหมือนเดิมทุกครั้งโดยไม่มีสัญญาณเตือน</t>
  </si>
  <si>
    <t>ใส่สเกลความหวานจริงครบทั้ง 5 ระดับ ทุกเมนู ทุกขนาด (160 แถว ไม่มีแถวไหนซ้ำโดยไม่ตั้งใจ)</t>
  </si>
  <si>
    <t>Cream Cheese 16 oz</t>
  </si>
  <si>
    <t>ไม่มีนมข้นจืด แต่ขนาด 22 oz มี 25 ml — สองขนาดเป็นคนละสูตรกันโดยไม่ได้ตั้งใจ</t>
  </si>
  <si>
    <t>เติมนมข้นจืด 35 ml ให้ 16 oz และปรับ 22 oz ให้เป็นสัดส่วนเดียวกัน (×1.375)</t>
  </si>
  <si>
    <t>Cream Cheese 16 oz — ท็อปปิ้ง</t>
  </si>
  <si>
    <t>เขียนว่า 'Cream Cheese' เฉย ๆ ไม่มีปริมาณ พนักงานทำตามไม่ได้ (22 oz มี '50–55 g')</t>
  </si>
  <si>
    <t>กำหนดเป็นตัวเลขเดียว: 16 oz = 60 g, 22 oz = 82.5 g</t>
  </si>
  <si>
    <t>Honey Milk 16 oz ที่ 0%</t>
  </si>
  <si>
    <t>ยังใส่น้ำผึ้ง 15 ml และนมข้นหวาน '10–15 ml' ทั้งที่สั่ง 0% — ขัดกับความหมายของ 0%</t>
  </si>
  <si>
    <t>0% = ไม่มีสารให้ความหวานเพิ่มจริง (เหลือแค่น้ำตาลที่อยู่ในเบสชา)</t>
  </si>
  <si>
    <t>🟠 ทำมาตรฐานไม่ได้</t>
  </si>
  <si>
    <t>Cocoa 22 oz '6–7 g', Honey Milk '10–15 ml', Coconut Frappe '150 ml*'</t>
  </si>
  <si>
    <t>ค่าเป็นช่วงหรือมีดอกจันที่ไม่มีเชิงอรรถ ทำให้แต่ละคนชงไม่เหมือนกัน และคิดต้นทุนไม่ได้</t>
  </si>
  <si>
    <t>ล็อกเป็นตัวเลขเดียวทุกช่อง และแทน '150 ml*' ด้วย 'เบสมะพร้าว' ที่มีสูตรชัดเจน</t>
  </si>
  <si>
    <t>🟠 หน่วยไม่ตรงกัน</t>
  </si>
  <si>
    <t>Whip Cheese / Coconut Frappe</t>
  </si>
  <si>
    <t>ช่อง 'ชาไทย' บางเมนูเป็น '100 ml' (ชาชงแล้ว) บางเมนูเป็น '3 g + น้ำร้อน 60 ml' (ชงทีละแก้ว) — คอลัมน์เดียวกันมีสองความหมาย บวกกันไม่ได้</t>
  </si>
  <si>
    <t>รวมเป็นระบบเดียว: ทุกเมนูใช้ 'ชาไทยเบส (ml)' ที่ชงล่วงหน้า — เร็วกว่าและรสคงที่กว่าการชงทีละแก้วที่หน้าร้าน</t>
  </si>
  <si>
    <t>🟠 ไม่มีสูตร</t>
  </si>
  <si>
    <t>'นมผสม (Milk Solution)' ใน Whip Cheese</t>
  </si>
  <si>
    <t>ถูกอ้างถึงเป็นวัตถุดิบ 75 ml แต่ไม่มีที่ไหนในไฟล์บอกว่าทำจากอะไร</t>
  </si>
  <si>
    <t>เพิ่มชีต 'เบสและซับสูตร' พร้อมสูตรเต็ม และแตกเป็นนมสด/นมข้นจืดในตารางเพื่อให้คิดต้นทุนได้</t>
  </si>
  <si>
    <t>🟡 ปริมาตร</t>
  </si>
  <si>
    <t>Original 16 oz (145–160 ml), Cream Cheese 16 oz (110–140 ml), Whip Cheese 16 oz (105–125 ml)</t>
  </si>
  <si>
    <t>ของเหลวน้อยเกินไปสำหรับแก้ว 16 oz ที่ใส่น้ำแข็งเต็ม — เครื่องดื่มจะไม่ถึงปากแก้ว ลูกค้าเห็นว่า 'ได้ไม่คุ้ม' ทันทีที่รับแก้ว</t>
  </si>
  <si>
    <t>คำนวณความจุจริงใหม่ทั้งไฟล์: แก้ว 16 oz ที่ใส่น้ำแข็งเต็มจุของเหลวได้ ~190–230 ml (ไม่ใช่ 480 ml) จึงตั้งกรอบ 16 oz = 180–230 ml / 22 oz = 248–316 ml และปรับน้ำแข็งเป็น 3 ระดับตามชนิดเมนู (240 / 220 / 200 g)</t>
  </si>
  <si>
    <t>🟡 สัดส่วนขนาด</t>
  </si>
  <si>
    <t>Latte, Orange Latte</t>
  </si>
  <si>
    <t>16→22 oz ขยายไม่เท่ากันในแต่ละวัตถุดิบ (เช่น Latte ชา ×1.42 แต่นม ×1.22) ทำให้ 22 oz เป็นคนละรสกับ 16 oz</t>
  </si>
  <si>
    <t>ใช้ตัวคูณเดียวกันทั้งแถว ×1.375 สำหรับของเหลว และ ×1.36 สำหรับน้ำแข็ง</t>
  </si>
  <si>
    <t>🟡 คอนเซปต์</t>
  </si>
  <si>
    <t>ชาเบสแค่ 60 ml แต่มีนม 90 ml + นมข้นจืด 30 ml + นมข้นหวานอีก 30 ml — รสชาจมหายและเป็นการเติมนมซ้อนนม</t>
  </si>
  <si>
    <t>เพิ่มชาเบสเป็น 130 ml และเปลี่ยนตัวให้ความหวานเป็นน้ำเชื่อม เพื่อให้ยังเป็นเมนู 'นมสด' จริง</t>
  </si>
  <si>
    <t>🟢 เพิ่มใหม่</t>
  </si>
  <si>
    <t>ต้นทุนและกำไร (ตรวจพบปัญหาจริง 3 จุดทันทีที่คำนวณได้)</t>
  </si>
  <si>
    <t>ไฟล์เดิมไม่มีคอลัมน์ต้นทุนเลย — คำนวณสูตรได้แต่ไม่รู้ว่าเมนูไหนกำไร เพราะปริมาณเก็บเป็นข้อความ ('100 ml') บวกลบไม่ได้</t>
  </si>
  <si>
    <t>เปลี่ยนปริมาณเป็นตัวเลขจริง (หน่วยอยู่ในหัวคอลัมน์) + เพิ่มชีต 'ต้นทุนและราคา' + คำนวณต้นทุน/แก้ว ราคาขาย GP% อัตโนมัติทุกแถว · พอคำนวณได้ก็เจอทันทีว่า (1) ชามะนาวที่ 35 บาท GP เหลือ 51% เพราะมะนาวสดแพงกว่าที่คิด (2) เมนูน้ำผึ้งที่ 100% GP ตกเหลือ 55% (3) เมนูโฟมชีสต้องคุมปริมาณโฟมเป็นกรัม ไม่งั้น GP หลุด — ทั้ง 3 จุดแก้แล้วในไฟล์นี้ ตอนนี้ทั้ง 160 แถวมี GP ≥ 58%</t>
  </si>
  <si>
    <t>ชีต 'เบสและซับสูตร'</t>
  </si>
  <si>
    <t>ไฟล์เดิมอ้างถึงเบสที่ไม่มีสูตร ทำให้ทำซ้ำไม่ได้ถ้าเปลี่ยนคนชง</t>
  </si>
  <si>
    <t>สูตรเบส 6 ตัวครบ พร้อมอุณหภูมิ เวลาสกัด อายุการเก็บ และเหตุผลเชิงรสชาติ</t>
  </si>
  <si>
    <t>ชีต 'R&amp;D Log'</t>
  </si>
  <si>
    <t>ชีต 'เคล็ดลับ' บอกให้ทดสอบและให้คะแนน แต่ไม่มีที่ให้จดผล</t>
  </si>
  <si>
    <t>ตารางบันทึกผล JAR test พร้อมเกณฑ์ตัดสิน (≥70% ตอบ 'พอดี' และคะแนนซื้อซ้ำ ≥ 4.0)</t>
  </si>
  <si>
    <t>7 เมนูใหม่</t>
  </si>
  <si>
    <t>ไฟล์เดิมมี 9 เมนูและทุกเมนูมีนม — ไม่มีชาเขียวเลย ไม่มีเมนูไร้นม และมีมะพร้าวเฉพาะเวอร์ชันปั่นซึ่งทำช้าเกินไปสำหรับตลาดนัด</t>
  </si>
  <si>
    <t>เพิ่ม Coconut Tea (เย็น) ⭐, Lemon Tea, Green Tea, Green Coconut, Green Honey Milk, Green Berry Soda, Green Tea Frappe — รวมเป็น 16 เมนู</t>
  </si>
  <si>
    <t>Menu</t>
  </si>
  <si>
    <t>หมวด</t>
  </si>
  <si>
    <t>Size</t>
  </si>
  <si>
    <t>Sweetness</t>
  </si>
  <si>
    <t>หลัก</t>
  </si>
  <si>
    <t>พรีเมียม</t>
  </si>
  <si>
    <t>ปั่น</t>
  </si>
  <si>
    <t>ใหม่ ⭐</t>
  </si>
  <si>
    <t>ใหม่</t>
  </si>
  <si>
    <t>Green Latte</t>
  </si>
  <si>
    <t>ชาเขียวนมสด (มัทฉะลาเต้)</t>
  </si>
  <si>
    <t>Green Lemon Tea</t>
  </si>
  <si>
    <t>ชาเขียวมะนาว</t>
  </si>
  <si>
    <t>Green Honey Lemon</t>
  </si>
  <si>
    <t>ชาเขียวน้ำผึ้งมะนาว</t>
  </si>
  <si>
    <t>Green Cream Cheese</t>
  </si>
  <si>
    <t>ชาเขียวครีมชีสโฟม</t>
  </si>
  <si>
    <t>ใหม่ 🍵</t>
  </si>
  <si>
    <t>🍵 เพิ่มใหม่ (รอบ 2)</t>
  </si>
  <si>
    <t>4 เมนูชาเขียวใหม่: Green Latte / Green Lemon Tea / Green Honey Lemon / Green Cream Cheese</t>
  </si>
  <si>
    <t>เมนูยอดนิยมในตลาด (มัทฉะลาเต้, ชาเขียวมะนาว, ชาเขียวน้ำผึ้งมะนาว, มัทฉะครีมชีส) ยังไม่มีในไฟล์</t>
  </si>
  <si>
    <t>เพิ่ม 40 แถว (ข้อมูลสูตร แถว 162–201) เรียบเรียงจากสูตรเว็บ/โซเชียล (แหล่งที่มาใน comment ของชื่อเมนู) สเกลหวาน/ขนาดตามแพทเทิร์นเมนูพี่น้อง (Latte/Lemon Tea/Honey Milk/Cream Cheese) ใช้วัตถุดิบเดิมทั้งหมด ราคา 50/60, 40/50, 50/60, 65/75 บาท — ทุกแถว GP ≥ 58% ตามเกณฑ์เดิม พร้อมขยาย dropdown, ตารางรวม และตารางราคาให้ครอบคลุมแล้ว</t>
  </si>
  <si>
    <t>ประเภทสินค้า</t>
  </si>
  <si>
    <t>หน่วยใช้</t>
  </si>
  <si>
    <t>หน่วยซื้อ</t>
  </si>
  <si>
    <t>ประเภทการปรับ</t>
  </si>
  <si>
    <t>ช่องทางขาย</t>
  </si>
  <si>
    <t>สภาพอุปกรณ์</t>
  </si>
  <si>
    <t>วัตถุดิบในสูตร</t>
  </si>
  <si>
    <t>บรรจุภัณฑ์</t>
  </si>
  <si>
    <t>วัสดุสิ้นเปลือง</t>
  </si>
  <si>
    <t>ชิ้น</t>
  </si>
  <si>
    <t>ถุง</t>
  </si>
  <si>
    <t>กล่อง</t>
  </si>
  <si>
    <t>กระป๋อง</t>
  </si>
  <si>
    <t>ขวด</t>
  </si>
  <si>
    <t>แพ็ค</t>
  </si>
  <si>
    <t>กระสอบ</t>
  </si>
  <si>
    <t>กิโลกรัม</t>
  </si>
  <si>
    <t>ถัง</t>
  </si>
  <si>
    <t>ลัง</t>
  </si>
  <si>
    <t>นับจริง-เพิ่ม</t>
  </si>
  <si>
    <t>นับจริง-ลด</t>
  </si>
  <si>
    <t>ของเสีย</t>
  </si>
  <si>
    <t>หมดอายุ</t>
  </si>
  <si>
    <t>โอนออก</t>
  </si>
  <si>
    <t>ใช้ทดลองสูตร</t>
  </si>
  <si>
    <t>อื่นๆ</t>
  </si>
  <si>
    <t>หน้าร้าน</t>
  </si>
  <si>
    <t>LINE OA</t>
  </si>
  <si>
    <t>Grab</t>
  </si>
  <si>
    <t>LINE MAN</t>
  </si>
  <si>
    <t>ใช้งานได้</t>
  </si>
  <si>
    <t>ซ่อม</t>
  </si>
  <si>
    <t>ชำรุด</t>
  </si>
  <si>
    <t>จำหน่ายแล้ว</t>
  </si>
  <si>
    <t>บรรจุภัณฑ์ 16 oz</t>
  </si>
  <si>
    <t>บรรจุภัณฑ์ 22 oz</t>
  </si>
  <si>
    <t>📦 สินค้าและสต็อก — รายการวัตถุดิบ/บรรจุภัณฑ์ที่ซื้อ + สต็อกคงเหลืออัตโนมัติ</t>
  </si>
  <si>
    <t>รหัสสินค้า</t>
  </si>
  <si>
    <t>ชื่อสินค้า</t>
  </si>
  <si>
    <t>ประเภท</t>
  </si>
  <si>
    <t>ปริมาณต่อหน่วยซื้อ</t>
  </si>
  <si>
    <t>ราคาตั้งต้นต่อหน่วยซื้อ</t>
  </si>
  <si>
    <t>จุดสั่งซื้อ (หน่วยใช้)</t>
  </si>
  <si>
    <t>ยี่ห้อ/หมายเหตุ</t>
  </si>
  <si>
    <t>ซื้อรวม (หน่วยซื้อ)</t>
  </si>
  <si>
    <t>ยอดซื้อรวม (บาท)</t>
  </si>
  <si>
    <t>ต้นทุนเฉลี่ยต่อหน่วยซื้อ</t>
  </si>
  <si>
    <t>ต้นทุนต่อหน่วยใช้</t>
  </si>
  <si>
    <t>รับเข้า (หน่วยใช้)</t>
  </si>
  <si>
    <t>ใช้จากการขาย (หน่วยใช้)</t>
  </si>
  <si>
    <t>ปรับปรุง (หน่วยใช้)</t>
  </si>
  <si>
    <t>คงเหลือ (หน่วยใช้)</t>
  </si>
  <si>
    <t>คงเหลือ (หน่วยซื้อ)</t>
  </si>
  <si>
    <t>มูลค่าคงเหลือ (บาท)</t>
  </si>
  <si>
    <t>สถานะ</t>
  </si>
  <si>
    <t>ลำดับแจ้งเตือน</t>
  </si>
  <si>
    <t>ชาตรามือ</t>
  </si>
  <si>
    <t>ชาเขียวผง ฉลากเขียว</t>
  </si>
  <si>
    <t>นมสดรสจืด UHT</t>
  </si>
  <si>
    <t>ตรามะลิ (ใช้ g≈ml)</t>
  </si>
  <si>
    <t>ผงโกโก้</t>
  </si>
  <si>
    <t>น้ำส้ม 100%</t>
  </si>
  <si>
    <t>น้ำมะพร้าวน้ำหอม 100%</t>
  </si>
  <si>
    <t>ไม่เติมน้ำตาล</t>
  </si>
  <si>
    <t>ไขมัน 17–19%</t>
  </si>
  <si>
    <t>มะนาวสด (คั้นได้ ~250 ml/kg)</t>
  </si>
  <si>
    <t>ปริมาณต่อหน่วยซื้อ = น้ำมะนาวที่คั้นได้</t>
  </si>
  <si>
    <t>Anchor / Philadelphia</t>
  </si>
  <si>
    <t>non-dairy แนะนำ</t>
  </si>
  <si>
    <t>น้ำแข็งหลอด</t>
  </si>
  <si>
    <t>น้ำสะอาด (กรอง/ถัง)</t>
  </si>
  <si>
    <t>ใช้ต้มชา/ทำน้ำเชื่อม</t>
  </si>
  <si>
    <t>แก้ว 16 oz</t>
  </si>
  <si>
    <t>แก้ว 22 oz</t>
  </si>
  <si>
    <t>ฝาโดม 16 oz</t>
  </si>
  <si>
    <t>ฝาโดม 22 oz</t>
  </si>
  <si>
    <t>หลอด</t>
  </si>
  <si>
    <t>สติกเกอร์โลโก้</t>
  </si>
  <si>
    <t>🧪 ต้นทุนเบส — แปลง "วัตถุดิบในสูตร" เป็น "ของดิบที่ซื้อจริง" และคำนวณต้นทุนต่อหน่วยอัตโนมัติ</t>
  </si>
  <si>
    <t>ตารางบน = สรุปต้นทุนต่อหน่วยของ 17 วัตถุดิบในสูตร (ส่งเข้าชีต ต้นทุนและราคา อัตโนมัติ) · ตารางล่าง = ส่วนประกอบต่อ 1 batch (แก้ตัวเลขครีมได้ ถ้าสูตรเบสเปลี่ยน) · ถ้ายังไม่มีข้อมูลสินค้า ระบบจะใช้ค่าเดิมแทน</t>
  </si>
  <si>
    <t>ลำดับ</t>
  </si>
  <si>
    <t>ขนาด batch มาตรฐาน</t>
  </si>
  <si>
    <t>ต้นทุนคำนวณต่อหน่วย</t>
  </si>
  <si>
    <t>ต้นทุนตั้งต้นต่อหน่วย (ค่าเดิม)</t>
  </si>
  <si>
    <t>ต้นทุนที่ใช้</t>
  </si>
  <si>
    <t>ใช้ไปจากการขาย (หน่วย)</t>
  </si>
  <si>
    <t>ส่วนต่างจากค่าเดิม</t>
  </si>
  <si>
    <t>ส่วนประกอบต่อ 1 batch (Bill of Materials)</t>
  </si>
  <si>
    <t>รหัส BOM</t>
  </si>
  <si>
    <t>ปริมาณต่อ batch</t>
  </si>
  <si>
    <t>ปริมาณต่อ 1 หน่วยสูตร</t>
  </si>
  <si>
    <t>ต้นทุนสินค้าต่อหน่วยใช้</t>
  </si>
  <si>
    <t>ต้นทุนต่อ 1 หน่วยสูตร</t>
  </si>
  <si>
    <t>ใช้ไปจากการขาย (หน่วยใช้)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</si>
  <si>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</si>
  <si>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</si>
  <si>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</si>
  <si>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</si>
  <si>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</si>
  <si>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</si>
  <si>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</si>
  <si>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</si>
  <si>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</si>
  <si>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</si>
  <si>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</si>
  <si>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</si>
  <si>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</si>
  <si>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</si>
  <si>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</si>
  <si>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</si>
  <si>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</si>
  <si>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</si>
  <si>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</si>
  <si>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</si>
  <si>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</si>
  <si>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</si>
  <si>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</si>
  <si>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</si>
  <si>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</si>
  <si>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</si>
  <si>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</si>
  <si>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</si>
  <si>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</si>
  <si>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</si>
  <si>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</si>
  <si>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</si>
  <si>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</si>
  <si>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</si>
  <si>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</si>
  <si>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</si>
  <si>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</si>
  <si>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</si>
  <si>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B-39</t>
  </si>
  <si>
    <t>B-40</t>
  </si>
  <si>
    <t>B-41</t>
  </si>
  <si>
    <t>🧾 บันทึกซื้อ — ทุกครั้งที่ซื้อวัตถุดิบ/บรรจุภัณฑ์เข้าร้าน</t>
  </si>
  <si>
    <t>กรอก: วันที่ · รหัสสินค้า (เลือกจาก dropdown) · จำนวน (หน่วยซื้อ) · ราคารวม · ร้านค้า · ผู้บันทึก — ที่เหลือคำนวณเอง · 1 แถว = 1 รายการ · ห้ามเว้นแถวว่างกลางตาราง</t>
  </si>
  <si>
    <t>รหัสรายการ</t>
  </si>
  <si>
    <t>จำนวน (หน่วยซื้อ)</t>
  </si>
  <si>
    <t>ราคารวม (บาท)</t>
  </si>
  <si>
    <t>ราคาต่อหน่วยซื้อ</t>
  </si>
  <si>
    <t>ปริมาณที่ได้ (หน่วยใช้)</t>
  </si>
  <si>
    <t>ร้านค้า</t>
  </si>
  <si>
    <t>ผู้บันทึก</t>
  </si>
  <si>
    <t>🔧 ปรับสต็อก — ของเสีย / นับจริง / หมดอายุ / โอนออก / ใช้ทดลองสูตร</t>
  </si>
  <si>
    <t>กรอก: วันที่ · รหัสสินค้า · ประเภทการปรับ · จำนวนใน "หน่วยใช้" (g / ml / ชิ้น) — ใส่ + ถ้าเพิ่ม, ใส่ − ถ้าลด (เช่น ทิ้งนมสด 500 ml → -500) · 1 แถว = 1 รายการ</t>
  </si>
  <si>
    <t>จำนวน (+เพิ่ม / -ลด)</t>
  </si>
  <si>
    <t>เหตุผล</t>
  </si>
  <si>
    <t>🛠 ทะเบียนอุปกรณ์ — เครื่องปั่น เหยือก ตู้เย็น ฯลฯ (ไม่คิดเข้าต้นทุนต่อแก้ว)</t>
  </si>
  <si>
    <t>กรอก: ชื่อ · วันที่ซื้อ · ราคา · จำนวน · อายุใช้งานคาดว่า (ปี) → ค่าเสื่อมต่อเดือนคำนวณเอง (ข้อมูลประกอบการตัดสินใจ) · สภาพเลือกจาก dropdown</t>
  </si>
  <si>
    <t>รหัสอุปกรณ์</t>
  </si>
  <si>
    <t>ชื่ออุปกรณ์</t>
  </si>
  <si>
    <t>วันที่ซื้อ</t>
  </si>
  <si>
    <t>ราคา (บาท)</t>
  </si>
  <si>
    <t>จำนวน</t>
  </si>
  <si>
    <t>อายุใช้งาน (ปี)</t>
  </si>
  <si>
    <t>ค่าเสื่อมต่อเดือน</t>
  </si>
  <si>
    <t>สภาพ</t>
  </si>
  <si>
    <t>ผู้รับผิดชอบ</t>
  </si>
  <si>
    <t>🛒 บันทึกขาย — กรอกแค่ วันที่ · เมนู · ขนาด · ความหวาน · จำนวนแก้ว</t>
  </si>
  <si>
    <t>ระบบดึงราคาขาย ต้นทุน กำไร และปริมาณวัตถุดิบที่ใช้ทั้ง 17 ตัว ให้อัตโนมัติ (คอลัมน์ J เป็นต้นไป) · 1 แถว = 1 เมนู/ขนาด/ความหวาน (ขายชาเขียว 22 oz 100% 3 แก้ว → 1 แถว จำนวน 3) · ความหวานต้องเป็นข้อความ 0% / 25% / 50% / 75% / 100%</t>
  </si>
  <si>
    <t>จำนวนแก้ว</t>
  </si>
  <si>
    <t>ช่องทาง</t>
  </si>
  <si>
    <t>ราคาต่อแก้ว</t>
  </si>
  <si>
    <t>ต้นทุนต่อแก้ว</t>
  </si>
  <si>
    <t>ยอดขาย (บาท)</t>
  </si>
  <si>
    <t>ต้นทุนรวม (บาท)</t>
  </si>
  <si>
    <t>กำไร (บาท)</t>
  </si>
  <si>
    <t>ต้นทุน/หน่วย (คอลัมน์ C) ลิงก์อัตโนมัติจากชีต 'ต้นทุนเบส' ซึ่งคำนวณจากราคาซื้อจริงใน 'บันทึกซื้อ' — ไม่ต้องพิมพ์เอง · ราคาขาย (ตารางล่าง) ยังแก้ได้ที่ช่องครีม</t>
  </si>
  <si>
    <t>📈 Dashboard — ภาพรวมยอดขาย กำไร และสต็อก</t>
  </si>
  <si>
    <t>เปลี่ยนช่วงวันที่ในช่องครีม (B4 / D4) ตัวเลขทั้งหน้าจะคำนวณใหม่ · ค่าเริ่มต้น = ต้นเดือนนี้ถึงวันนี้</t>
  </si>
  <si>
    <t>ช่วงวันที่: จาก</t>
  </si>
  <si>
    <t>ถึง</t>
  </si>
  <si>
    <t>ยอดขายในช่วงที่เลือก</t>
  </si>
  <si>
    <t>ต้นทุนวัตถุดิบ (บาท)</t>
  </si>
  <si>
    <t>กำไรขั้นต้น (บาท)</t>
  </si>
  <si>
    <t>จำนวนรายการขาย</t>
  </si>
  <si>
    <t>สถานะสต็อกและทรัพย์สิน (ณ ปัจจุบัน)</t>
  </si>
  <si>
    <t>มูลค่าสต็อกคงเหลือ (บาท)</t>
  </si>
  <si>
    <t>สินค้าใกล้หมด (รายการ)</t>
  </si>
  <si>
    <t>สินค้าหมด (รายการ)</t>
  </si>
  <si>
    <t>ยอดซื้อในช่วงที่เลือก (บาท)</t>
  </si>
  <si>
    <t>ของเสีย/ปรับลดในช่วง (รายการ)</t>
  </si>
  <si>
    <t>มูลค่าอุปกรณ์รวม (บาท)</t>
  </si>
  <si>
    <t>ยอดขายแยกเมนู (ช่วงที่เลือก)</t>
  </si>
  <si>
    <t>แก้ว</t>
  </si>
  <si>
    <t>ต้นทุน (บาท)</t>
  </si>
  <si>
    <t>สัดส่วนยอดขาย</t>
  </si>
  <si>
    <t>⚠ สินค้าที่ต้องสั่งซื้อ (ใกล้หมด/หมด)</t>
  </si>
  <si>
    <t>ยอดขายรายวัน 7 วันล่าสุด</t>
  </si>
  <si>
    <t>🔌 Schema — โครงข้อมูลสำหรับเชื่อม LINE OA / ระบบอัตโนมัติ</t>
  </si>
  <si>
    <t>กฎทั่วไป: (1) เขียนข้อมูลเฉพาะคอลัมน์ที่ระบุ "กรอก" เท่านั้น ห้ามเขียนทับคอลัมน์สูตร (2) เพิ่มข้อมูลด้วยการ 'เพิ่มแถวในตาราง' (Table row append) เสมอ ไม่เว้นแถวว่าง (3) วันที่ส่งเป็นวันที่จริง (ISO yyyy-mm-dd) ไม่ใช่ข้อความ (4) ความหวานส่งเป็นข้อความ "0%"…"100%" (5) รหัสสินค้า/เมนู ต้องตรงกับรายการใน Lists / สินค้าและสต็อก ทุกตัวอักษร (6) อ่านผลลัพธ์ได้ทันทีจากคอลัมน์สูตรของแถวเดียวกัน หรือจาก Dashboard</t>
  </si>
  <si>
    <t>ตาราง (ชีต)</t>
  </si>
  <si>
    <t>ชื่อ Table</t>
  </si>
  <si>
    <t>คอลัมน์</t>
  </si>
  <si>
    <t>กรอก/สูตร</t>
  </si>
  <si>
    <t>ชนิดข้อมูล</t>
  </si>
  <si>
    <t>จำเป็น</t>
  </si>
  <si>
    <t>ค่าที่อนุญาต / แหล่งอ้างอิง</t>
  </si>
  <si>
    <t>ตัวอย่าง</t>
  </si>
  <si>
    <t>บันทึกขาย</t>
  </si>
  <si>
    <t>tblSales</t>
  </si>
  <si>
    <t>สูตร</t>
  </si>
  <si>
    <t>text</t>
  </si>
  <si>
    <t>-</t>
  </si>
  <si>
    <t>อัตโนมัติ S+yymmdd+ลำดับ</t>
  </si>
  <si>
    <t>S260905-001</t>
  </si>
  <si>
    <t>ใช้เป็น reference กลับไปหาแถว</t>
  </si>
  <si>
    <t>กรอก</t>
  </si>
  <si>
    <t>date</t>
  </si>
  <si>
    <t>✔</t>
  </si>
  <si>
    <t>yyyy-mm-dd</t>
  </si>
  <si>
    <t>Lists!A2:A60 (ชื่ออังกฤษ)</t>
  </si>
  <si>
    <t>ตรงตัวอักษรกับ Lists</t>
  </si>
  <si>
    <t>มีช่องว่างระหว่างเลขกับ oz</t>
  </si>
  <si>
    <t>0% | 25% | 50% | 75% | 100%</t>
  </si>
  <si>
    <t>ต้องเป็นข้อความ ไม่ใช่ตัวเลข 1</t>
  </si>
  <si>
    <t>integer</t>
  </si>
  <si>
    <t>1–999</t>
  </si>
  <si>
    <t>Lists!L2:L6</t>
  </si>
  <si>
    <t>ชื่อผู้ใช้ / LINE userId</t>
  </si>
  <si>
    <t>น้องเอ</t>
  </si>
  <si>
    <t>อิสระ</t>
  </si>
  <si>
    <t>Key … GP % และวัตถุดิบ 17 คอลัมน์</t>
  </si>
  <si>
    <t>number</t>
  </si>
  <si>
    <t>คำนวณจาก ตารางรวม</t>
  </si>
  <si>
    <t>อ่านค่าได้ ห้ามเขียน</t>
  </si>
  <si>
    <t>บันทึกซื้อ</t>
  </si>
  <si>
    <t>tblPurchases</t>
  </si>
  <si>
    <t>&gt;0 ในหน่วยซื้อของสินค้า (กล่อง/ถุง…)</t>
  </si>
  <si>
    <t>ดูหน่วยซื้อในชีต สินค้าและสต็อก</t>
  </si>
  <si>
    <t>&gt;=0</t>
  </si>
  <si>
    <t>ราคารวมทั้งบิลของรายการนั้น</t>
  </si>
  <si>
    <t>ร้านค้า / ผู้บันทึก / หมายเหตุ</t>
  </si>
  <si>
    <t>แม็คโคร</t>
  </si>
  <si>
    <t>รหัสรายการ / ชื่อสินค้า / ราคาต่อหน่วยซื้อ / ปริมาณที่ได้</t>
  </si>
  <si>
    <t>อัตโนมัติ</t>
  </si>
  <si>
    <t>ปรับสต็อก</t>
  </si>
  <si>
    <t>tblAdjust</t>
  </si>
  <si>
    <t>สินค้าและสต็อก!A</t>
  </si>
  <si>
    <t>Lists!K2:K8</t>
  </si>
  <si>
    <t>หน่วยใช้ (g/ml/ชิ้น) · ลบ = ลดสต็อก</t>
  </si>
  <si>
    <t>ยอดยกมาครั้งแรก: ใช้ 'นับจริง-เพิ่ม' ค่าบวก</t>
  </si>
  <si>
    <t>เหตุผล / ผู้บันทึก</t>
  </si>
  <si>
    <t>นมบูด</t>
  </si>
  <si>
    <t>สินค้าและสต็อก</t>
  </si>
  <si>
    <t>tblItems</t>
  </si>
  <si>
    <t>mixed</t>
  </si>
  <si>
    <t>ราคาตั้งต้นใช้จนกว่าจะมีบันทึกซื้อ</t>
  </si>
  <si>
    <t>คอลัมน์ J–U (ซื้อรวม…สถานะ)</t>
  </si>
  <si>
    <t>number/text</t>
  </si>
  <si>
    <t>สถานะ: ปกติ | ใกล้หมด | หมด</t>
  </si>
  <si>
    <t>ต้นทุนเบส</t>
  </si>
  <si>
    <t>tblBOM</t>
  </si>
  <si>
    <t>วัตถุดิบในสูตร / รหัสสินค้า / ปริมาณต่อ batch</t>
  </si>
  <si>
    <t>Lists!N · สินค้าและสต็อก!A · &gt;0</t>
  </si>
  <si>
    <t>แก้เมื่อสูตรเบสเปลี่ยนเท่านั้น</t>
  </si>
  <si>
    <t>tblIng</t>
  </si>
  <si>
    <t>&gt;0 (ml/g ที่ได้ต่อ 1 batch)</t>
  </si>
  <si>
    <t>ต้องตรงกับชีต เบสและซับสูตร</t>
  </si>
  <si>
    <t>ทะเบียนอุปกรณ์</t>
  </si>
  <si>
    <t>tblEquip</t>
  </si>
  <si>
    <t>ชื่อ / วันที่ซื้อ / ราคา / จำนวน / อายุใช้งาน (ปี) / สภาพ</t>
  </si>
  <si>
    <t>สภาพ: Lists!M2:M5</t>
  </si>
  <si>
    <t>เครื่องปั่น, 2026-01-10, 3500, 1, 3, ใช้งานได้</t>
  </si>
  <si>
    <t>Dashboard</t>
  </si>
  <si>
    <t>B4 / D4 ช่วงวันที่</t>
  </si>
  <si>
    <t>2026-09-01 / 2026-09-30</t>
  </si>
  <si>
    <t>อ่าน KPI จาก A8:F8, A12:F12, ตารางเมนู A16:H36</t>
  </si>
  <si>
    <t>คำนวณสูตร</t>
  </si>
  <si>
    <t>C5 เมนู / C6 ขนาด / C7 ความหวาน</t>
  </si>
  <si>
    <t>Lists!A · 16 oz|22 oz · 0%…100%</t>
  </si>
  <si>
    <t>Green Latte / 16 oz / 50%</t>
  </si>
  <si>
    <t>อ่านสูตรต่อแก้วจาก C13:C34</t>
  </si>
  <si>
    <t>ลำดับการทำงานที่แนะนำสำหรับบอท LINE OA</t>
  </si>
  <si>
    <t>ผู้ใช้พิมพ์ 'ขาย ชาเขียว 22 100% 3' → บอทแปลงเป็น {วันที่, เมนู, ขนาด, ความหวาน, จำนวนแก้ว, ช่องทาง=LINE OA, ผู้บันทึก=userId} → เพิ่มแถวใน tblSales</t>
  </si>
  <si>
    <t>อ่านค่ากลับจากแถวเดียวกัน: ราคาต่อแก้ว, ยอดขาย, ต้นทุนรวม, กำไร, GP% และคอลัมน์วัตถุดิบที่ไม่เป็น 0 → ตอบกลับผู้ใช้</t>
  </si>
  <si>
    <t>ซื้อ RM-007 6 288 แม็คโคร' → เพิ่มแถว tblPurchases · 'ทิ้ง RM-007 500 นมบูด' → เพิ่มแถว tblAdjust จำนวน -500</t>
  </si>
  <si>
    <t>สต็อก' → อ่าน tblItems คอลัมน์ รหัส/ชื่อ/คงเหลือ/สถานะ (หรือ Dashboard!J16:O30 เฉพาะที่ต้องสั่งซื้อ)</t>
  </si>
  <si>
    <t>ยอดวันนี้' → เขียน Dashboard!B4 และ D4 = วันนี้ แล้วอ่าน A8:F8 (หรือใช้ Dashboard!A40:E46 ยอด 7 วัน)</t>
  </si>
  <si>
    <t>🧩 ระบบใหม่ (รอบ 3)</t>
  </si>
  <si>
    <t>เพิ่มระบบสต็อก–ต้นทุน–ยอดขาย 8 ชีต + Schema LINE OA + ธีมพาสเทลทั้งไฟล์</t>
  </si>
  <si>
    <t>ไฟล์เดิมคิดต้นทุนจากตัวเลขพิมพ์มือ ไม่มีที่บันทึกซื้อ/ขาย/สต็อก และไม่รองรับการป้อนข้อมูลจากระบบอัตโนมัติ</t>
  </si>
  <si>
    <t>ชีตใหม่: สินค้าและสต็อก (tblItems 28 รายการ), ต้นทุนเบส (tblIng 17 + tblBOM 41 แถว → ป้อน ต้นทุนและราคา!C4:C21 อัตโนมัติ), บันทึกซื้อ, บันทึกขาย (ดึงราคา/ต้นทุน/วัตถุดิบ 17 ตัวต่อแถว), ปรับสต็อก, ทะเบียนอุปกรณ์, Dashboard, Schema · ทุกตารางเป็น Excel Table โครงแบน + dropdown + รหัสอัตโนมัติ · ราคาตั้งต้นสินค้าเป็นค่าประมาณจากหมายเหตุเดิม ต้องแทนด้วยบันทึกซื้อจริง · ยอดยกมาสต็อกให้กรอกใน ปรับสต็อก ประเภท 'นับจริง-เพิ่ม'</t>
  </si>
  <si>
    <t>มัทฉะช็อต (ml)</t>
  </si>
  <si>
    <t>มัทฉะช็อต (พรีเมียม)</t>
  </si>
  <si>
    <t>มัทฉะช็อต</t>
  </si>
  <si>
    <t>B-42</t>
  </si>
  <si>
    <t>มัทฉะพรีเมียม เกรดลาเต้ (Uji)</t>
  </si>
  <si>
    <t>ค่าประมาณ ~4.4฿/g (เกรดลาเต้) — แทนด้วยราคาซื้อจริงใน บันทึกซื้อ · เกรดพิธี ~15฿/g ไม่แนะนำสำหรับเมนูขายประจำ</t>
  </si>
  <si>
    <t>มัทฉะช็อต (พรีเมียม 1 g : 10 ml)</t>
  </si>
  <si>
    <t>จากชีต 'ต้นทุนเบส': มัทฉะเกรดลาเต้ ~4.4฿/g ÷ 10 = ~0.44฿/ml — ราคาเปลี่ยนตามบันทึกซื้อจริง</t>
  </si>
  <si>
    <t>Matcha Latte Premium</t>
  </si>
  <si>
    <t>Matcha Coconut Premium</t>
  </si>
  <si>
    <t>Matcha Strawberry Premium</t>
  </si>
  <si>
    <t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t>
  </si>
  <si>
    <t>มัทฉะลาเต้พรีเมียม</t>
  </si>
  <si>
    <t>มัทฉะน้ำมะพร้าวพรีเมียม</t>
  </si>
  <si>
    <t>สตรอว์เบอร์รี่มัทฉะลาเต้พรีเมียม</t>
  </si>
  <si>
    <t>พรีเมียม 🍵✨</t>
  </si>
  <si>
    <t>8. มัทฉะช็อต (พรีเมียม 1 g : 10 ml) — ทำครั้งละน้อย ใช้ภายใน 4 ชม.</t>
  </si>
  <si>
    <t>ร่อนผงมัทฉะผ่านตะแกรงละเอียดก่อนทุกครั้ง → ใส่น้ำ 75°C (ต้มเดือดแล้วพัก 3–4 นาที) ครึ่งหนึ่ง → ตีด้วยฉะเซ็น/เครื่องตีฟองนมเป็นตัว W 15–20 วิ จนเนียนไม่มีเม็ด</t>
  </si>
  <si>
    <t>→ เติมน้ำที่เหลือ ตีต่อ 5 วิ → เทลงขวดแก้ว แช่เย็นทันที · ห้ามใช้น้ำเดือด (ขม/ฝาด) · ห้ามทำล่วงหน้าเกิน 4 ชม. (สีคล้ำ กลิ่นหาย ตกตะกอน) · เขย่าก่อนตวงทุกแก้ว</t>
  </si>
  <si>
    <t>ผงมัทฉะเกรดลาเต้ (Uji/Kyoto)</t>
  </si>
  <si>
    <t>เกรดลาเต้/คาเฟ่ ~3–5฿/g สีเขียวสด กลิ่นถั่ว ไม่เหม็นเขียว · เกรดพิธี (Marukyu Koyamaen ฯลฯ ~15฿/g) ใช้เฉพาะเมนูอัปเซล</t>
  </si>
  <si>
    <t>น้ำสะอาด 75°C</t>
  </si>
  <si>
    <t>น้ำกรอง/น้ำแร่อ่อน — น้ำกระด้างทำให้รสฝาดและสีหม่น</t>
  </si>
  <si>
    <t>ตวงต่อแก้ว: 16 oz = 40 ml (4 g) · 22 oz = 50 ml (5 g)</t>
  </si>
  <si>
    <t>ปรับเข้มได้ 1 ระดับ = +10 ml (+1 g) ต้นทุน +4.4฿/แก้ว</t>
  </si>
  <si>
    <t>🍵 คู่มือมัทฉะพรีเมียม — เลือกผง · ชง · คิดต้นทุน</t>
  </si>
  <si>
    <t>สรุปจากการค้นคว้าเว็บ/โซเชียล ก.ย. 2569 (แหล่งที่มาใน comment ของแต่ละบรรทัด) · ช่องครีม = แก้ได้ · ตัวเลขทุกตัวเชื่อมกับระบบต้นทุนจริง</t>
  </si>
  <si>
    <t>1) เกรดผงมัทฉะ และแบรนด์ที่คาเฟ่ไทยนิยม</t>
  </si>
  <si>
    <t>เกรด</t>
  </si>
  <si>
    <t>ตัวอย่างแบรนด์/รุ่น</t>
  </si>
  <si>
    <t>ราคาอ้างอิง (บาท)</t>
  </si>
  <si>
    <t>ต่อ (g)</t>
  </si>
  <si>
    <t>฿/g</t>
  </si>
  <si>
    <t>เหมาะกับ</t>
  </si>
  <si>
    <t>ลักษณะรส</t>
  </si>
  <si>
    <t>คำแนะนำสำหรับ DA-YO</t>
  </si>
  <si>
    <t>พิธี (Ceremonial)</t>
  </si>
  <si>
    <t>Marukyu Koyamaen Aoarashi (Uji, นำเข้าโดย Peace Oriental Teahouse)</t>
  </si>
  <si>
    <t>Marukyu Koyamaen Unkaku / Kinrin / Yugen (กระป๋อง 20–40 g)</t>
  </si>
  <si>
    <t>พรีเมียม/ลาเต้ (Latte grade)</t>
  </si>
  <si>
    <t>TOMOCHA Kyoto Uji Matcha Classic (100 g / 500 g)</t>
  </si>
  <si>
    <t>Kyoto Uji Matcha Ceremonial (Union P.) / Tenju Uji Matcha 100%</t>
  </si>
  <si>
    <t>ทำอาหาร (Culinary)</t>
  </si>
  <si>
    <t>มัทฉะ Uji เกรดเบเกอรี่ / ผงชาเขียวญี่ปุ่นทั่วไป</t>
  </si>
  <si>
    <t>พรีมิกซ์ (3in1 มีน้ำตาล+ครีม)</t>
  </si>
  <si>
    <t>Boncafe Uji Matcha Latte 1 kg / UCC U-Mixed</t>
  </si>
  <si>
    <t>ชงเพียว/อุปเซล (Clear Matcha, Usucha)</t>
  </si>
  <si>
    <t>อูมามิชัด หวานธรรมชาติ โทนถั่ว ไม่ฝาด</t>
  </si>
  <si>
    <t>ใช้เป็น 'ตัวเลือกอัปเกรด +30–40฿' เท่านั้น — ต้นทุนช็อต 4 g ≈ 60฿ ทำ GP เมนูประจำไม่ผ่าน 58%</t>
  </si>
  <si>
    <t>ชงเพียว/ของขวัญ</t>
  </si>
  <si>
    <t>ละมุน ครีมมี่ ต่างกันตามรุ่น</t>
  </si>
  <si>
    <t>สต็อกกระป๋องเล็กไว้ทดสอบ/ชิมเทียบ ไม่ใช้ผลิตประจำ</t>
  </si>
  <si>
    <t>มัทฉะลาเต้ / เมนูนม</t>
  </si>
  <si>
    <t>เข้มข้น อูมามิ นัว ใช้กรัมน้อยลง</t>
  </si>
  <si>
    <t>★ แนะนำเป็นตัวหลักของเมนูพรีเมียม — คุ้มที่สุดต่อแก้วเมื่อเทียบคุณภาพ</t>
  </si>
  <si>
    <t>มัทฉะลาเต้ / เมนูผลไม้</t>
  </si>
  <si>
    <t>สีเขียวสว่าง กลิ่นหอม ราคากลาง</t>
  </si>
  <si>
    <t>ตัวสำรอง/เทียบรส ซื้อถุงเล็กก่อน</t>
  </si>
  <si>
    <t>ขนม/ปั่น/เมนูราคาถูก</t>
  </si>
  <si>
    <t>สีเข้ม รสขมกว่า</t>
  </si>
  <si>
    <t>ใช้กับเมนูปั่นหรือชาเขียวเบสเดิมได้ ไม่เหมาะเมนูพรีเมียม</t>
  </si>
  <si>
    <t>ร้านที่ต้องการชงเร็ว</t>
  </si>
  <si>
    <t>หวานตายตัว คุมความหวานไม่ได้</t>
  </si>
  <si>
    <t>ไม่ใช้ — ขัดกับระบบ 5 ระดับหวานของร้าน</t>
  </si>
  <si>
    <t>2) ตัวคำนวณต้นทุนมัทฉะต่อแก้ว (เชื่อมกับราคาซื้อจริงในระบบ)</t>
  </si>
  <si>
    <t>รายการ</t>
  </si>
  <si>
    <t>ค่า</t>
  </si>
  <si>
    <t>ที่มา</t>
  </si>
  <si>
    <t>ราคาต่อถุงที่ใช้จริง (บาท)</t>
  </si>
  <si>
    <t>กรัมต่อถุง</t>
  </si>
  <si>
    <t>฿ ต่อกรัม</t>
  </si>
  <si>
    <t>กรัมต่อแก้ว 16 oz</t>
  </si>
  <si>
    <t>กรัมต่อแก้ว 22 oz</t>
  </si>
  <si>
    <t>อัตราส่วนช็อต (ml น้ำ ต่อ 1 g)</t>
  </si>
  <si>
    <t>คำนวณ</t>
  </si>
  <si>
    <t>แก้ได้ — สูตรร้านใช้ 4 g (ช็อต 40 ml)</t>
  </si>
  <si>
    <t>แก้ได้ — สูตรร้านใช้ 5 g (ช็อต 50 ml)</t>
  </si>
  <si>
    <t>แก้ได้ — 1 g : 10 ml ตรงกับ tblIng/BOM</t>
  </si>
  <si>
    <t>ต้นทุนมัทฉะต่อแก้ว</t>
  </si>
  <si>
    <t>ต้นทุนผงมัทฉะ (บาท/แก้ว)</t>
  </si>
  <si>
    <t>ต้นทุนทั้งแก้ว Matcha Latte Premium 50% (บาท)</t>
  </si>
  <si>
    <t>สัดส่วนมัทฉะในต้นทุนแก้ว</t>
  </si>
  <si>
    <t>ดึงจาก ตารางรวม (ต้นทุนจริงทั้งแก้ว)</t>
  </si>
  <si>
    <t>ถ้า &gt;50% แสดงว่าผงแพงเกิน ให้พิจารณาเปลี่ยนเกรด/ลดกรัม</t>
  </si>
  <si>
    <t>3) ตารางความไว: ฿/g ของผง × กรัมต่อแก้ว → ต้นทุนผงต่อแก้ว (บาท)</t>
  </si>
  <si>
    <t>฿/g  \  กรัม</t>
  </si>
  <si>
    <t>เกณฑ์ร้าน: ต้นทุนผง ≤ 20฿/แก้ว 16 oz เพื่อคง GP ≥ 58% ที่ราคา 85฿</t>
  </si>
  <si>
    <t>แถวเน้น = 4.4฿/g (เกรดลาเต้) ที่ระบบใช้อยู่ · แถว 15฿/g = เกรดพิธี</t>
  </si>
  <si>
    <t>4) วิธีชงมัทฉะช็อตให้คงที่ (SOP)</t>
  </si>
  <si>
    <t>ขั้นตอน</t>
  </si>
  <si>
    <t>รายละเอียด</t>
  </si>
  <si>
    <t>ทำไม / จุดพลาดบ่อย</t>
  </si>
  <si>
    <t>1. ร่อนผง</t>
  </si>
  <si>
    <t>ตักผงตามกรัม ร่อนผ่านตะแกรงละเอียดลงถ้วยชง</t>
  </si>
  <si>
    <t>ผงมัทฉะจับก้อนง่าย ไม่ร่อน = เม็ดลอย ขมเป็นจุด</t>
  </si>
  <si>
    <t>2. น้ำ 70–80°C</t>
  </si>
  <si>
    <t>ต้มเดือดแล้วพัก 3–4 นาที หรือใช้กาควบคุมอุณหภูมิ 75°C</t>
  </si>
  <si>
    <t>น้ำเดือด 90–100°C ดึงรสขม/ฝาดออกมา ทำลายกลิ่น</t>
  </si>
  <si>
    <t>3. ตี 2 จังหวะ</t>
  </si>
  <si>
    <t>ใส่น้ำครึ่งหนึ่ง ตีเป็นตัว W/M เร็ว ๆ 15–20 วิ ให้เนียนก่อน แล้วเติมน้ำที่เหลือตีอีก 5 วิ</t>
  </si>
  <si>
    <t>ใส่น้ำทีเดียวผงจะไม่แตกตัว · ฉะเซ็นไม้ไผ่ให้โฟมละเอียดสุด เครื่องตีฟองนมมือถือใช้ได้</t>
  </si>
  <si>
    <t>4. ตวงเป็น ml</t>
  </si>
  <si>
    <t>ใช้ช็อตที่ตีแล้ว 40 ml (16 oz) / 50 ml (22 oz) ตวงด้วยแก้วตวงเดียวกันเสมอ</t>
  </si>
  <si>
    <t>ตวง ml แทนตักผงต่อแก้ว → รสคงที่และตัดสต็อกได้ตรงกับ BOM</t>
  </si>
  <si>
    <t>5. เทเป็นชั้น</t>
  </si>
  <si>
    <t>นม+น้ำแข็งลงแก้วก่อน ราดช็อตมัทฉะทับด้านบนช้า ๆ</t>
  </si>
  <si>
    <t>ได้ชั้นเขียว-ขาวสวยตามคาเฟ่ · บอกลูกค้าคนก่อนดื่ม</t>
  </si>
  <si>
    <t>6. อายุเบส</t>
  </si>
  <si>
    <t>ทำครั้งละ 300 ml (7 แก้ว 16 oz) เก็บเย็นปิดฝา ใช้ภายใน 4 ชม. เขย่าก่อนตวง</t>
  </si>
  <si>
    <t>มัทฉะออกซิไดซ์เร็ว: สีคล้ำ กลิ่นหาย ตกตะกอน — เสียของแพง</t>
  </si>
  <si>
    <t>7. เก็บผง</t>
  </si>
  <si>
    <t>ปิดถุงสูญอากาศ/กระปุกทึบแสง แช่เย็น ใช้ช้อนแห้ง เปิดแล้วใช้ให้หมดใน 4–6 สัปดาห์</t>
  </si>
  <si>
    <t>ความชื้น แสง อากาศ ทำสีซีดและรสจืด — เสียมูลค่าสต็อกโดยไม่รู้ตัว</t>
  </si>
  <si>
    <t>8. ทดสอบเมื่อเปลี่ยนล็อต/ยี่ห้อ</t>
  </si>
  <si>
    <t>ชง Clear Matcha 2 g/60 ml เทียบล็อตเก่า–ใหม่ บันทึกใน R&amp;D Log</t>
  </si>
  <si>
    <t>ผงแต่ละล็อตสีและอูมามิต่างกัน ต้องปรับกรัมก่อนขายจริง</t>
  </si>
  <si>
    <t>5) เกณฑ์คัดเลือกผงมัทฉะสำหรับร้าน (ให้คะแนน 1–5 ตอนชิมเทียบ)</t>
  </si>
  <si>
    <t>เกณฑ์</t>
  </si>
  <si>
    <t>ดูอย่างไร</t>
  </si>
  <si>
    <t>น้ำหนัก</t>
  </si>
  <si>
    <t>สี</t>
  </si>
  <si>
    <t>เขียวสดอมฟ้า = ดี · เขียวอมเหลือง/น้ำตาล = เก่า/เกรดต่ำ</t>
  </si>
  <si>
    <t>กลิ่น</t>
  </si>
  <si>
    <t>หอมหญ้าอ่อน/ถั่ว/สาหร่ายจาง = ดี · เหม็นเขียว/อับ = ไม่ผ่าน</t>
  </si>
  <si>
    <t>อูมามิ-ความขม</t>
  </si>
  <si>
    <t>ขมนุ่มมีอูมามิตาม = ดี · ขมโดดฝาดค้าง = เกรดต่ำ/น้ำร้อนเกิน</t>
  </si>
  <si>
    <t>ความละเอียด</t>
  </si>
  <si>
    <t>ร่อนแล้วไม่มีเม็ด ตีแล้วโฟมละเอียด</t>
  </si>
  <si>
    <t>ราคา ฿/g</t>
  </si>
  <si>
    <t>≤ 5฿/g สำหรับเมนูประจำ · ≤ 15฿/g สำหรับอัปเซล</t>
  </si>
  <si>
    <t>ความสม่ำเสมอของล็อต</t>
  </si>
  <si>
    <t>ซื้อซ้ำ 2–3 ล็อตแล้วสีรสเท่าเดิม มีวันบดบนถุง</t>
  </si>
  <si>
    <t>📋 SOP วิธีชงทุกเมนู — ทำตามลำดับให้รสเท่ากันทุกแก้ว</t>
  </si>
  <si>
    <t>ปริมาณจริงต่อแก้วดูที่หน้า 'คำนวณสูตร' (เลือกเมนู/ขนาด/หวาน) · ชีตนี้บอกลำดับ เทคนิค และจุดพลาด · แก้ไขได้เมื่อ R&amp;D สรุปว่าต้องปรับ</t>
  </si>
  <si>
    <t>กลุ่มเทคนิค</t>
  </si>
  <si>
    <t>ขั้นตอน (ทำตามลำดับ)</t>
  </si>
  <si>
    <t>เทคนิค / จุดพลาดบ่อย</t>
  </si>
  <si>
    <t>อุปกรณ์</t>
  </si>
  <si>
    <t>เวลา (วิ)</t>
  </si>
  <si>
    <t>เบสที่ต้องมีพร้อม</t>
  </si>
  <si>
    <t>เย็นธรรมดา</t>
  </si>
  <si>
    <t>ตวงเบสชา → ใส่นมข้นหวาน/น้ำเชื่อมตามระดับหวาน คนให้ละลายในเบสก่อน → ใส่น้ำแข็งตามกรัม → เทนมสด/นมข้นจืด → ปิดฝา เขย่า/คน 3 รอบ</t>
  </si>
  <si>
    <t>ละลายตัวหวานในเบสก่อนใส่น้ำแข็งเสมอ (น้ำแข็งทำให้นมข้นจับก้น) · น้ำแข็งชั่งครั้งเดียวจำระดับแก้ว</t>
  </si>
  <si>
    <t>เหยือกตวง, ช้อนยาว, ตาชั่ง</t>
  </si>
  <si>
    <t>แยกชั้น</t>
  </si>
  <si>
    <t>ใส่น้ำแข็ง → เทของหนักลงก่อน (นม/มะพร้าว/น้ำผลไม้) → เทเบสชาผ่านหลังช้อนช้า ๆ ให้แผ่เป็นชั้น → ปิดฝาโดม → แจ้งลูกค้าคนก่อนดื่ม</t>
  </si>
  <si>
    <t>ห้ามคน · เทช้าให้แผ่ ไม่พุ่ง · เมนูมีน้ำส้ม/มะนาว+นม ต้องใส่น้ำผลไม้ก้นแก้วก่อนเพื่อกันนมตกตะกอน</t>
  </si>
  <si>
    <t>ช้อนยาว, แก้วฝาโดม</t>
  </si>
  <si>
    <t>ชาไทยเบส, นมผสม</t>
  </si>
  <si>
    <t>โฟมชีส</t>
  </si>
  <si>
    <t>ชงเนื้อเครื่องดื่มตามแบบเย็น (เว้นที่บน 2 ซม.) → ตักครีมชีส/วิปชีสโฟมที่ตีไว้ราดบนช้า ๆ → โรยผง/ท็อป → ปิดฝาโดม</t>
  </si>
  <si>
    <t>โฟมต้องเย็นและตีใหม่ทุก 2–3 ชม. · ราดผ่านช้อนให้ลอยเป็นชั้น · น้ำแข็งลดเหลือ 200 g เพราะโฟมกินที่</t>
  </si>
  <si>
    <t>ช้อนตัก, ถุงบีบ, ฝาโดม</t>
  </si>
  <si>
    <t>ชาไทยเบส, ครีมชีสโฟม</t>
  </si>
  <si>
    <t>ชาไทยเบส, วิปชีส</t>
  </si>
  <si>
    <t>ชาไทยเบส, น้ำส้มคั้น</t>
  </si>
  <si>
    <t>ชาไทยเบส (ละลายโกโก้เป็นเพสต์ก่อน)</t>
  </si>
  <si>
    <t>ใส่ของเหลวทั้งหมดลงโถก่อน (เบส นม ตัวหวาน) → ใส่น้ำแข็งทับ → ปั่นสูง 35–45 วิ → เทลงแก้ว ท็อป</t>
  </si>
  <si>
    <t>น้ำแข็งลงก่อนใบมีดหมุนเปล่า · ปั่นนานเกินเนื้อเหลว · ชิมทันทีหลังปั่นเพราะความหวานลดเมื่อเย็นจัด</t>
  </si>
  <si>
    <t>เครื่องปั่น, ตาชั่ง</t>
  </si>
  <si>
    <t>ชาไทยเบส, เบสมะพร้าว</t>
  </si>
  <si>
    <t>ชาไทยเบส, น้ำผึ้งเจือจาง</t>
  </si>
  <si>
    <t>ชาไทยมะพร้าว</t>
  </si>
  <si>
    <t>มะนาว/น้ำผึ้ง</t>
  </si>
  <si>
    <t>ตวงเบสชา → น้ำเชื่อมตามระดับหวาน คนละลาย → ใส่น้ำแข็ง → เทน้ำมะนาว/น้ำผึ้ง → คน/เขย่า → แต่งมะนาวฝาน</t>
  </si>
  <si>
    <t>ใส่น้ำมะนาวหลังสุดเสมอ (กรดทำสีชาหม่นถ้าแช่นาน) · น้ำผึ้งเจือจางแล้วละลายง่าย ไม่ต้องอุ่น</t>
  </si>
  <si>
    <t>เหยือกตวง, เชคเกอร์</t>
  </si>
  <si>
    <t>ชาไทยเบส, น้ำเชื่อม</t>
  </si>
  <si>
    <t>ชาเขียวเบส, เบสมะพร้าว</t>
  </si>
  <si>
    <t>ชาเขียวเบส, น้ำผึ้งเจือจาง</t>
  </si>
  <si>
    <t>น้ำเชื่อม/ซอสลงก้นแก้ว → น้ำแข็ง → เทเบสชา → เทโซดาช้า ๆ ริมแก้ว → ไม่คน ปิดฝาโดม</t>
  </si>
  <si>
    <t>โซดาต้องเย็นจัดและเปิดใหม่ (ซ่าหาย = แก้วเสีย) · เทผ่านริมแก้วกันฟองล้น</t>
  </si>
  <si>
    <t>ฝาโดม</t>
  </si>
  <si>
    <t>ชาเขียวเบส, ซอสสตรอว์เบอร์รี่</t>
  </si>
  <si>
    <t>ชาเขียวเบส, น้ำเชื่อม</t>
  </si>
  <si>
    <t>ชาเขียวเบส, ครีมชีสโฟม</t>
  </si>
  <si>
    <t>มัทฉะพรีเมียม</t>
  </si>
  <si>
    <t>ตวงมัทฉะช็อต 40/50 ml จากขวดที่เขย่าแล้ว → ใส่นม/มะพร้าว/ซอสตามสูตร + น้ำเชื่อมลงแก้วก่อน → น้ำแข็ง → ราดช็อตมัทฉะทับด้านบนช้า ๆ → ฝาโดม → แจ้งลูกค้าคนก่อนดื่ม</t>
  </si>
  <si>
    <t>ช็อตต้องทำใหม่ทุก 4 ชม. เขย่าก่อนตวงทุกแก้ว · ห้ามตวงเกิน (ต้นทุน 0.44฿/ml) · ใช้แก้วตวงเดียวกันเสมอ · ดูชีต มัทฉะพรีเมียม ข้อ 4</t>
  </si>
  <si>
    <t>แก้วตวงช็อต, ช้อนยาว, ฝาโดม</t>
  </si>
  <si>
    <t>มัทฉะช็อต, เบสมะพร้าว</t>
  </si>
  <si>
    <t>มัทฉะช็อต, ซอสสตรอว์เบอร์รี่</t>
  </si>
  <si>
    <t>🧪 วางแผนเตรียมเบสประจำวัน — กรอกยอดคาดขายต่อเมนู → ระบบบอกว่าต้องทำเบสอะไรกี่ ml / กี่ batch</t>
  </si>
  <si>
    <t>คำนวณจากสูตรที่ระดับหวาน 50% (ค่ากลาง) ในตารางรวม · ช่องครีม = กรอก · ผลลัพธ์คอลัมน์ J ไปใส่ในช่องเหลืองของชีต เบสและซับสูตร</t>
  </si>
  <si>
    <t>คาดขาย 16 oz (แก้ว)</t>
  </si>
  <si>
    <t>คาดขาย 22 oz (แก้ว)</t>
  </si>
  <si>
    <t>รวม</t>
  </si>
  <si>
    <t>เบส / ซับสูตร</t>
  </si>
  <si>
    <t>ต้องใช้ (ml หรือ g)</t>
  </si>
  <si>
    <t>จำนวน batch ที่ต้องทำ</t>
  </si>
  <si>
    <t>ปริมาณที่จะทำ (ใส่ช่องเหลืองในเบสและซับสูตร)</t>
  </si>
  <si>
    <t>ต้นทุนเบสที่ต้องทำ (บาท)</t>
  </si>
  <si>
    <t>เผื่อเหลือ/ของเสีย (%)</t>
  </si>
  <si>
    <t>ใส่เป็นทศนิยม เช่น 0.10 = 10%</t>
  </si>
  <si>
    <t>👅 สรุปผลชิม (JAR) จาก R&amp;D Log — บอกว่าเมนูไหนต้องปรับอะไร</t>
  </si>
  <si>
    <t>JAR = Just-About-Right 1–5 (3 = พอดี) · ค่าเฉลี่ย &gt;3.4 = มากไป, &lt;2.6 = น้อยไป · กลิ่น/ซื้อซ้ำ 1–5 ยิ่งสูงยิ่งดี · ดึงอัตโนมัติจาก R&amp;D Log ทุกแถว</t>
  </si>
  <si>
    <t>จำนวนรอบชิม</t>
  </si>
  <si>
    <t>ผู้ชิมรวม (คน)</t>
  </si>
  <si>
    <t>เฉลี่ย JAR หวาน</t>
  </si>
  <si>
    <t>เฉลี่ย JAR เข้มชา</t>
  </si>
  <si>
    <t>เฉลี่ย JAR ความมัน</t>
  </si>
  <si>
    <t>เฉลี่ยกลิ่น</t>
  </si>
  <si>
    <t>เฉลี่ยซื้อซ้ำ</t>
  </si>
  <si>
    <t>คำแนะนำ: ความหวาน</t>
  </si>
  <si>
    <t>คำแนะนำ: ความเข้มชา</t>
  </si>
  <si>
    <t>เกณฑ์ประเมิน (แก้ได้)</t>
  </si>
  <si>
    <t>JAR สูงสุดที่ยอมรับ (มากไป)</t>
  </si>
  <si>
    <t>JAR ต่ำสุดที่ยอมรับ (น้อยไป)</t>
  </si>
  <si>
    <t>ซื้อซ้ำขั้นต่ำเพื่อ ผ่าน</t>
  </si>
  <si>
    <t>ซื้อซ้ำต่ำกว่านี้ = แก้ด่วน</t>
  </si>
  <si>
    <t>ค้นหาเฉพาะสูตร → เลือกที่ E31:E33</t>
  </si>
  <si>
    <t>ผลเฉพาะสูตรนี้ → หวาน / เข้มชา / ความมัน / กลิ่น / ซื้อซ้ำ</t>
  </si>
  <si>
    <t>ไม่</t>
  </si>
  <si>
    <t>ml ของมัทฉะช็อตที่ใช้ (สูตรคำนวณอัตโนมัติ = ปริมาณต่อแก้ว × จำนวนแก้ว) — บอทห้ามเขียนทับ</t>
  </si>
  <si>
    <t>คอลัมน์ใหม่ (พรีเมียม) ต่อจาก น้ำแข็ง ก่อน บรรจุภัณฑ์ 16 oz</t>
  </si>
  <si>
    <t>🍵 มัทฉะพรีเมียม (รอบ 4)</t>
  </si>
  <si>
    <t>เพิ่มวัตถุดิบ 'มัทฉะช็อต (1 g:10 ml)' ทุกชั้นของระบบ + 3 เมนูพรีเมียม + ชีตคู่มือมัทฉะ/SOP วิธีชง/เตรียมเบส/สรุปการชิม</t>
  </si>
  <si>
    <t>มัทฉะพรีเมียมต้นทุนสูง (ผงเกรดลาเต้ ~4.4฿/g, เกรดพิธี ~15฿/g) ต้องคุมกรัมและติดตามต้นทุนต่อแก้วแยกจากชาเขียวเบสเดิม</t>
  </si>
  <si>
    <t>ข้อมูลสูตร คอลัมน์ T 'มัทฉะช็อต (ml)' (ของเหลว/ต้นทุน/GP เลื่อนเป็น U/V/W/X) แถว 202–231 Matcha Latte/Coconut/Strawberry Premium ราคา 85/100 · 90/115 · 95/120 GP 58.3–62.2% · ตารางรวม S / Key Y · คำนวณสูตร แถว 28 · ต้นทุนและราคา C19 = ต้นทุนเบส!G21 · tblIng แถว 16 · tblBOM B-42 · tblItems RM-023 (ราคา 2,200฿/500 g เป็นค่าประมาณ) · tblSales คอลัมน์ มัทฉะช็อต · Dashboard เมนู 23 แถว · แหล่งค้นคว้าใน comment ชีต มัทฉะพรีเมียม</t>
  </si>
  <si>
    <t>เกณฑ์ GP (แก้ได้)</t>
  </si>
  <si>
    <t>ผ่าน ≥</t>
  </si>
  <si>
    <t>เฝ้าระวัง ≥</t>
  </si>
  <si>
    <t>ต่ำกว่านี้ = ปรับราคา/สูตร</t>
  </si>
  <si>
    <t>น้ำดื่ม (ml)</t>
  </si>
  <si>
    <t>น้ำดื่ม</t>
  </si>
  <si>
    <t>น้ำดื่มถัง 20 L ~40฿ = ~0.002฿/ml (ค่าประมาณ) — ใช้ในเมนูเพียวมัทฉะ/ชาใส</t>
  </si>
  <si>
    <t>น้ำดื่มถัง 20 ลิตร</t>
  </si>
  <si>
    <t>ค่าประมาณ 40฿/ถัง — แทนด้วยราคาซื้อจริง</t>
  </si>
  <si>
    <t>B-43</t>
  </si>
  <si>
    <t>น้ำดื่ม 1,000 ml = 1,000 ml (ไม่ต้องเตรียม ตวงตรงจากถัง)</t>
  </si>
  <si>
    <t>Pure Matcha Premium</t>
  </si>
  <si>
    <t>เพียวมัทฉะ (มัทฉะน้ำใส)</t>
  </si>
  <si>
    <t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t>
  </si>
  <si>
    <t>1) เขย่าขวดมัทฉะช็อต ตวง 40 ml (16 oz) / 50 ml (22 oz) → 2) ใส่น้ำเชื่อมตามระดับหวานลงแก้วเสิร์ฟ → 3) ใส่น้ำแข็งเต็มแก้ว → 4) เทน้ำดื่มเย็น 150/210 ml → 5) ราดมัทฉะช็อตด้านบนช้าๆ ให้เกิดชั้นสีไล่เฉด → 6) เสียบหลอด ให้ลูกค้าคนเอง</t>
  </si>
  <si>
    <t>ไม่มีนมมาปิดรส → คุณภาพผงเห็นชัดที่สุด ใช้ผงเกรดลาเต้ที่ดีหรืออัปเกรดเป็นเกรดพิธี · น้ำต้องเย็นจัดและเป็นน้ำกรอง/น้ำแร่อ่อน · ห้ามคนแรงก่อนเสิร์ฟ (เสียชั้นสี) · เสนอมะนาวฝาน 1 ชิ้นเพิ่มความสดชื่น</t>
  </si>
  <si>
    <t>มัทฉะช็อตทิ้งไว้เกิน 4 ชม. → สีคล้ำ ตกตะกอน กลิ่นหาย · ใช้น้ำประปา → รสฝาด</t>
  </si>
  <si>
    <t>≈45 วิ</t>
  </si>
  <si>
    <t>เหยือกตวง, ขวดมัทฉะช็อต, ที่ตักน้ำแข็ง</t>
  </si>
  <si>
    <t>ml น้ำดื่มที่ใช้ (สูตรอัตโนมัติ) — บอทห้ามเขียนทับ</t>
  </si>
  <si>
    <t>คอลัมน์ใหม่ ต่อจาก มัทฉะช็อต</t>
  </si>
  <si>
    <t>🍵 เพียวมัทฉะ (รอบ 5)</t>
  </si>
  <si>
    <t>เพิ่มวัตถุดิบ 'น้ำดื่ม (ml)' (ตัวที่ 17) + เมนู Pure Matcha Premium 75/90฿</t>
  </si>
  <si>
    <t>เทรนด์ Clear/Pure Matcha ต้องมีน้ำดื่มเป็นวัตถุดิบเพื่อให้ปริมาณของเหลวและสต็อกครบ</t>
  </si>
  <si>
    <t>ข้อมูลสูตร คอลัมน์ U น้ำดื่ม (ของเหลว/ต้นทุน/ราคา/GP เลื่อนเป็น V/W/X/Y) แถว 232–241 GP 64–66% · ตารางรวม T / Key Z · คำนวณสูตร แถว 29 · ต้นทุนและราคา C20 = ต้นทุนเบส!G22 · tblIng แถว 17 · tblBOM B-43 · tblItems RM-024 (40฿/20 L ค่าประมาณ) · tblSales คอลัมน์ น้ำดื่ม · Dashboard/เตรียมเบส/สรุปการชิม/SOP เพิ่มแถวเมนู</t>
  </si>
  <si>
    <t>เหยือกชง 700 ML</t>
  </si>
  <si>
    <t>เหยือกชง 350 ML</t>
  </si>
  <si>
    <t>ที่บีบมะนาว</t>
  </si>
  <si>
    <t>ช้อนคน</t>
  </si>
  <si>
    <t>ชุดชงมัทฉะ</t>
  </si>
  <si>
    <t>ขวดใส่เบสชา 1500 ML</t>
  </si>
  <si>
    <t>แก้วตวงเล็ก 45 ML</t>
  </si>
  <si>
    <t>แก้ว Pitcher 350 ML</t>
  </si>
  <si>
    <t>ตราชั่ง ดิจิตอล</t>
  </si>
  <si>
    <t>Mr. DIY</t>
  </si>
  <si>
    <t>ซื้อ 9/9/2569</t>
  </si>
  <si>
    <t>ที่ตีฟองนม (Milk Frother)</t>
  </si>
  <si>
    <t>ที่กรอง (กระชอนกรองชา)</t>
  </si>
  <si>
    <t>ที่เปิดขวด</t>
  </si>
  <si>
    <t>ราคาประมาณการ (ยังไม่มีใบเสร็จ)</t>
  </si>
  <si>
    <t>ราคาประมาณการ · แปรงไม้ไผ่สึกเร็ว อายุ 1 ปี</t>
  </si>
  <si>
    <t>เหยือก 1800 ML</t>
  </si>
  <si>
    <t>TungAo</t>
  </si>
  <si>
    <t>Shopee</t>
  </si>
  <si>
    <t>แก้ว fench press 600 ML</t>
  </si>
  <si>
    <t>Gift Shop</t>
  </si>
  <si>
    <t>Shopee Dcm</t>
  </si>
  <si>
    <t>Lotus</t>
  </si>
  <si>
    <t>DCm</t>
  </si>
  <si>
    <t>ใบชาใต้ รินชา สูตร 3</t>
  </si>
  <si>
    <t>ชาตรามือ ห่อแดง — ให้สีส้มอิฐ + กลิ่นวานิลลา (ซื้อ 400 g ฿77)</t>
  </si>
  <si>
    <t>1. ชาไทยเบส — “DA-YO Pure Tea Base” (ในเบสมีแค่ ชา + น้ำ เท่านั้น)</t>
  </si>
  <si>
    <t>จังหวะที่ 1 — ต้มน้ำเดือดแล้วพัก 60–90 วิ ให้ลงมา 92–95°C → ใส่เฉพาะ ใบชาใต้รินชา แช่ 6 นาที → ชักชา 5 รอบ</t>
  </si>
  <si>
    <t>จังหวะที่ 2 — เติมผงชาตรามือห่อแดงทีหลัง แช่ต่อ 3 นาที → ชักชา 3 รอบ → ยกถุงออก บีบเบา ๆ 2–3 ครั้ง (ห้ามบิด) → Cold shock กะละมังน้ำแข็ง ให้ต่ำกว่า 20°C ใน 30 นาที</t>
  </si>
  <si>
    <t>ใบชาแท้ — ตัวให้ body แทนนิน และหางชาที่ไม่จมเมื่อเจอนม/มะพร้าว · ใส่ก่อนเพราะสกัดช้า</t>
  </si>
  <si>
    <t>ชาตรามือห่อแดง — ตัวให้สีส้มอิฐกับกลิ่นวานิลลา · ใส่ทีหลัง กันฝาด</t>
  </si>
  <si>
    <t>ใส่มากกว่าปริมาณเบส 300 ml — ใบชา 300 g อมน้ำหายไปประมาณนี้</t>
  </si>
  <si>
    <t>เกลือป่น (ไม่ใช้ — สำรองสำหรับทดลอง)</t>
  </si>
  <si>
    <t>ตั้งไว้ 0 โดยเจตนา — เกลือมีหน้าที่กลบความขม ถ้าต้องกลบแสดงว่าสกัดพลาด ให้แก้การสกัดก่อน</t>
  </si>
  <si>
    <t>รวมใบชาที่ใช้ (ตรวจยอด)</t>
  </si>
  <si>
    <t>ต้องเท่ากับช่องปรับด้านล่างเสมอ — ถ้าไม่ตรงแสดงว่ามีการแก้สูตรมือ</t>
  </si>
  <si>
    <t>⚙ ช่องปรับอัตราส่วนชา — แก้สองช่องนี้แล้วน้ำหนักชาทั้งสองตัวข้างบนคำนวณใหม่เอง</t>
  </si>
  <si>
    <t>ปริมาณใบชารวม ต่อเบส 3,000 ml</t>
  </si>
  <si>
    <t>ตั้งต้น 300 g (สูตรเดิม 200 g) — เพิ่มเพราะไม่มีน้ำตาลช่วยดันรสอีกแล้ว</t>
  </si>
  <si>
    <t>สัดส่วนใบชาใต้ รินชา สูตร 3</t>
  </si>
  <si>
    <t>%</t>
  </si>
  <si>
    <t>ที่เหลือเป็นชาตรามือห่อแดง · 70% = 7:3 · ต้นทุนชาทั้งสองตัวเกือบเท่ากัน เลื่อนอัตราส่วนแล้วต้นทุนไม่ขยับ</t>
  </si>
  <si>
    <t>อายุ 72 ชม. ในตู้เย็น 4°C (เดิม 48 ชม.) — นานขึ้นเพราะเบสไม่มีน้ำตาลเลย · ขายจริงให้หมดใน 48 ชม. · เบสนี้วัด °Brix ไม่ได้ ให้คุมที่น้ำหนักใบชา เวลาแช่ และอุญหญิแทน</t>
  </si>
  <si>
    <t>ทำไมน้ำตาลกับเกลือจึงออกจากเบส: น้ำตาลเป็นอาหารของยีสต์/แบคทีเรีย ทำให้เบสเสียเร็ว ตกตะกอน สีคล้ำ · เกลือที่ระดับ 0.067% กลบขมได้แต่กันเสียไม่ได้ — จึงเอาออกทั้งคู่</t>
  </si>
  <si>
    <t>⚠ เวลาแช่ชาไม่ปรับตามปริมาณ — ทำ 1,000 ml หรือ 3,000 ml ก็แช่ 6+3 นาทีเท่ากัน (ปรับแค่ปริมาณของ ไม่ใช่เวลา)</t>
  </si>
  <si>
    <t>ใบชาหลัก — ลิงก์จากช่องปรับอัตราส่วนในชีต เบสและซับสูตร</t>
  </si>
  <si>
    <t>ตัวเติมสี/กลิ่น — ลิงก์จากช่องปรับอัตราส่วน</t>
  </si>
  <si>
    <t>เพิ่มจาก 3,200 → 3,300 ml เพราะใบชาเยอะขึ้นจึงอมน้ำมากขึ้น</t>
  </si>
  <si>
    <t>ถอดออกจากเบส (เดิม 240 g) — น้ำตาลทำให้เบสเสียเร็ว ย้ายไปคุมหวานรายแก้วที่นมข้น/น้ำเชื่อมแทน</t>
  </si>
  <si>
    <t>ตั้ง 0 — เก็บแถวไว้สำหรับทดลองเท่านั้น</t>
  </si>
  <si>
    <t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</si>
  <si>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</si>
  <si>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</si>
  <si>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t>
  </si>
  <si>
    <t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</si>
  <si>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</si>
  <si>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</si>
  <si>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</si>
  <si>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</si>
  <si>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</si>
  <si>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</si>
  <si>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</si>
  <si>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</si>
  <si>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</si>
  <si>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</si>
  <si>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t>
  </si>
  <si>
    <t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</si>
  <si>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t>
  </si>
  <si>
    <t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</si>
  <si>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t>
  </si>
  <si>
    <t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t>
  </si>
  <si>
    <t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t>
  </si>
  <si>
    <t>🧪 ทดสอบอัตราส่วนชา — DA-YO Pure Tea Base (ชิมเสร็จแล้วเอา % ที่ชนะไปใส่ช่อง B17 ของชีต เบสและซับสูตร)</t>
  </si>
  <si>
    <t>ขนาดล็อตทดสอบ (ml)</t>
  </si>
  <si>
    <t>ชง 3 ล็อตด้วยวิธี Split Steep เหมือนกันทุกล็อต เปลี่ยนแค่อัตราส่วน — ชิมทั้งแบบชาเปล่าและแบบผสมนม</t>
  </si>
  <si>
    <t>ล็อต</t>
  </si>
  <si>
    <t>% ใบชาใต้</t>
  </si>
  <si>
    <t>ใบชาใต้ (g)</t>
  </si>
  <si>
    <t>ชาตรามือ (g)</t>
  </si>
  <si>
    <t>น้ำ 92–95°C (ml)</t>
  </si>
  <si>
    <t>สีส้มอิฐ 1–5</t>
  </si>
  <si>
    <t>กลิ่น 1–5</t>
  </si>
  <si>
    <t>Body/เนื้อชา 1–5</t>
  </si>
  <si>
    <t>รสชาอยู่เมื่อผสมนม 1–5</t>
  </si>
  <si>
    <t>คะแนนเกลี่ย</t>
  </si>
  <si>
    <t>สรุป</t>
  </si>
  <si>
    <t>ล็อต A</t>
  </si>
  <si>
    <t>ล็อต B (ตั้งต้น)</t>
  </si>
  <si>
    <t>ล็อต C</t>
  </si>
  <si>
    <t>⚖ ชดเชยความหวานที่หายไปจากเบส (เบสเดิมมีน้ำตาล 240 g ต่อ 3,000 ml — สูตรใหม่เป็น 0)</t>
  </si>
  <si>
    <t>ชาไทยเบสต่อแก้ว 16 oz (ml)</t>
  </si>
  <si>
    <t>ดึงสดจาก Original 16 oz หวาน 50% ในตารางรวม</t>
  </si>
  <si>
    <t>น้ำตาลที่เคยอยู่ในเบสสูตรเดิม (g ต่อ 3,000 ml)</t>
  </si>
  <si>
    <t>ค่าจากสูตรเดิมก่อนปรับ — เก็บไว้เทียบ</t>
  </si>
  <si>
    <t>น้ำตาลที่หายไปต่อแก้ว (g)</t>
  </si>
  <si>
    <t>น้ำตาลในน้ำเชื่อม 1:1 (g ต่อ 1 ml)</t>
  </si>
  <si>
    <t>→ น้ำเชื่อมที่ต้องเติมชดเชย (ml ต่อแก้ว 16 oz)</t>
  </si>
  <si>
    <t>ต้นทุนน้ำเชื่อมที่เพิ่ม (บาท/แก้ว)</t>
  </si>
  <si>
    <t>ต้นทุนน้ำตาลที่หายจากเบส (บาท/แก้ว)</t>
  </si>
  <si>
    <t>→ ต้นทุนสุทธิที่เปลี่ยนจากการชดเชย (บาท/แก้ว)</t>
  </si>
  <si>
    <t>วิธีใช้: ตัวเลขช่องเหลือง B49 คือน้ำเชื่อมที่ต้องเติมเพื่อให้แก้วหวานเท่าเดิม — ใส่ใน ข้อมูลสูตร เรียบร้อยแล้ว (88 แถว) ชิมแล้วปรับเพิ่มได้ตามจริง</t>
  </si>
  <si>
    <t>💰 ต่อรองราคาชา (ซื้อเยอะ) — กรอกราคาที่จะเจรจาในช่องเหลือง แล้วดูว่าประหยัดจริงเท่าไหร่ (บล็อกนี้เป็น what-if ไม่กระทบต้นทุนจริง)</t>
  </si>
  <si>
    <t>ราคาปัจจุบัน</t>
  </si>
  <si>
    <t>ถ้าซื้อเยอะ (กรอก)</t>
  </si>
  <si>
    <t>ส่วนต่าง</t>
  </si>
  <si>
    <t>ใบชาใต้ รินชา สูตร 3 — ราคาต่อถุง 1,000 g</t>
  </si>
  <si>
    <t>ชาตรามือห่อแดง — ราคาต่อถุง 400 g</t>
  </si>
  <si>
    <t>ต้นทุนเบสชาไทย (บาท/ml)</t>
  </si>
  <si>
    <t>ต้นทุนเบสชา ต่อแก้ว 16 oz (บาท)</t>
  </si>
  <si>
    <t>แก้วชาไทยที่ขายต่อวัน (กรอก)</t>
  </si>
  <si>
    <t>→ ประหยัดต่อเดือน (30 วัน)</t>
  </si>
  <si>
    <t>ชา 1 กิโล ทำเบสได้กี่ลิตร / กี่แก้ว 16 oz</t>
  </si>
  <si>
    <t>← ซ้ายคือลิตรเบส ขวาคือจำนวนแก้ว — ใช้ดูว่าสั่งกี่กิโลจึงหมุนทัน</t>
  </si>
  <si>
    <t>ข้อคิด: ใบชาเก็บนานกว่าผงปรุงสำเร็จแต่กลิ่นหนีแน่ — สั่งเยอะแล้วต้องเก็บในถุงซิลกันชื้น ห่างความร้อนกับแสง และคุมให้หมดใน 3 เดือน สั่งเกินกว่านี้ส่วนลดที่ได้อาจหายไปกับกลิ่นที่จาง</t>
  </si>
  <si>
    <t>ใบชาใต้รินชา สูตร 3 210 g (~40฿) + ชาตรามือห่อแดง 90 g (~17฿) + น้ำ 3,300 ml ต่อเบส 3,000 ml · ไม่มีน้ำตาล/เกลือในเบส (อัปเดตรอบ 6)</t>
  </si>
  <si>
    <t>🍵 ชาไทยเบส (รอบ 6)</t>
  </si>
  <si>
    <t>เปลี่ยนชาไทยเบสเป็น “DA-YO Pure Tea Base” — เบสชาเปล่า สกัด 2 จังหวะ (Split Steep) + ช่องปรับอัตราส่วนชา 2 ตัว</t>
  </si>
  <si>
    <t>สูตรเดิมใส่น้ำตาล 240 g กับเกลือ 2 g ลงในเบส — น้ำตาลเป็นอาหารของยีสต์/แบคทีเรีย ทำให้เบสเสียเร็ว ตกตะกอน สีคล้ำ อยู่ได้แค่ 48 ชม. · อัตราส่วนชาฝังไว้เป็นตัวเลขตาย ทดสอบสูตรไม่ได้ · ราคาชาที่เก็บไว้ (0.25 บาท/g ทั้งสองตัว) สูงกว่าราคาซื้อจริง</t>
  </si>
  <si>
    <t>เบส 3,000 ml = ใบชาใต้รินชา สูตร 3 210 g + ชาตรามือห่อแดง 90 g + น้ำ 92–95°C 3,300 ml · น้ำตาล = 0 · เกลือ = 0 (เก็บแถวสำรองทดลอง) · วิธี: แช่ใบชาใต้ 6 นาที ชัก 5 รอบ → เติมผงชาตรามือ แช่ต่อ 3 นาที ชัก 3 รอบ → cold shock &lt;20°C ใน 30 นาที · อายุเบส 48 → 72 ชม. · ช่องปรับเหลือง B16 (ใบชารวม g) และ B17 (% ชาใต้) · tblBOM B-01/B-02 ลิงก์มาที่ช่องนี้โดยตรง · ราคาชาจริง: RM-001 77 บาท/400 g = 0.1925 บาท/g, RM-002 190 บาท/1,000 g = 0.19 บาท/g · ต้นทุนเบสใหม่ 0.0199 บาท/ml (เดิม 0.01956) · ตารางทดสอบอัตราส่วน 60/70/80% และตัวคิดชดเชยอยู่ที่ สรุปการชิม แถว 37–64</t>
  </si>
  <si>
    <t>🍵 ความหวาน (รอบ 6)</t>
  </si>
  <si>
    <t>ชดเชยความหวานที่หายจากเบส — เมนูชาไทย 11 เมนู × 2 ขนาด × 5 ระดับหวาน = 110 แถว (ข้อมูลสูตร แถว 2–111)</t>
  </si>
  <si>
    <t>ตอนเอาน้ำตาล 240 g ออกจากเบส เท่ากับทุกแก้วหายน้ำตาลไป 0.08 g ต่อเบส 1 ml (Original 16 oz = 10.4 g) — ถ้าไม่ปรับ ทุกเมนูชาไทยจะหวานน้อยกว่าเดิมทันที · แต่เติมน้ำเชื่อมเฉย ๆ ก็ทำให้ 5 เมนู (Latte, Honey Milk, Coconut Tea, Lemon Tea) ของเหลวเกินกรอบแก้ว (16 oz 180–230 ml / 22 oz 248–316 ml)</t>
  </si>
  <si>
    <t>สูตรชดเชย: น้ำเชื่อม 1:1 ที่เติม = 0.128 × ปริมาณเบสชา (มาจาก 0.08 g/ml ÷ น้ำเชื่อม 0.625 g/ml) · ใช้กับระดับ 25/50/75/100% เท่านั้น = 88 แถว · ระดับ 0% ไม่ชดเชยโดยเจตนา → 0% คือไม่มีน้ำตาลเพิ่มจริง เป็นจุดขายใหม่ แต่รส 0% เปลี่ยนจากเดิม · 5 เมนูที่จะล้นแก้วใช้การสลับปริมาตรแบบ 1:1 เพื่อคงปริมาตรแก้วเท่าเดิมเป๊ะ: Latte และ Honey Milk ลดนมสด, Coconut Tea ลดเบสมะพร้าว, Lemon Tea ไม่มีนม/เบสอื่นเลยจึงลดชาไทยเบสเอง (165→146.3 ml ที่ 16 oz) · ผล: ไม่มี error · GP ทุกแถว ≥ 58% (ต่ำสุด 63.2%) · ปริมาตรแก้วของ 5 เมนูที่สลับเท่าเดิมเป๊ะทุก ml · หมายเหตุรายแถวอยู่ในคอลัมน์ Z ของ ข้อมูลสูตร ครบ 110 แถว</t>
  </si>
  <si>
    <t>หมวดย่อยสินค้า</t>
  </si>
  <si>
    <t>รหัสนำหน้า</t>
  </si>
  <si>
    <t>ชา/ผงชา</t>
  </si>
  <si>
    <t>RM-TEA</t>
  </si>
  <si>
    <t>มัทฉะ</t>
  </si>
  <si>
    <t>RM-MAT</t>
  </si>
  <si>
    <t>นม/กะทิ</t>
  </si>
  <si>
    <t>RM-MLK</t>
  </si>
  <si>
    <t>ครีม/ชีส</t>
  </si>
  <si>
    <t>RM-CRM</t>
  </si>
  <si>
    <t>สารให้ความหวาน</t>
  </si>
  <si>
    <t>RM-SWT</t>
  </si>
  <si>
    <t>ผงชง/โกโก้</t>
  </si>
  <si>
    <t>RM-POW</t>
  </si>
  <si>
    <t>น้ำผลไม้</t>
  </si>
  <si>
    <t>RM-JUI</t>
  </si>
  <si>
    <t>ซอส/ท็อปปิ้ง</t>
  </si>
  <si>
    <t>RM-SAU</t>
  </si>
  <si>
    <t>โซดา/น้ำอัดลม</t>
  </si>
  <si>
    <t>RM-SOD</t>
  </si>
  <si>
    <t>น้ำ/น้ำแข็ง</t>
  </si>
  <si>
    <t>RM-WTR</t>
  </si>
  <si>
    <t>เครื่องปรุง</t>
  </si>
  <si>
    <t>RM-SEA</t>
  </si>
  <si>
    <t>ผลไม้สด</t>
  </si>
  <si>
    <t>RM-FRT</t>
  </si>
  <si>
    <t>PK-CUP</t>
  </si>
  <si>
    <t>ฝา</t>
  </si>
  <si>
    <t>PK-LID</t>
  </si>
  <si>
    <t>PK-STR</t>
  </si>
  <si>
    <t>สติกเกอร์/ฉลาก</t>
  </si>
  <si>
    <t>PK-LBL</t>
  </si>
  <si>
    <t>ถุง/ถุงหูหิ้ว</t>
  </si>
  <si>
    <t>PK-BAG</t>
  </si>
  <si>
    <t>OT-SUP</t>
  </si>
  <si>
    <t>อื่น ๆ</t>
  </si>
  <si>
    <t>OT-ETC</t>
  </si>
  <si>
    <t>หมวดย่อย</t>
  </si>
  <si>
    <t>RM-TEA-02</t>
  </si>
  <si>
    <t>RM-TEA-01</t>
  </si>
  <si>
    <t>RM-WTR-02</t>
  </si>
  <si>
    <t>RM-SWT-01</t>
  </si>
  <si>
    <t>RM-SEA-01</t>
  </si>
  <si>
    <t>RM-TEA-03</t>
  </si>
  <si>
    <t>RM-TEA-04</t>
  </si>
  <si>
    <t>RM-MLK-01</t>
  </si>
  <si>
    <t>RM-MLK-02</t>
  </si>
  <si>
    <t>RM-MLK-03</t>
  </si>
  <si>
    <t>RM-SWT-02</t>
  </si>
  <si>
    <t>RM-POW-01</t>
  </si>
  <si>
    <t>RM-JUI-01</t>
  </si>
  <si>
    <t>RM-JUI-02</t>
  </si>
  <si>
    <t>RM-MLK-04</t>
  </si>
  <si>
    <t>RM-SWT-03</t>
  </si>
  <si>
    <t>RM-SAU-01</t>
  </si>
  <si>
    <t>RM-JUI-03</t>
  </si>
  <si>
    <t>RM-SOD-01</t>
  </si>
  <si>
    <t>RM-CRM-01</t>
  </si>
  <si>
    <t>RM-CRM-02</t>
  </si>
  <si>
    <t>RM-WTR-01</t>
  </si>
  <si>
    <t>PK-CUP-01</t>
  </si>
  <si>
    <t>PK-LID-01</t>
  </si>
  <si>
    <t>PK-STR-01</t>
  </si>
  <si>
    <t>PK-LBL-01</t>
  </si>
  <si>
    <t>PK-CUP-02</t>
  </si>
  <si>
    <t>PK-LID-02</t>
  </si>
  <si>
    <t>RM-WTR-03</t>
  </si>
  <si>
    <t>สินค้าและสต็อก!A (RM-XXX-## / PK-XXX-##)</t>
  </si>
  <si>
    <t>สร้างเองจาก หมวดย่อย (Lists!P:R) + ลำดับในหมวด</t>
  </si>
  <si>
    <t>ห้ามกรอกทับ · ห้ามเรียง/ลบแถวกลางตาราง เพราะลำดับท้ายจะขยับ</t>
  </si>
  <si>
    <t>ชื่อสินค้า / หมวดย่อย / หน่วยซื้อ / ปริมาณต่อหน่วยซื้อ / หน่วยใช้ / ราคาตั้งต้น / จุดสั่งซื้อ</t>
  </si>
  <si>
    <t>หมวดย่อย: Lists!P · หน่วยซื้อ: Lists!J · หน่วยใช้: Lists!I · ประเภท (C) เป็นสูตรแล้ว</t>
  </si>
  <si>
    <t>นมสด, นม/กะทิ, กล่อง, 1000, ml, 48, 3000</t>
  </si>
  <si>
    <t>ชาเขียวเบส, RM-TEA-03, 130</t>
  </si>
  <si>
    <t>กรอกเพียงคอลัมน์ครีม (B, D–J) · รหัสสินค้า (A) และ ประเภท (C) สร้างเองจากหมวดย่อย · คอลัมน์ขาวคำนวณอัตโนมัติจาก บันทึกซื้อ / บันทึกขาย / ปรับสต็อก · เพิ่มสินค้าใหม่ = พิมพ์ต่อแถวล่างสุดของตาราง (สูตรขยายเอง) · ราคาตั้งต้นใช้เฐพาะตอนยังไม่มีบันทึกซื้อ</t>
  </si>
  <si>
    <t>แก้ว 20 oz</t>
  </si>
  <si>
    <t>ขนาดกลาง (เพิ่มรอบ 20 oz) — แทนราคาจริงเมื่อลงบันทึกซื้อ</t>
  </si>
  <si>
    <t>ฝาโดม 20 oz</t>
  </si>
  <si>
    <t>ใช้กับแก้ว 20 oz</t>
  </si>
  <si>
    <t>20 oz</t>
  </si>
  <si>
    <t>บรรจุภัณฑ์ 20 oz</t>
  </si>
  <si>
    <t>PK-CUP-03</t>
  </si>
  <si>
    <t>PK-LID-03</t>
  </si>
  <si>
    <t>B-44</t>
  </si>
  <si>
    <t>B-45</t>
  </si>
  <si>
    <t>B-46</t>
  </si>
  <si>
    <t>B-47</t>
  </si>
  <si>
    <t>บรรจุภัณฑ์ 20 oz (แก้ว+ฝา+หลอด+สติกเกอร์)</t>
  </si>
  <si>
    <t>แก้ว 20 oz ~2.60 + ฝา 1.00 + หลอด 0.50 + สติกเกอร์ 0.50 — คำนวณจาก tblBOM B-44–B-47</t>
  </si>
  <si>
    <t>ตัวคูนสเกล 20 oz (เทียบ 16 oz)</t>
  </si>
  <si>
    <t>คาดขาย 20 oz (แก้ว)</t>
  </si>
  <si>
    <t>ตัวคั่น Key</t>
  </si>
  <si>
    <t>|</t>
  </si>
  <si>
    <t>16 oz | 20 oz | 22 oz (Lists!E2:E4)</t>
  </si>
  <si>
    <t>🏠 DA-YO — หน้าหลัก</t>
  </si>
  <si>
    <t>คลิกชื่อชีตสีฟ้าเพื่อกระโดดไปหน้านั้น · แท็บด้านล่างแบ่งสีตามหมวด · ชีตเบื้องหลังถูกซ่อนไว้ (วิธีเปิดดูท้ายหน้า)</t>
  </si>
  <si>
    <t>📊 ภาพรวม</t>
  </si>
  <si>
    <t>ยอดขาย กำไร มูลค่าสต็อก ตามช่วงวันที่</t>
  </si>
  <si>
    <t>เลือกเมนู+ขนาด+หวาน → ได้สูตร ต้นทุน GP</t>
  </si>
  <si>
    <t>ข้อมูลสูตร</t>
  </si>
  <si>
    <t>⭐ ต้นทางสูตรทั้งหมด 360 แถว — แก้ปริมาณที่นี่</t>
  </si>
  <si>
    <t>ต้นทุนและราคา</t>
  </si>
  <si>
    <t>ต้นทุนต่อหน่วย + ตารางราคาขาย 3 ขนาด</t>
  </si>
  <si>
    <t>SOP วิธีชง</t>
  </si>
  <si>
    <t>ขั้นตอนชงหน้าร้าน</t>
  </si>
  <si>
    <t>🧪 การทำเบส</t>
  </si>
  <si>
    <t>เตรียมเบส</t>
  </si>
  <si>
    <t>กรอกยอดคาดขาย → บอกว่าต้องทำเบสกี่ batch</t>
  </si>
  <si>
    <t>เบสและซับสูตร</t>
  </si>
  <si>
    <t>สูตรเบสแต่ละตัว ปรับตามปริมาณที่จะทำ</t>
  </si>
  <si>
    <t>⭐ BOM: เบสแต่ละตัวใช้สินค้าอะไร เท่าไหร่</t>
  </si>
  <si>
    <t>📦 สต็อก &amp; บันทึกประจำวัน</t>
  </si>
  <si>
    <t>⭐ ทะเบียนสินค้า + สต็อกคงเหลืออัตโนมัติ</t>
  </si>
  <si>
    <t>ลงบิลซื้อวัตถุดิบ/บรรจุภัณฑ์</t>
  </si>
  <si>
    <t>ลงการขายทีละแก้ว → ตัดสต็อกเอง</t>
  </si>
  <si>
    <t>ยอดยกมา ของเสีย นับจริงไม่ตรง</t>
  </si>
  <si>
    <t>อุปกรณ์ในร้าน + ค่าเสื่อม</t>
  </si>
  <si>
    <t>👅 การชิม / R&amp;D</t>
  </si>
  <si>
    <t>R&amp;D Log</t>
  </si>
  <si>
    <t>บันทึกผลชิมแต่ละรอบ (JAR 1–5)</t>
  </si>
  <si>
    <t>สรุปการชิม</t>
  </si>
  <si>
    <t>สรุปว่าเมนูไหนต้องปรับหวาน/เข้มชา</t>
  </si>
  <si>
    <t>✨ มัทฉะพรีเมียม</t>
  </si>
  <si>
    <t>ต้นทุนผงมัทฉะ ตารางความไว เกรดผง</t>
  </si>
  <si>
    <t>🗂 ชีตเบื้องหลัง (ซ่อนไว้)</t>
  </si>
  <si>
    <t>ตารางรวม</t>
  </si>
  <si>
    <t>เครื่องมิเรอร์สูตร 360 แถว — ห้ามแก้ ระบบใช้ค้นหา</t>
  </si>
  <si>
    <t>Lists</t>
  </si>
  <si>
    <t>รายการแม่ของ dropdown ทุกตัว (เมนู ขนาด หมวดย่อย)</t>
  </si>
  <si>
    <t>Schema</t>
  </si>
  <si>
    <t>คู่มือว่าคอลัมน์ไหนกรอกได้/เป็นสูตร</t>
  </si>
  <si>
    <t>เคล็ดลับ</t>
  </si>
  <si>
    <t>โน้ตเทคนิคหน้าร้าน</t>
  </si>
  <si>
    <t>สรุปการแก้ไข</t>
  </si>
  <si>
    <t>ประวัติการแก้ไฟล์</t>
  </si>
  <si>
    <t>วิธีเปิดชีตที่ซ่อน: คลิกขวาที่แท็บใดก็ได้ด้านล่าง → Unhide → เลือกชื่อชีต → OK</t>
  </si>
  <si>
    <t>🍵 เมนู &amp; สูตร — ชาไทย / ชาเขียว</t>
  </si>
  <si>
    <t>ชีตทั้งหมดเรียงตามหมวดในแท็บด้านล่างแล้ว — กลับมาหน้านี้ได้จากแท็บ 🏠 หน้าหลัก ซ้ายสุด</t>
  </si>
  <si>
    <t>กรัมต่อแก้ว 20 oz</t>
  </si>
  <si>
    <t>สูตร — กรัม 16 oz × ตัวคูณสเกล 20 oz (ข้อมูลสูตร!AB2)</t>
  </si>
  <si>
    <t>สินค้าและสต็อก RM-MAT-01 (ราคาเฉลี่ยจากบันทึกซื้อ หรือราคาตั้งต้น)</t>
  </si>
  <si>
    <t>สินค้าและสต็อก RM-MAT-01</t>
  </si>
  <si>
    <t>ผง 4 / 5 / 5 g × ฿/g</t>
  </si>
  <si>
    <t>📥 อ้างอิงราคา: เกลี่ยยอดจ่ายจริงของแต่ละออเดอร์ Shopee ตามสัดส่วนราคาป้าย (บันทึก 17 ก.ย. 2026)</t>
  </si>
  <si>
    <t>รหัสออเดอร์</t>
  </si>
  <si>
    <t>ร้าน / รายการในออเดอร์</t>
  </si>
  <si>
    <t>ยอดจ่ายจริง (บาท)</t>
  </si>
  <si>
    <t>รวมราคาป้าย (บาท)</t>
  </si>
  <si>
    <t>ตัวคูณเกลี่ย</t>
  </si>
  <si>
    <t>SP-01</t>
  </si>
  <si>
    <t>MAXIE — ที่คีบ / เหยือกชงชา / ที่ตักน้ำแข็ง / ถุงชงชา / หัวปั๊มไซรัป</t>
  </si>
  <si>
    <t>SP-02</t>
  </si>
  <si>
    <t>TIMECAFE — ขวดบีบ / จิ้กเกอร์ / Bar Mat / ฉะเซ็น / เทอร์โมมิเตอร์ / ถุงมือ</t>
  </si>
  <si>
    <t>SP-03</t>
  </si>
  <si>
    <t>ชุดเต็นท์ 2×3 ม. + ผ้ากั้นใส 3 ด้าน</t>
  </si>
  <si>
    <t>SP-04</t>
  </si>
  <si>
    <t>โต๊ะพับเหล็กราวแขวนป้าย TZJ-200</t>
  </si>
  <si>
    <t>SP-05</t>
  </si>
  <si>
    <t>Mizumatcha — ผงมัทฉะ Daizu Premium (Yame Fukuoka) 30 g</t>
  </si>
  <si>
    <t>SP-06</t>
  </si>
  <si>
    <t>Living&amp;Cooking — ผ้ากันเปื้อนยีนส์ สีกากี</t>
  </si>
  <si>
    <t>SP-07</t>
  </si>
  <si>
    <t>No.1เครื่องครัว — ถาดทำน้ำแข็งซิลิโคน 9 ช่อง + 6 ช่อง</t>
  </si>
  <si>
    <t>SP-08</t>
  </si>
  <si>
    <t>LOFTHOME — เครื่องตีฟองนมไฟฟ้า แบบมือถือ</t>
  </si>
  <si>
    <t>SP-09</t>
  </si>
  <si>
    <t>Senorita — น้ำเชื่อม/ไซรัปมะพร้าวเข้มข้น 750 มล.</t>
  </si>
  <si>
    <t>SP-10</t>
  </si>
  <si>
    <t>ที่คีบอาหาร สเตนเลส 9 นิ้ว</t>
  </si>
  <si>
    <t>Shopee MAXIE</t>
  </si>
  <si>
    <t>ราคาป้าย ฿34 × ตัวคูณเกลี่ย SP-01 (แถว 60)</t>
  </si>
  <si>
    <t>เหยือกชงชา สเตนเลส MAXIE เบอร์ 18</t>
  </si>
  <si>
    <t>ราคาป้าย ฿138 × ตัวคูณเกลี่ย SP-01 · ซื้อ 2 ใบ</t>
  </si>
  <si>
    <t>ที่ตักน้ำแข็ง สเตนเลส เล็ก 7.5×24 ซม.</t>
  </si>
  <si>
    <t>ราคาป้าย ฿45 × ตัวคูณเกลี่ย SP-01</t>
  </si>
  <si>
    <t>ถุงกรองชา (ถุงชงชา) MAXIE ไซส์ใหน่</t>
  </si>
  <si>
    <t>ราคาป้าย ฿37 × ตัวคูณเกลี่ย SP-01 · ผ้ากรองสึกเร็ว ตั้งอายุ 1 ปี</t>
  </si>
  <si>
    <t>หัวปั๊มไซรัป แบบเกลียว</t>
  </si>
  <si>
    <t>ราคาป้าย ฿30 × ตัวคูณเกลี่ย SP-01 · ซื้อ 2 อัน แถมก้านหลอด</t>
  </si>
  <si>
    <t>ขวดบีบเครื่องปรุง 800 มล. พร้อมฝาปิด</t>
  </si>
  <si>
    <t>Shopee TIMECAFE</t>
  </si>
  <si>
    <t>ราคาป้าย ฿29 × ตัวคูณเกลี่ย SP-02 (แถว 61) · รวม 2 รายการในออเดอร์ (3+1 ขวด)</t>
  </si>
  <si>
    <t>จิ้กเกอร์ ตวงน้ำเชื่อม 15/30 cc</t>
  </si>
  <si>
    <t>ราคาป้าย ฿39 × ตัวคูณเกลี่ย SP-02</t>
  </si>
  <si>
    <t>แผ่นรองบาร์ (Bar Mat) 45×30 ซม.</t>
  </si>
  <si>
    <t>ราคาป้าย ฿65 × ตัวคูณเกลี่ย SP-02</t>
  </si>
  <si>
    <t>แผ่นรองบาร์ (Bar Mat) 15×30 ซม.</t>
  </si>
  <si>
    <t>ราคาป้าย ฿30 × ตัวคูณเกลี่ย SP-02</t>
  </si>
  <si>
    <t>แปรงชงมัทฉะ (ฉะเซ็น Chasen) 100 ซี่</t>
  </si>
  <si>
    <t>ราคาป้าย ฿95 × ตัวคูณเกลี่ย SP-02 · ไม้ไผ่สึกเร็ว อายุ 1 ปี</t>
  </si>
  <si>
    <t>เทอร์โมมิเตอร์วัดอุณหภูมิ สเตนเลส 0–100°C</t>
  </si>
  <si>
    <t>ราคาป้าย ฿89 × ตัวคูณเกลี่ย SP-02 · ใช้คุมอุณหภูมิต้มชา/สตีมนม</t>
  </si>
  <si>
    <t>ชุดเต็นท์ 2×3 ม. + ผ้ากั้นใส 3 ด้าน (T1 ขาดำ)</t>
  </si>
  <si>
    <t>ราคาป้าย ฿2,100 × ตัวคูณเกลี่ย SP-03 (แถว 62) · อุปกรณ์หน้าร้านขาหน้าร้าน</t>
  </si>
  <si>
    <t>โต๊ะพับเหล็กราวแขวนป้าย TZJ-200 75×200×75 ซม.</t>
  </si>
  <si>
    <t>ราคาป้าย ฿1,180 × ตัวคูณเกลี่ย SP-04 (แถว 63)</t>
  </si>
  <si>
    <t>ผ้ากันเปื้อนยีนส์ สีกากี</t>
  </si>
  <si>
    <t>Shopee Living&amp;Cooking</t>
  </si>
  <si>
    <t>ราคาป้าย ฿119 × ตัวคูณเกลี่ย SP-06 (แถว 65) · ซื้อ 2 ตัว</t>
  </si>
  <si>
    <t>ถาดทำน้ำแข็งซิลิโคน 9 ช่อง</t>
  </si>
  <si>
    <t>Shopee No.1เครื่องครัว</t>
  </si>
  <si>
    <t>ราคาป้าย ฿110 × ตัวคูณเกลี่ย SP-07 (แถว 66) · สีฟ้า</t>
  </si>
  <si>
    <t>ถาดทำน้ำแข็งซิลิโคน 6 ช่อง</t>
  </si>
  <si>
    <t>ราคาป้าย ฿110 × ตัวคูณเกลี่ย SP-07 · สีชมพู</t>
  </si>
  <si>
    <t>เครื่องตีฟองนมไฟฟ้า แบบมือถือ LOFTHOME</t>
  </si>
  <si>
    <t>Shopee LOFTHOME</t>
  </si>
  <si>
    <t>ราคาป้าย ฿177 × ตัวคูณเกลี่ย SP-08 (แถว 67) · ต่างจาก EQ-013 ที่เป็นแบบมือหมุน</t>
  </si>
  <si>
    <t>ผงมัทฉะ Mizumatcha Daizu Premium (Yame Fukuoka) 30 g</t>
  </si>
  <si>
    <t>เกรดพรีเมียม โน้ต Nutty/Floral/Creamy — ใช้เมนูพรีเมียม · ราคาป้าย ฿410 × ตัวคูณเกลี่ย SP-05</t>
  </si>
  <si>
    <t>ถุงมือไนไตร ไม่มีแป้ง Black L (100 ชิ้น/กล่อง)</t>
  </si>
  <si>
    <t>Food Grade Nitrile · ราคาป้าย ฿83 × ตัวคูณเกลี่ย SP-02</t>
  </si>
  <si>
    <t>RM-MAT-02</t>
  </si>
  <si>
    <t>Shopee Mizumatcha</t>
  </si>
  <si>
    <t>ออเดอร์ SP-05 · ยอดจ่ายจริงทั้งคำสั่งซื้อ (ราคาป้าย ฿410)</t>
  </si>
  <si>
    <t>Shopee Senorita</t>
  </si>
  <si>
    <t>ออเดอร์ SP-09 · น้ำเชื่อมมะพร้าวเข้มข้น 750 มล. × 2 ขวด (ราคาป้าย ฿198/ขวด) — แทนไซรัปมะพร้าวเดิม เช็กยี่ห้อว่าตรงสูตรเบสมะพร้าวหรือไม่</t>
  </si>
  <si>
    <t>OT-SUP-01</t>
  </si>
  <si>
    <t>ออเดอร์ SP-02 · ราคาป้าย ฿83 × ตัวคูณเกลี่ย</t>
  </si>
  <si>
    <t>OT-SUP-02</t>
  </si>
  <si>
    <t>Shopee ZC7-ห้างสรรพสินค้า</t>
  </si>
  <si>
    <t>ZC7-ห้างสรรพสินค้า — ปากกาแต้มสี TOYO กันน้ำ 6 ด้าม (เขียว/ดำ/ชมพู/ม่วง/ขาว/ส้ม)</t>
  </si>
  <si>
    <t>ปากกาแต้มสี TOYO กันน้ำ (ชุด 6 สี)</t>
  </si>
  <si>
    <t>สีที่มี: เขียว (TO2) · ดำ (TO3) · ชมพู (TO5) · ม่วง (TO6) · ขาว (TO7) · ส้ม (TO8) · ใช้แต้มสีโครงเต็นท์/โต๊ะ · ราคาป้าย ฿24.99/ด้าม (ออเดอร์ SP-10 ตัวคูณ 1.0000)</t>
  </si>
  <si>
    <t>ออเดอร์ SP-10 · ชุด 6 สี ด้ามละ ฿24.99 (ส่วนลด ฿40 หักในราคาต่อด้ามแล้ว ตัวคูณเกลี่ย = 1.0000)</t>
  </si>
  <si>
    <t>ใบชาเขียวไม่มีกลิ่นมะลิ รินชา</t>
  </si>
  <si>
    <t>รินชา สูตร 3 — ใบชาใต้แท้ ให้ body/หางชา · ราคาป้าย ฿255/กก. × ตัวคูณเกลี่ย 0.75 (เดิมตั้งไว้ ฿190)</t>
  </si>
  <si>
    <t>รินชา ใบชาเขียวไม่มีกลิ่นมะลิ 500 g — ไม่มีมะลิ ให้ body/หางชาเขียว · ราคาป้าย ฿230/500 g × ตัวคูณเกลี่ย 0.75 (เดิมตั้งไว้ ฿130)</t>
  </si>
  <si>
    <t>2. ชาเขียวเบส — “DA-YO Pure Green Tea Base” (ในเบสมีแค่ ชา + น้ำ เท่านั้น)</t>
  </si>
  <si>
    <t>จังหวะที่ 1 — ต้มน้ำเดือดแล้วพักให้ลงมา 80–85°C (ห้ามน้ำเดือด) → ใส่เพาะ ใบชาเขียวรินชา → คนวน 20 วินาที → ชักชา 3 รอบ (ห้ามแช่นิ่ง)</t>
  </si>
  <si>
    <t>จังหวะที่ 2 — เติมชาเขียวผงชาตรามือทีหลัง คนต่อ 40–60 วินาที → ยกถุงออกทันที ห้ามบีบ/ห้ามบิด → Cold shock กะละมังน้ำแข็ง ให้ต่ำกว่า 20°C ใน 30 นาที</t>
  </si>
  <si>
    <t>ชาเขียวผง ฉลากเขียว (ชาตรามือ)</t>
  </si>
  <si>
    <t>ชาตรามือ ฉลากเขียว — ตัวถือกลิ่นมะลิกับสีเขียวที่ลูกค้าไทยคุ้น · ใส่ทีหลัง กันฝาด · ฿0.26/g (ถูกกว่าใบ)</t>
  </si>
  <si>
    <t>ใบชาแท้ ไม่มีมะลิ — ตัวให้ body และหางชาที่ไม่จมเมื่อเจอนมข้นจืด/น้ำแข็ง · ใส่ก่อนเพราะสกัดช้ากว่าผง · ฿0.345/g</t>
  </si>
  <si>
    <t>ใส่มากกว่าปริมาณเบส 250 ml — ชารวม 240 g อมน้ำหายไปประมาณนี้ · น้ำเดือดจะสกัดคาเทชินเร็วเกิน → ขมและฝาด</t>
  </si>
  <si>
    <t>น้ำตาลทราย (ไม่ใช้ — ย้ายไปคุมหวานรายแก้ว)</t>
  </si>
  <si>
    <t>ถอดออกจากเบส (เดิม 240 g) — น้ำตาลเป็นอาหารยีสต์/แบคทีเรีย ทำให้เบสเสียเร็ว · ชดเชยด้วยน้ำเชื่อม 1:1 รายแก้วในชีต ข้อมูลสูตร</t>
  </si>
  <si>
    <t>ตั้งไว้ 0 โดยเจตนา — เกลือกลบขมได้แต่กันเสียไม่ได้ ถ้าต้องกลบแสดงว่าสกัดพลาด ให้แก้การสกัดก่อน</t>
  </si>
  <si>
    <t>รวมชาที่ใช้ ผง+ใบ (ตรวจยอด)</t>
  </si>
  <si>
    <t>ปริมาณชารวม ต่อเบส 3,000 ml</t>
  </si>
  <si>
    <t>ตั้งต้น 240 g (สูตรเดิม 180 g) — เพิ่มเพราะไม่มีน้ำตาลช่วยดันรสอีกแล้ว</t>
  </si>
  <si>
    <t>สัดส่วนชาเขียวผง ชาตรามือ</t>
  </si>
  <si>
    <t>ที่เหลือเป็นใบชาเขียวรินชา · 60% = 3:2 · ผงนำเพราะใบที่ซื้อไม่มีกลิ่นมะลิ · ห้ามให้ใบต่ำกว่า 40% ไม่งั้นเบสจมเมื่อเจอนม/น้ำแข็ง · เลื่อนอัตราส่วน 40:60 ↔ 60:40 ต้นทุนขยับแค่ ฿0.18/แก้ว</t>
  </si>
  <si>
    <t>อายุ 48 ชม. ในตู้เย็น 4°C (เดิม 24 ชม.) — นานขี้นเพราะเบสไม่มีน้ำตาลเลย · ขายจริงให้หมดใน 24–36 ชม. เพราะกลิ่นมะลิหายและสีคล้ำเร็วกว่าชาไทย (ชาไทย 72 ชม.)</t>
  </si>
  <si>
    <t>ทำไมน้ำตาลกับเกลือจึงออกจากเบส: น้ำตาลเป็นอาหารของยีสต์/แบคทีเรีย ทำให้เบสเสียเร็ว ตกตะกอน สีคล้ำ · เกลือกลบขมได้แต่กันเสียไม่ได้ — จึงเอาออกทั้งคู่ เหมือนเบสชาไทย</t>
  </si>
  <si>
    <t>⚠ เวลาสกัดไม่ปรับตามปริมาณ — ทำ 1,000 ml หรือ 3,000 ml ก็คนวน 20 วิ + คนต่อ 40–60 วิ เท่ากัน (ปรับแค่ปริมาณของ ไม่ใช่เวลา) · ห้ามแช่นิ่งเด็ดขาด ชาเขียวขมเร็วกว่าชาดำมาก</t>
  </si>
  <si>
    <t>ผงชาเขียวชาตรามือ — ลิงก์จากช่องปรับอัตราส่วนในชีต เบสและซับสูตร (B34/B35) — อย่ามาแก้ที่นี่</t>
  </si>
  <si>
    <t>ใบชาเขียวรินชา (ไม่มีมะลิ) — ลิงก์จากช่องปรับอัตราส่วน · เดิมคือ ชาเขียวมะลิใบ 50 g</t>
  </si>
  <si>
    <t>เพิ่มจาก 3,200 → 3,250 ml เพราะชาเยอะขึ้นจึงอมน้ำมากขึ้น</t>
  </si>
  <si>
    <t>ถอดออกจากเบส (เดิม 240 g) — เก็บแถวไว้สำหรับทดลองเท่านั้น</t>
  </si>
  <si>
    <t>ตั้ง 0 — ลิงก์จากช่องเกลือในชีตเบส เก็บแถวไว้สำหรับทดลอง</t>
  </si>
  <si>
    <t>ตัวคูณชดเชยน้ำตาลที่ถอดออกจากเบส (ml น้ำเชื่อม 1:1 ต่อ 1 ml เบสชา)</t>
  </si>
  <si>
    <t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</si>
  <si>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t>
  </si>
  <si>
    <t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</si>
  <si>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</si>
  <si>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</si>
  <si>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</si>
  <si>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t>
  </si>
  <si>
    <t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</si>
  <si>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</si>
  <si>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เมนูใหม่ (ชาเขียว) — เรียบเรียงจากสูตรเว็บ/โซเชียล สเกลหวาน/ขนาดตามแพทเทิร์น Latte (ดูแหล่งที่มาใน comment B162)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</si>
  <si>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</si>
  <si>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เมนูใหม่ (ชาเขียว) — สเกลตามแพทเทิร์น Latte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</si>
  <si>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เรียบเรียงจากสูตรเว็บ/โซเชียล สเกลตามแพทเทิร์น Lemon Tea (ดูแหล่งที่มาใน comment B172)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</si>
  <si>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สเกลตามแพทเทิร์น Lemon Tea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</si>
  <si>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เรียบเรียงจากสูตรเว็บ/โซเชียล สเกลน้ำผึ้ง/น้ำเชื่อมตามแพทเทิร์น Honey Milk (ดูแหล่งที่มาใน comment B182)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</si>
  <si>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สเกลตามแพทเทิร์น Honey Milk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</si>
  <si>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เรียบเรียงจากสูตรเว็บ/โซเชียล โครงเดียวกับ Cream Cheese ของชาไทย โฟมชีสไม่นับเป็นของเหลว (ดูแหล่งที่มาใน comment B192)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</si>
  <si>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t>
  </si>
  <si>
    <t>เมนูใหม่ (ชาเขียว) — สเกลตามแพทเทิร์น Cream Cheese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</si>
  <si>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</si>
  <si>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t>
  </si>
  <si>
    <t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</si>
  <si>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</si>
  <si>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</si>
  <si>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</si>
  <si>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t>
  </si>
  <si>
    <t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</si>
  <si>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</si>
  <si>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[20 oz = 16 oz x 1.25] เมนูใหม่ (ชาเขียว) — เรียบเรียงจากสูตรเว็บ/โซเชียล สเกลหวาน/ขนาดตามแพทเทิร์น Latte (ดูแหล่งที่มาใน comment B162)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</si>
  <si>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t>
  </si>
  <si>
    <t>[20 oz = 16 oz x 1.25] เมนูใหม่ (ชาเขียว) — เรียบเรียงจากสูตรเว็บ/โซเชียล สเกลตามแพทเทิร์น Lemon Tea (ดูแหล่งที่มาใน comment B172)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</si>
  <si>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(ชาเขียว) — เรียบเรียงจากสูตรเว็บ/โซเชียล สเกลน้ำผึ้ง/น้ำเชื่อมตามแพทเทิร์น Honey Milk (ดูแหล่งที่มาใน comment B182)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</si>
  <si>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(ชาเขียว) — เรียบเรียงจากสูตรเว็บ/โซเชียล โครงเดียวกับ Cream Cheese ของชาไทย โฟมชีสไม่นับเป็นของเหลว (ดูแหล่งที่มาใน comment B192)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t>
  </si>
  <si>
    <t>[20 oz = 16 oz x 1.25] 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t>
  </si>
  <si>
    <t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t>
  </si>
  <si>
    <t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t>
  </si>
  <si>
    <t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t>
  </si>
  <si>
    <t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t>
  </si>
  <si>
    <t>[20 oz = 16 oz x 1.25] 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t>
  </si>
  <si>
    <t>[20 oz = 16 oz x 1.25] 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t>
  </si>
  <si>
    <t>100% = ระดับหวานแบบร้านชาทั่วไป (~14 °Brix) · 50% = ~11 °Brix · 0% = ไม่มีสารให้ความหวานเลย (รอบ 6–7: ทั้งเบสชาไทยและชาเขียวไม่มีน้ำตาลแล้ว) — เป็นจุดขาย แต่ต้องแจ้งลูกค้าเก่าว่ารส 0% เปลี่ยนจากเดิม</t>
  </si>
  <si>
    <t>เบสไม่มีน้ำตาลแล้ว วัด °Brix เบสไม่ได้อีก — คุมคุณจะที่ 3 ตัวแทน: (1) น้ำหนักชาต่อเบส ชั่งทุกครั้ง (2) อุณหภูมิน้ำตอนใส่ชา (ชาไทย 92–95°C / ชาเขียว 80–85°C) (3) เวลาสกัด · ชิมเบสเปล่าทุกเช้า เช็ควันที่บนขวด · วัด Brix ได้ที่แก้วเสิร์ฟมาตรฐาน 50% (เป้า ~11 °Brix) แทน</t>
  </si>
  <si>
    <t>⚠ อัปเดตสูตรเบส: ทั้ง ชาไทยเบส (Pure Tea Base) และ ชาเขียวเบส (Pure Green Tea Base) มีแค่ชา + น้ำ ไม่มีน้ำตาลและเกลือในเบสอีกต่อไป · เมนูชาไทยและชาเขียวทุกตัวถูกเติมน้ำเชื่อมชดเชยในสูตรแล้ว (ดูตัวเลขจริงที่ชีต คำนวณสูตร) · วิธีต้มเบสดูชีต เบสและซับสูตร ข้อ 1 (ชาไทย) และ ข้อ 2 (ชาเขียว — น้ำ 80–85°C คนวน 20 วิ ห้ามแช่นิ่ง)</t>
  </si>
  <si>
    <t>🍵 ชาเขียวเบส (รอบ 7)</t>
  </si>
  <si>
    <t>เปลี่ยนชาเขียวเบสเป็น “DA-YO Pure Green Tea Base” + ชดเชยความหวานเมนูชาเขียว 9 เมนู × 3 ขนาด × 5 ระดับ = 135 แถว (ข้อมูลสูตร แถว 112–201 และ 297–341)</t>
  </si>
  <si>
    <t>เบสชาเขียวเดิมใส่น้ำตาล 240 g + เกลือ 1.5 g ลงในเบส — อยู่ได้แค่ 24 ชม. · อัตราส่วนชาฝังเป็นตัวเลขตาย ทดสอบสูตรไม่ได้ · วิธีสกัดเดิมเขียนว่า แช่ 4+2 นาที ซึ่งขันกับคำแนะของรินชาเองที่สั่งว่า “คนใบชา 15–20 วินาที ห้ามแช่ชาเด็ดขาด” — ชาเขียวสกัดคาเทชินเร็ว แช่นานแล้วขมทันที · ช่อง ชาเขียวมะลิใบ ไม่ตรงกับของที่ซื้อจริง (รินชา ใบชาเขียวไม่มีกลิ่นมะลิ)</t>
  </si>
  <si>
    <t>เบส 3,000 ml = ชาเขียวผงชาตรามือฉลากเขียว 144 g + ใบชาเขียวไม่มีกลิ่นมะลิ รินชา 96 g + น้ำ 80–85°C 3,250 ml · น้ำตาล = 0 · เกลือ = 0 · วิธี: ใส่ใบชาก่อน คนวน 20 วิ ชัก 3 รอบ → เติมผงชาตรามือ คนต่อ 40–60 วิ → ยกถุงทันที ห้ามบีบ → cold shock &lt;20°C ใน 30 นาที · อายุเบส 24 → 48 ชม. (ขายจริงให้หมดใน 24–36 ชม.) · ช่องปรับเหลือง B34 (ชารวม g) และ B35 (% ผงชาตรามือ) · tblBOM B-06…B-10 ลิงก์มาที่ช่องนี้โดยตรง · เหตุผลอัตราส่วน 60:40 = ผงต้องนำเพราะใบที่ซื้อไม่มีกลิ่นมะลิ แต่ใบต้องไม่ต่ำกว่า 40% เพราะเป็นตัวให้ body เมื่อเจอนม/น้ำแข็ง (ส่วนต่างต้นทุน 40:60 ↔ 60:40 แค่ ฿0.18/แก้ว จึงใช้รสเป็นตัวตัดสิน) · ราคาใบชาจริงจากหน้าสั่งซื้อรินชา: RM-TEA-04 ฿172.50/500 g = 0.345 ฿/g, RM-TEA-02 ฿191.25/1,000 g = 0.19125 ฿/g (ราคาป้าย × ตัวคูณเกลี่ย 0.75) · ต้นทุนเบสชาเขียวใหม่ 0.02433 ฿/ml (เดิม 0.01849 → +32%) · ชดเชยหวาน: น้ำเชื่อม 1:1 = 0.128 × เบสชาเขียว (ตัวคูณอยู่ที่ ข้อมูลสูตร!AD2 เป็นสูตรลิงก์จริง) ใช้ 108 แถว (25/50/75/100%) · ระดับ 0% ไม่ชดเชย 27 แถว · สลับปริมาตร 1:1 คงขนาดแก้ว: Green Latte/Green Honey Milk/Green Tea Frappe ลดนมสด 36 แถว, Green Coconut ลดเบสมะพร้าว 12 แถว, Green Lemon Tea/Green Honey Lemon ไม่มีตัวสลับจึงลดเบสเอง (F=เดิม÷1.128) 24 แถว · เหลือ 1 แถวที่ GP ต่ำกว่าเกณฑ์ 58%: Green Cream Cheese 22 oz 100% = 57.7% (ต้นทุน ฿31.72 ราคา ฿75) — ขยับราคาเป็น ฿76 จะกลับมา 58.3% (ยังไม่แก้ รอการตัดสินเรื่องราคา)</t>
  </si>
  <si>
    <t>เปลี่ยนจาก RM-MAT-01 (ค่าประมาณ 4.40 ฿/g) → RM-MAT-02 ผงที่ซื้อจริง 9.5667 ฿/g ตามบันทึกซื้อ P260917-001 (Mizumatcha Daizu Premium 30 g ฿287) · คงอัตราส่วน 1 g : 10 ml เท่าเดิม (30 g ต่อ batch 300 ml)</t>
  </si>
  <si>
    <t>ชีต ต้นทุนเบส — tblBOM แถว B-42 (แถวที่ 71) คอลัมน์ รหัสสินค้า</t>
  </si>
  <si>
    <t>🟠 ต้นทุนมัทฉะ (งานที่ 1)</t>
  </si>
  <si>
    <t>มัทฉะช็อตผูกกับ RM-MAT-01 ที่เป็นค่าประมาณ (เกรดลาเต้ Uji ฿2,200/500 g = 4.40 ฿/g) แต่ผงที่ซื้อใช้จริงคือ RM-MAT-02 — ต้นทุนต่อแก้วและ GP ของเมนูมัทฉะพรีเมียมทั้ง 4 ตัวจึงต่ำกว่าความจริงเกือบเท่าตัว</t>
  </si>
  <si>
    <t>เปลี่ยน tblBOM B-42 รหัสสินค้า RM-MAT-01 → RM-MAT-02 (ผงมัทฉะ Mizumatcha Daizu Premium 30 g ฿287 = 9.5667 ฿/g ตามบันทึกซื้อ P260917-001) · คงอัตราส่วน 1 g : 10 ml เท่าเดิม (ปริมาณต่อ batch 30 g / 300 ml ไม่แก้) · ต้นทุนมัทฉะช็อต 0.44 → 0.9567 ฿/ml (+117%) ไหลเข้า ต้นทุนและราคา!C19 → เมนูพรีเมียม 4 ตัว × 3 ขนาด GP ลดจาก 58–66% เหลือ 31–40% (ที่ระดับหวาน 100%) · ยังไม่แก้ราคาขาย รออนุมัติเจ้าของร้าน</t>
  </si>
  <si>
    <t>💰 ราคาขาย (งานที่ 2)</t>
  </si>
  <si>
    <t>ชีต ต้นทุนและราคา — ตารางราคาขาย 11 ช่อง: D28/E28, D36, D40/E40, D43/E43, D44/E44, D45/E45</t>
  </si>
  <si>
    <t>11 คู่ เมนู×ขนาด มี GP ต่ำกว่าเกณฑ์ใหม่ 60% (57.7–59.9%) ที่ระดับหวานที่ต้นทุนสูงสุด — ส่วนหนึ่งมาจากต้นทุนเบสชาเขียวที่สูงขึ้นหลังรอบ 7 อีกส่วนมาจากขนาด 20 oz ที่เคยตั้งราคาตามสัดส่วนโดยไม่เช็ค GP</t>
  </si>
  <si>
    <t>ขยับราคาตามที่เจ้าของร้านอนุมัติ (ปัดขึ้นให้ลงท้าย 5 หรือ 9): Cream Cheese 20/22 oz 70/75 → 75/79 · Lemon Tea 20 oz 45 → 49 · Green Berry Soda 20/22 oz 55/60 → 59/65 · Green Lemon Tea 20/22 oz 45/50 → 49/55 · Green Honey Lemon 20/22 oz 55/60 → 59/65 · Green Cream Cheese 20/22 oz 70/75 → 75/85 · ผล: GP ของ 11 ช่องขึ้นเป็น 60.7–63.2% · เมนูที่เหลือ GP &lt; 60% เป็นกลุ่มมัทฉะพรีเมียม 12 ช่อง (30.9–39.6%) — เจ้าของร้านสั่งพักไว้ก่อน รอสรุปเรื่องผงมัทฉะ (ผงพรีเมียม ฿9.57/g ไปไม่ถึง GP 60% ทุกกรณี ต้องลดเหลือ 1.36 g/แก้ว หรือกลับไปใช้ผงเกรดลาเต้)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</si>
</sst>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#,##0.#;;\-"/>
    <numFmt numFmtId="165" formatCode="#,##0.##"/>
    <numFmt numFmtId="166" formatCode="0.000"/>
    <numFmt numFmtId="167" formatCode="yyyy\-mm\-dd"/>
    <numFmt numFmtId="168" formatCode="ddd\ d\ mmm"/>
    <numFmt numFmtId="169" formatCode="#,##0.0000"/>
    <numFmt numFmtId="170" formatCode="#,##0.#;\-#,##0.#;\-"/>
    <numFmt numFmtId="171" formatCode="#,##0.0"/>
    <numFmt numFmtId="172" formatCode="\+0.0%;\-0.0%;\-"/>
    <numFmt numFmtId="173" formatCode="0.0000####"/>
    <numFmt numFmtId="174" formatCode="#,##0.#"/>
    <numFmt numFmtId="175" formatCode="\+#,##0.#;\-#,##0.#"/>
    <numFmt numFmtId="176" formatCode="0.0%"/>
    <numFmt numFmtId="177" formatCode="\฿#,##0.00"/>
    <numFmt numFmtId="178" formatCode="#,##0;\-#,##0;\-"/>
    <numFmt numFmtId="179" formatCode="\฿#,##0.00;\-\฿#,##0.00;\-"/>
    <numFmt numFmtId="180" formatCode="0.0%;\-0.0%;\-"/>
    <numFmt numFmtId="181" formatCode="0.0"/>
    <numFmt numFmtId="182" formatCode="0.00;\-0.00;\-"/>
    <numFmt numFmtId="183" formatCode="#,##0;\-#,##0;&quot;-&quot;"/>
    <numFmt numFmtId="184" formatCode="0.0000"/>
  </numFmts>
  <fonts count="5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rgb="FF5B5B7A"/>
      <name val="Arial"/>
      <family val="2"/>
    </font>
    <font>
      <i/>
      <sz val="9"/>
      <color rgb="FF8A8AA3"/>
      <name val="Calibri"/>
      <family val="2"/>
      <charset val="1"/>
    </font>
    <font>
      <i/>
      <sz val="9"/>
      <color rgb="FF8A8AA3"/>
      <name val="Arial"/>
      <family val="2"/>
    </font>
    <font>
      <sz val="10"/>
      <color rgb="FF3C3C3C"/>
      <name val="Arial"/>
      <family val="2"/>
    </font>
    <font>
      <b/>
      <sz val="10"/>
      <color rgb="FF3B4A6B"/>
      <name val="Arial"/>
      <family val="2"/>
    </font>
    <font>
      <sz val="10"/>
      <color rgb="FF7A5C2E"/>
      <name val="Arial"/>
      <family val="2"/>
    </font>
    <font>
      <b/>
      <sz val="10"/>
      <color rgb="FF3C3C3C"/>
      <name val="Arial"/>
      <family val="2"/>
    </font>
    <font>
      <b/>
      <sz val="11"/>
      <color rgb="FF3B4A6B"/>
      <name val="Arial"/>
      <family val="2"/>
    </font>
    <font>
      <b/>
      <sz val="11"/>
      <color rgb="FF5B5B7A"/>
      <name val="Arial"/>
      <family val="2"/>
    </font>
    <font>
      <b/>
      <sz val="14"/>
      <color rgb="FF3C3C3C"/>
      <name val="Arial"/>
      <family val="2"/>
    </font>
    <font>
      <b/>
      <sz val="16"/>
      <color rgb="FF3F3760"/>
      <name val="Arial"/>
      <family val="2"/>
    </font>
    <font>
      <sz val="9"/>
      <color rgb="FF8A8AA3"/>
      <name val="Arial"/>
      <family val="2"/>
    </font>
    <font>
      <sz val="11"/>
      <color rgb="FF3C3C3C"/>
      <name val="Calibri"/>
      <family val="2"/>
      <charset val="1"/>
    </font>
    <font>
      <b/>
      <sz val="11"/>
      <color rgb="FF7A5C2E"/>
      <name val="Arial"/>
      <family val="2"/>
    </font>
    <font>
      <b/>
      <sz val="11"/>
      <color rgb="FF3E8E7E"/>
      <name val="Arial"/>
      <family val="2"/>
    </font>
    <font>
      <b/>
      <sz val="9"/>
      <color rgb="FFB5556B"/>
      <name val="Arial"/>
      <family val="2"/>
    </font>
    <font>
      <b/>
      <sz val="11"/>
      <color rgb="FF2F6B58"/>
      <name val="Arial"/>
      <family val="2"/>
    </font>
    <font>
      <i/>
      <sz val="10"/>
      <color rgb="FF8A8AA3"/>
      <name val="Arial"/>
      <family val="2"/>
    </font>
    <font>
      <sz val="11"/>
      <color rgb="FF7A5C2E"/>
      <name val="Calibri"/>
      <family val="2"/>
      <charset val="1"/>
    </font>
    <font>
      <b/>
      <sz val="9"/>
      <color rgb="FF5B5B7A"/>
      <name val="Calibri"/>
      <family val="2"/>
      <charset val="1"/>
    </font>
    <font>
      <sz val="11"/>
      <color rgb="FF5B5B7A"/>
      <name val="Calibri"/>
      <family val="2"/>
      <charset val="1"/>
    </font>
    <font>
      <sz val="9"/>
      <color rgb="FF5B5B7A"/>
      <name val="Calibri"/>
      <family val="2"/>
      <charset val="1"/>
    </font>
    <font>
      <b/>
      <sz val="11"/>
      <color rgb="FF0000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2"/>
      <color rgb="FF3C3C3C"/>
      <name val="Arial"/>
      <family val="2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rgb="FF006100"/>
      <name val="Calibri"/>
      <family val="2"/>
      <charset val="1"/>
    </font>
    <font>
      <b/>
      <sz val="11"/>
      <color rgb="FF9C0006"/>
      <name val="Calibri"/>
      <family val="2"/>
      <charset val="1"/>
    </font>
    <font>
      <sz val="9"/>
      <color indexed="81"/>
      <name val="Tahoma"/>
    </font>
    <font>
      <b/>
      <sz val="9"/>
      <color indexed="81"/>
      <name val="Tahoma"/>
    </font>
    <font>
      <sz val="10"/>
      <color rgb="FF7A5C2E"/>
      <name val="Arial"/>
    </font>
    <font>
      <sz val="10"/>
      <color rgb="FF3C3C3C"/>
      <name val="Arial"/>
    </font>
    <font>
      <u/>
      <sz val="11"/>
      <color theme="10"/>
      <name val="Calibri"/>
      <family val="2"/>
      <charset val="1"/>
    </font>
    <font>
      <b/>
      <sz val="20"/>
      <color theme="1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u/>
      <sz val="11"/>
      <color theme="10"/>
      <name val="Calibri"/>
      <family val="2"/>
      <charset val="1"/>
    </font>
    <font>
      <sz val="11"/>
      <color rgb="FF595959"/>
      <name val="Calibri"/>
      <family val="2"/>
      <charset val="1"/>
    </font>
    <font>
      <sz val="11"/>
      <color rgb="FF808080"/>
      <name val="Calibri"/>
      <family val="2"/>
      <charset val="1"/>
    </font>
    <font>
      <sz val="11"/>
      <color rgb="FFA6A6A6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Arial"/>
    </font>
    <font>
      <b/>
      <sz val="14"/>
      <color rgb="FF5B5B7A"/>
      <name val="Arial"/>
    </font>
  </fonts>
  <fills count="29">
    <fill>
      <patternFill patternType="none"/>
    </fill>
    <fill>
      <patternFill patternType="gray125"/>
    </fill>
    <fill>
      <patternFill patternType="solid">
        <fgColor rgb="FFEDF6F3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2F0D9"/>
        <bgColor rgb="FFEDF6F3"/>
      </patternFill>
    </fill>
    <fill>
      <patternFill patternType="solid">
        <fgColor rgb="FFD9E7F5"/>
        <bgColor indexed="64"/>
      </patternFill>
    </fill>
    <fill>
      <patternFill patternType="solid">
        <fgColor rgb="FFFFF6E5"/>
        <bgColor indexed="64"/>
      </patternFill>
    </fill>
    <fill>
      <patternFill patternType="solid">
        <fgColor rgb="FFE3F4EC"/>
        <bgColor indexed="64"/>
      </patternFill>
    </fill>
    <fill>
      <patternFill patternType="solid">
        <fgColor rgb="FFECE6F7"/>
        <bgColor indexed="64"/>
      </patternFill>
    </fill>
    <fill>
      <patternFill patternType="solid">
        <fgColor rgb="FFFDE9DF"/>
        <bgColor indexed="64"/>
      </patternFill>
    </fill>
    <fill>
      <patternFill patternType="solid">
        <fgColor rgb="FFFBE4EA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DCD6F0"/>
        <bgColor indexed="64"/>
      </patternFill>
    </fill>
    <fill>
      <patternFill patternType="solid">
        <fgColor rgb="FFDFF3E8"/>
        <bgColor indexed="64"/>
      </patternFill>
    </fill>
    <fill>
      <patternFill patternType="solid">
        <fgColor rgb="FFF3F4F8"/>
        <bgColor indexed="64"/>
      </patternFill>
    </fill>
    <fill>
      <patternFill patternType="solid">
        <fgColor rgb="FFCFEBDD"/>
        <bgColor indexed="64"/>
      </patternFill>
    </fill>
    <fill>
      <patternFill patternType="solid">
        <fgColor rgb="FFEAF4EE"/>
        <bgColor indexed="64"/>
      </patternFill>
    </fill>
    <fill>
      <patternFill patternType="solid">
        <fgColor rgb="FFFFF0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9B9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8DEE9"/>
      </bottom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rgb="FF4F81BD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98">
    <xf numFmtId="0" fontId="0" fillId="0" borderId="0" xfId="0"/>
    <xf numFmtId="0" fontId="3" fillId="0" borderId="1" xfId="0" applyFont="1" applyBorder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5" borderId="0" xfId="0" applyFont="1" applyFill="1" applyAlignment="1">
      <alignment vertical="center" wrapText="1"/>
    </xf>
    <xf numFmtId="0" fontId="11" fillId="6" borderId="0" xfId="0" applyFont="1" applyFill="1"/>
    <xf numFmtId="4" fontId="11" fillId="6" borderId="0" xfId="0" applyNumberFormat="1" applyFont="1" applyFill="1"/>
    <xf numFmtId="4" fontId="9" fillId="0" borderId="0" xfId="0" applyNumberFormat="1" applyFont="1"/>
    <xf numFmtId="169" fontId="9" fillId="0" borderId="0" xfId="0" applyNumberFormat="1" applyFont="1"/>
    <xf numFmtId="170" fontId="9" fillId="0" borderId="0" xfId="0" applyNumberFormat="1" applyFont="1"/>
    <xf numFmtId="171" fontId="9" fillId="0" borderId="0" xfId="0" applyNumberFormat="1" applyFont="1"/>
    <xf numFmtId="169" fontId="11" fillId="6" borderId="0" xfId="0" applyNumberFormat="1" applyFont="1" applyFill="1"/>
    <xf numFmtId="172" fontId="9" fillId="0" borderId="0" xfId="0" applyNumberFormat="1" applyFont="1"/>
    <xf numFmtId="165" fontId="11" fillId="6" borderId="0" xfId="0" applyNumberFormat="1" applyFont="1" applyFill="1"/>
    <xf numFmtId="173" fontId="9" fillId="0" borderId="0" xfId="0" applyNumberFormat="1" applyFont="1"/>
    <xf numFmtId="167" fontId="11" fillId="6" borderId="0" xfId="0" applyNumberFormat="1" applyFont="1" applyFill="1"/>
    <xf numFmtId="174" fontId="9" fillId="0" borderId="0" xfId="0" applyNumberFormat="1" applyFont="1"/>
    <xf numFmtId="175" fontId="11" fillId="6" borderId="0" xfId="0" applyNumberFormat="1" applyFont="1" applyFill="1"/>
    <xf numFmtId="49" fontId="9" fillId="0" borderId="0" xfId="0" applyNumberFormat="1" applyFont="1"/>
    <xf numFmtId="49" fontId="11" fillId="6" borderId="0" xfId="0" applyNumberFormat="1" applyFont="1" applyFill="1"/>
    <xf numFmtId="176" fontId="9" fillId="0" borderId="0" xfId="0" applyNumberFormat="1" applyFont="1"/>
    <xf numFmtId="14" fontId="9" fillId="0" borderId="0" xfId="0" applyNumberFormat="1" applyFont="1"/>
    <xf numFmtId="9" fontId="9" fillId="0" borderId="0" xfId="0" applyNumberFormat="1" applyFont="1"/>
    <xf numFmtId="0" fontId="9" fillId="0" borderId="0" xfId="0" quotePrefix="1" applyFont="1"/>
    <xf numFmtId="0" fontId="13" fillId="5" borderId="0" xfId="0" applyFont="1" applyFill="1"/>
    <xf numFmtId="0" fontId="12" fillId="0" borderId="0" xfId="0" applyFont="1"/>
    <xf numFmtId="0" fontId="14" fillId="0" borderId="0" xfId="0" applyFont="1"/>
    <xf numFmtId="0" fontId="10" fillId="7" borderId="0" xfId="0" applyFont="1" applyFill="1" applyAlignment="1">
      <alignment vertical="center" wrapText="1"/>
    </xf>
    <xf numFmtId="0" fontId="10" fillId="8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3" fontId="15" fillId="0" borderId="3" xfId="0" applyNumberFormat="1" applyFont="1" applyBorder="1"/>
    <xf numFmtId="177" fontId="15" fillId="0" borderId="3" xfId="0" applyNumberFormat="1" applyFont="1" applyBorder="1"/>
    <xf numFmtId="176" fontId="15" fillId="0" borderId="3" xfId="0" applyNumberFormat="1" applyFont="1" applyBorder="1"/>
    <xf numFmtId="0" fontId="10" fillId="9" borderId="3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9" fillId="0" borderId="3" xfId="0" applyFont="1" applyBorder="1"/>
    <xf numFmtId="178" fontId="9" fillId="0" borderId="3" xfId="0" applyNumberFormat="1" applyFont="1" applyBorder="1"/>
    <xf numFmtId="179" fontId="9" fillId="0" borderId="3" xfId="0" applyNumberFormat="1" applyFont="1" applyBorder="1"/>
    <xf numFmtId="180" fontId="9" fillId="0" borderId="3" xfId="0" applyNumberFormat="1" applyFont="1" applyBorder="1"/>
    <xf numFmtId="0" fontId="12" fillId="11" borderId="3" xfId="0" applyFont="1" applyFill="1" applyBorder="1"/>
    <xf numFmtId="178" fontId="12" fillId="11" borderId="3" xfId="0" applyNumberFormat="1" applyFont="1" applyFill="1" applyBorder="1"/>
    <xf numFmtId="179" fontId="12" fillId="11" borderId="3" xfId="0" applyNumberFormat="1" applyFont="1" applyFill="1" applyBorder="1"/>
    <xf numFmtId="180" fontId="12" fillId="11" borderId="3" xfId="0" applyNumberFormat="1" applyFont="1" applyFill="1" applyBorder="1"/>
    <xf numFmtId="0" fontId="10" fillId="10" borderId="3" xfId="0" applyFont="1" applyFill="1" applyBorder="1" applyAlignment="1">
      <alignment vertical="center" wrapText="1"/>
    </xf>
    <xf numFmtId="174" fontId="9" fillId="0" borderId="3" xfId="0" applyNumberFormat="1" applyFont="1" applyBorder="1"/>
    <xf numFmtId="168" fontId="9" fillId="0" borderId="3" xfId="0" applyNumberFormat="1" applyFont="1" applyBorder="1"/>
    <xf numFmtId="0" fontId="17" fillId="0" borderId="0" xfId="0" applyFont="1"/>
    <xf numFmtId="0" fontId="18" fillId="0" borderId="0" xfId="0" applyFont="1"/>
    <xf numFmtId="0" fontId="19" fillId="13" borderId="1" xfId="0" applyFont="1" applyFill="1" applyBorder="1"/>
    <xf numFmtId="0" fontId="20" fillId="0" borderId="0" xfId="0" applyFont="1"/>
    <xf numFmtId="49" fontId="19" fillId="13" borderId="1" xfId="0" applyNumberFormat="1" applyFont="1" applyFill="1" applyBorder="1"/>
    <xf numFmtId="0" fontId="13" fillId="5" borderId="1" xfId="0" applyFont="1" applyFill="1" applyBorder="1"/>
    <xf numFmtId="0" fontId="9" fillId="0" borderId="1" xfId="0" applyFont="1" applyBorder="1"/>
    <xf numFmtId="164" fontId="12" fillId="0" borderId="1" xfId="0" applyNumberFormat="1" applyFont="1" applyBorder="1"/>
    <xf numFmtId="0" fontId="17" fillId="0" borderId="1" xfId="0" applyFont="1" applyBorder="1"/>
    <xf numFmtId="0" fontId="12" fillId="14" borderId="1" xfId="0" applyFont="1" applyFill="1" applyBorder="1"/>
    <xf numFmtId="3" fontId="12" fillId="0" borderId="1" xfId="0" applyNumberFormat="1" applyFont="1" applyBorder="1"/>
    <xf numFmtId="4" fontId="12" fillId="0" borderId="1" xfId="0" applyNumberFormat="1" applyFont="1" applyBorder="1"/>
    <xf numFmtId="9" fontId="12" fillId="0" borderId="1" xfId="0" applyNumberFormat="1" applyFont="1" applyBorder="1"/>
    <xf numFmtId="0" fontId="18" fillId="0" borderId="1" xfId="0" applyFont="1" applyBorder="1"/>
    <xf numFmtId="0" fontId="13" fillId="5" borderId="1" xfId="0" applyFont="1" applyFill="1" applyBorder="1" applyAlignment="1">
      <alignment vertical="center" wrapText="1"/>
    </xf>
    <xf numFmtId="164" fontId="9" fillId="0" borderId="0" xfId="0" applyNumberFormat="1" applyFont="1"/>
    <xf numFmtId="3" fontId="9" fillId="0" borderId="0" xfId="0" applyNumberFormat="1" applyFont="1"/>
    <xf numFmtId="3" fontId="12" fillId="0" borderId="0" xfId="0" applyNumberFormat="1" applyFont="1"/>
    <xf numFmtId="9" fontId="12" fillId="0" borderId="0" xfId="0" applyNumberFormat="1" applyFont="1"/>
    <xf numFmtId="0" fontId="21" fillId="0" borderId="0" xfId="0" applyFont="1"/>
    <xf numFmtId="0" fontId="12" fillId="0" borderId="1" xfId="0" applyFont="1" applyBorder="1"/>
    <xf numFmtId="165" fontId="12" fillId="14" borderId="1" xfId="0" applyNumberFormat="1" applyFont="1" applyFill="1" applyBorder="1" applyAlignment="1">
      <alignment horizontal="right"/>
    </xf>
    <xf numFmtId="165" fontId="19" fillId="6" borderId="1" xfId="0" applyNumberFormat="1" applyFont="1" applyFill="1" applyBorder="1" applyAlignment="1">
      <alignment horizontal="right"/>
    </xf>
    <xf numFmtId="0" fontId="21" fillId="0" borderId="1" xfId="0" applyFont="1" applyBorder="1"/>
    <xf numFmtId="0" fontId="12" fillId="14" borderId="1" xfId="0" applyFont="1" applyFill="1" applyBorder="1" applyAlignment="1">
      <alignment horizontal="center"/>
    </xf>
    <xf numFmtId="165" fontId="9" fillId="0" borderId="1" xfId="0" applyNumberFormat="1" applyFont="1" applyBorder="1" applyAlignment="1">
      <alignment horizontal="right"/>
    </xf>
    <xf numFmtId="165" fontId="12" fillId="2" borderId="1" xfId="0" applyNumberFormat="1" applyFont="1" applyFill="1" applyBorder="1" applyAlignment="1">
      <alignment horizontal="right"/>
    </xf>
    <xf numFmtId="166" fontId="20" fillId="6" borderId="1" xfId="0" applyNumberFormat="1" applyFont="1" applyFill="1" applyBorder="1"/>
    <xf numFmtId="2" fontId="20" fillId="6" borderId="1" xfId="0" applyNumberFormat="1" applyFont="1" applyFill="1" applyBorder="1"/>
    <xf numFmtId="1" fontId="19" fillId="6" borderId="1" xfId="0" applyNumberFormat="1" applyFont="1" applyFill="1" applyBorder="1"/>
    <xf numFmtId="0" fontId="9" fillId="16" borderId="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23" fillId="0" borderId="1" xfId="0" applyFont="1" applyBorder="1"/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16" borderId="0" xfId="0" applyFont="1" applyFill="1"/>
    <xf numFmtId="49" fontId="23" fillId="0" borderId="1" xfId="0" applyNumberFormat="1" applyFont="1" applyBorder="1"/>
    <xf numFmtId="0" fontId="7" fillId="0" borderId="0" xfId="0" applyFont="1"/>
    <xf numFmtId="0" fontId="14" fillId="0" borderId="0" xfId="0" applyFont="1" applyAlignment="1">
      <alignment vertical="top" wrapText="1"/>
    </xf>
    <xf numFmtId="0" fontId="9" fillId="0" borderId="3" xfId="0" applyFont="1" applyBorder="1" applyAlignment="1">
      <alignment vertical="top" wrapText="1"/>
    </xf>
    <xf numFmtId="3" fontId="11" fillId="6" borderId="3" xfId="0" applyNumberFormat="1" applyFont="1" applyFill="1" applyBorder="1" applyAlignment="1">
      <alignment vertical="top" wrapText="1"/>
    </xf>
    <xf numFmtId="0" fontId="11" fillId="6" borderId="3" xfId="0" applyFont="1" applyFill="1" applyBorder="1" applyAlignment="1">
      <alignment vertical="top" wrapText="1"/>
    </xf>
    <xf numFmtId="2" fontId="9" fillId="0" borderId="3" xfId="0" applyNumberFormat="1" applyFont="1" applyBorder="1" applyAlignment="1">
      <alignment vertical="top" wrapText="1"/>
    </xf>
    <xf numFmtId="0" fontId="9" fillId="7" borderId="3" xfId="0" applyFont="1" applyFill="1" applyBorder="1" applyAlignment="1">
      <alignment vertical="top" wrapText="1"/>
    </xf>
    <xf numFmtId="3" fontId="11" fillId="7" borderId="3" xfId="0" applyNumberFormat="1" applyFont="1" applyFill="1" applyBorder="1" applyAlignment="1">
      <alignment vertical="top" wrapText="1"/>
    </xf>
    <xf numFmtId="0" fontId="11" fillId="7" borderId="3" xfId="0" applyFont="1" applyFill="1" applyBorder="1" applyAlignment="1">
      <alignment vertical="top" wrapText="1"/>
    </xf>
    <xf numFmtId="2" fontId="9" fillId="7" borderId="3" xfId="0" applyNumberFormat="1" applyFont="1" applyFill="1" applyBorder="1" applyAlignment="1">
      <alignment vertical="top" wrapText="1"/>
    </xf>
    <xf numFmtId="4" fontId="9" fillId="0" borderId="3" xfId="0" applyNumberFormat="1" applyFont="1" applyBorder="1" applyAlignment="1">
      <alignment vertical="top" wrapText="1"/>
    </xf>
    <xf numFmtId="166" fontId="9" fillId="0" borderId="3" xfId="0" applyNumberFormat="1" applyFont="1" applyBorder="1" applyAlignment="1">
      <alignment vertical="top" wrapText="1"/>
    </xf>
    <xf numFmtId="176" fontId="9" fillId="0" borderId="3" xfId="0" applyNumberFormat="1" applyFont="1" applyBorder="1" applyAlignment="1">
      <alignment vertical="top" wrapText="1"/>
    </xf>
    <xf numFmtId="181" fontId="12" fillId="5" borderId="3" xfId="0" applyNumberFormat="1" applyFont="1" applyFill="1" applyBorder="1" applyAlignment="1">
      <alignment vertical="top" wrapText="1"/>
    </xf>
    <xf numFmtId="171" fontId="9" fillId="0" borderId="3" xfId="0" applyNumberFormat="1" applyFont="1" applyBorder="1" applyAlignment="1">
      <alignment vertical="top" wrapText="1"/>
    </xf>
    <xf numFmtId="181" fontId="12" fillId="17" borderId="3" xfId="0" applyNumberFormat="1" applyFont="1" applyFill="1" applyBorder="1" applyAlignment="1">
      <alignment vertical="top" wrapText="1"/>
    </xf>
    <xf numFmtId="171" fontId="9" fillId="17" borderId="3" xfId="0" applyNumberFormat="1" applyFont="1" applyFill="1" applyBorder="1" applyAlignment="1">
      <alignment vertical="top" wrapText="1"/>
    </xf>
    <xf numFmtId="9" fontId="9" fillId="0" borderId="3" xfId="0" applyNumberFormat="1" applyFont="1" applyBorder="1" applyAlignment="1">
      <alignment vertical="top" wrapText="1"/>
    </xf>
    <xf numFmtId="9" fontId="11" fillId="6" borderId="0" xfId="0" applyNumberFormat="1" applyFont="1" applyFill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9" fillId="8" borderId="3" xfId="0" applyFont="1" applyFill="1" applyBorder="1" applyAlignment="1">
      <alignment vertical="top" wrapText="1"/>
    </xf>
    <xf numFmtId="3" fontId="9" fillId="8" borderId="3" xfId="0" applyNumberFormat="1" applyFont="1" applyFill="1" applyBorder="1" applyAlignment="1">
      <alignment vertical="top" wrapText="1"/>
    </xf>
    <xf numFmtId="1" fontId="9" fillId="8" borderId="3" xfId="0" applyNumberFormat="1" applyFont="1" applyFill="1" applyBorder="1" applyAlignment="1">
      <alignment vertical="top" wrapText="1"/>
    </xf>
    <xf numFmtId="177" fontId="9" fillId="8" borderId="3" xfId="0" applyNumberFormat="1" applyFont="1" applyFill="1" applyBorder="1" applyAlignment="1">
      <alignment vertical="top" wrapText="1"/>
    </xf>
    <xf numFmtId="178" fontId="11" fillId="6" borderId="3" xfId="0" applyNumberFormat="1" applyFont="1" applyFill="1" applyBorder="1" applyAlignment="1">
      <alignment vertical="top" wrapText="1"/>
    </xf>
    <xf numFmtId="178" fontId="12" fillId="0" borderId="3" xfId="0" applyNumberFormat="1" applyFont="1" applyBorder="1" applyAlignment="1">
      <alignment vertical="top" wrapText="1"/>
    </xf>
    <xf numFmtId="49" fontId="11" fillId="6" borderId="3" xfId="0" applyNumberFormat="1" applyFont="1" applyFill="1" applyBorder="1" applyAlignment="1">
      <alignment vertical="top" wrapText="1"/>
    </xf>
    <xf numFmtId="182" fontId="9" fillId="0" borderId="3" xfId="0" applyNumberFormat="1" applyFont="1" applyBorder="1" applyAlignment="1">
      <alignment vertical="top" wrapText="1"/>
    </xf>
    <xf numFmtId="2" fontId="9" fillId="8" borderId="3" xfId="0" applyNumberFormat="1" applyFont="1" applyFill="1" applyBorder="1" applyAlignment="1">
      <alignment vertical="top" wrapText="1"/>
    </xf>
    <xf numFmtId="183" fontId="9" fillId="8" borderId="3" xfId="0" applyNumberFormat="1" applyFont="1" applyFill="1" applyBorder="1" applyAlignment="1">
      <alignment vertical="top" wrapText="1"/>
    </xf>
    <xf numFmtId="9" fontId="24" fillId="6" borderId="0" xfId="0" applyNumberFormat="1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3" fillId="0" borderId="0" xfId="0" applyFont="1"/>
    <xf numFmtId="165" fontId="9" fillId="0" borderId="0" xfId="0" applyNumberFormat="1" applyFont="1" applyAlignment="1">
      <alignment horizontal="right"/>
    </xf>
    <xf numFmtId="165" fontId="12" fillId="2" borderId="0" xfId="0" applyNumberFormat="1" applyFont="1" applyFill="1" applyAlignment="1">
      <alignment horizontal="right"/>
    </xf>
    <xf numFmtId="165" fontId="28" fillId="6" borderId="1" xfId="0" applyNumberFormat="1" applyFont="1" applyFill="1" applyBorder="1" applyAlignment="1">
      <alignment horizontal="right"/>
    </xf>
    <xf numFmtId="165" fontId="29" fillId="0" borderId="1" xfId="0" applyNumberFormat="1" applyFont="1" applyBorder="1" applyAlignment="1">
      <alignment horizontal="right"/>
    </xf>
    <xf numFmtId="165" fontId="30" fillId="0" borderId="1" xfId="0" applyNumberFormat="1" applyFont="1" applyBorder="1" applyAlignment="1">
      <alignment horizontal="right"/>
    </xf>
    <xf numFmtId="165" fontId="30" fillId="18" borderId="0" xfId="0" applyNumberFormat="1" applyFont="1" applyFill="1" applyAlignment="1">
      <alignment horizontal="right"/>
    </xf>
    <xf numFmtId="9" fontId="30" fillId="18" borderId="0" xfId="0" applyNumberFormat="1" applyFont="1" applyFill="1" applyAlignment="1">
      <alignment horizontal="right"/>
    </xf>
    <xf numFmtId="0" fontId="31" fillId="0" borderId="0" xfId="0" applyFont="1" applyAlignment="1">
      <alignment vertical="top" wrapText="1"/>
    </xf>
    <xf numFmtId="0" fontId="32" fillId="0" borderId="0" xfId="0" applyFont="1"/>
    <xf numFmtId="0" fontId="32" fillId="18" borderId="0" xfId="0" applyFont="1" applyFill="1"/>
    <xf numFmtId="0" fontId="33" fillId="0" borderId="0" xfId="0" applyFont="1"/>
    <xf numFmtId="9" fontId="32" fillId="0" borderId="0" xfId="0" applyNumberFormat="1" applyFont="1"/>
    <xf numFmtId="0" fontId="33" fillId="18" borderId="0" xfId="0" applyFont="1" applyFill="1"/>
    <xf numFmtId="0" fontId="35" fillId="19" borderId="0" xfId="0" applyFont="1" applyFill="1"/>
    <xf numFmtId="0" fontId="36" fillId="20" borderId="0" xfId="0" applyFont="1" applyFill="1"/>
    <xf numFmtId="0" fontId="12" fillId="0" borderId="4" xfId="0" applyFont="1" applyBorder="1"/>
    <xf numFmtId="0" fontId="9" fillId="0" borderId="4" xfId="0" applyFont="1" applyBorder="1" applyAlignment="1">
      <alignment vertical="top" wrapText="1"/>
    </xf>
    <xf numFmtId="0" fontId="39" fillId="6" borderId="0" xfId="0" applyFont="1" applyFill="1"/>
    <xf numFmtId="4" fontId="39" fillId="6" borderId="0" xfId="0" applyNumberFormat="1" applyFont="1" applyFill="1"/>
    <xf numFmtId="4" fontId="40" fillId="0" borderId="0" xfId="0" applyNumberFormat="1" applyFont="1"/>
    <xf numFmtId="169" fontId="40" fillId="0" borderId="0" xfId="0" applyNumberFormat="1" applyFont="1"/>
    <xf numFmtId="170" fontId="40" fillId="0" borderId="0" xfId="0" applyNumberFormat="1" applyFont="1"/>
    <xf numFmtId="171" fontId="40" fillId="0" borderId="0" xfId="0" applyNumberFormat="1" applyFont="1"/>
    <xf numFmtId="0" fontId="40" fillId="0" borderId="0" xfId="0" applyFont="1"/>
    <xf numFmtId="169" fontId="39" fillId="6" borderId="0" xfId="0" applyNumberFormat="1" applyFont="1" applyFill="1"/>
    <xf numFmtId="172" fontId="40" fillId="0" borderId="0" xfId="0" applyNumberFormat="1" applyFont="1"/>
    <xf numFmtId="165" fontId="39" fillId="6" borderId="0" xfId="0" applyNumberFormat="1" applyFont="1" applyFill="1"/>
    <xf numFmtId="173" fontId="40" fillId="0" borderId="0" xfId="0" applyNumberFormat="1" applyFont="1"/>
    <xf numFmtId="0" fontId="13" fillId="5" borderId="5" xfId="0" applyFont="1" applyFill="1" applyBorder="1" applyAlignment="1">
      <alignment vertical="center" wrapText="1"/>
    </xf>
    <xf numFmtId="0" fontId="16" fillId="12" borderId="0" xfId="0" applyFont="1" applyFill="1"/>
    <xf numFmtId="0" fontId="17" fillId="0" borderId="0" xfId="0" applyFont="1" applyAlignment="1">
      <alignment vertical="top" wrapText="1"/>
    </xf>
    <xf numFmtId="0" fontId="2" fillId="4" borderId="1" xfId="0" applyFont="1" applyFill="1" applyBorder="1"/>
    <xf numFmtId="0" fontId="2" fillId="4" borderId="0" xfId="0" applyFont="1" applyFill="1"/>
    <xf numFmtId="0" fontId="17" fillId="0" borderId="0" xfId="0" applyFont="1"/>
    <xf numFmtId="0" fontId="9" fillId="0" borderId="0" xfId="0" applyFont="1" applyAlignment="1">
      <alignment vertical="top" wrapText="1"/>
    </xf>
    <xf numFmtId="0" fontId="1" fillId="3" borderId="0" xfId="0" applyFont="1" applyFill="1"/>
    <xf numFmtId="0" fontId="22" fillId="15" borderId="0" xfId="0" applyFont="1" applyFill="1"/>
    <xf numFmtId="0" fontId="14" fillId="15" borderId="0" xfId="0" applyFont="1" applyFill="1"/>
    <xf numFmtId="0" fontId="14" fillId="0" borderId="2" xfId="0" applyFont="1" applyBorder="1" applyAlignment="1">
      <alignment horizontal="left" vertical="top" wrapText="1"/>
    </xf>
    <xf numFmtId="0" fontId="44" fillId="21" borderId="0" xfId="0" applyFont="1" applyFill="1"/>
    <xf numFmtId="0" fontId="44" fillId="22" borderId="0" xfId="0" applyFont="1" applyFill="1"/>
    <xf numFmtId="0" fontId="44" fillId="23" borderId="0" xfId="0" applyFont="1" applyFill="1"/>
    <xf numFmtId="0" fontId="44" fillId="24" borderId="0" xfId="0" applyFont="1" applyFill="1"/>
    <xf numFmtId="0" fontId="44" fillId="25" borderId="0" xfId="0" applyFont="1" applyFill="1"/>
    <xf numFmtId="0" fontId="44" fillId="26" borderId="0" xfId="0" applyFont="1" applyFill="1"/>
    <xf numFmtId="0" fontId="44" fillId="27" borderId="0" xfId="0" applyFont="1" applyFill="1"/>
    <xf numFmtId="0" fontId="42" fillId="28" borderId="0" xfId="0" applyFont="1" applyFill="1"/>
    <xf numFmtId="0" fontId="0" fillId="28" borderId="0" xfId="0" applyFill="1"/>
    <xf numFmtId="0" fontId="43" fillId="28" borderId="0" xfId="0" applyFont="1" applyFill="1"/>
    <xf numFmtId="0" fontId="45" fillId="28" borderId="0" xfId="1" applyFont="1" applyFill="1"/>
    <xf numFmtId="0" fontId="46" fillId="28" borderId="0" xfId="0" applyFont="1" applyFill="1"/>
    <xf numFmtId="0" fontId="47" fillId="28" borderId="0" xfId="0" applyFont="1" applyFill="1"/>
    <xf numFmtId="0" fontId="48" fillId="28" borderId="0" xfId="0" applyFont="1" applyFill="1"/>
    <xf numFmtId="0" fontId="49" fillId="28" borderId="0" xfId="0" applyFont="1" applyFill="1"/>
    <xf numFmtId="0" fontId="10" fillId="5" borderId="3" xfId="0" applyFont="1" applyFill="1" applyBorder="1" applyAlignment="1">
      <alignment wrapText="1"/>
    </xf>
    <xf numFmtId="1" fontId="50" fillId="0" borderId="1" xfId="0" applyNumberFormat="1" applyFont="1" applyFill="1" applyBorder="1"/>
    <xf numFmtId="1" fontId="51" fillId="0" borderId="0" xfId="0" applyNumberFormat="1" applyFont="1" applyFill="1"/>
    <xf numFmtId="1" fontId="0" fillId="0" borderId="0" xfId="0" applyNumberFormat="1"/>
    <xf numFmtId="0" fontId="9" fillId="0" borderId="3" xfId="0" applyFont="1" applyBorder="1" applyAlignment="1">
      <alignment horizontal="left" vertical="top"/>
    </xf>
    <xf numFmtId="0" fontId="34" fillId="0" borderId="0" xfId="0" applyFont="1" applyAlignment="1"/>
    <xf numFmtId="0" fontId="0" fillId="0" borderId="0" xfId="0" applyAlignment="1"/>
    <xf numFmtId="0" fontId="33" fillId="0" borderId="0" xfId="0" applyFont="1" applyAlignment="1"/>
    <xf numFmtId="0" fontId="52" fillId="6" borderId="0" xfId="0" applyFont="1" applyFill="1"/>
    <xf numFmtId="0" fontId="53" fillId="0" borderId="0" xfId="0" applyFont="1" applyFill="1"/>
    <xf numFmtId="0" fontId="10" fillId="5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40" fillId="0" borderId="8" xfId="0" applyFont="1" applyBorder="1"/>
    <xf numFmtId="4" fontId="40" fillId="0" borderId="8" xfId="0" applyNumberFormat="1" applyFont="1" applyBorder="1"/>
    <xf numFmtId="184" fontId="40" fillId="0" borderId="8" xfId="0" applyNumberFormat="1" applyFont="1" applyBorder="1"/>
    <xf numFmtId="0" fontId="40" fillId="0" borderId="9" xfId="0" applyFont="1" applyBorder="1"/>
    <xf numFmtId="4" fontId="40" fillId="0" borderId="9" xfId="0" applyNumberFormat="1" applyFont="1" applyBorder="1"/>
    <xf numFmtId="184" fontId="40" fillId="0" borderId="9" xfId="0" applyNumberFormat="1" applyFont="1" applyBorder="1"/>
    <xf numFmtId="0" fontId="17" fillId="0" borderId="10" xfId="0" applyFont="1" applyBorder="1"/>
    <xf numFmtId="0" fontId="12" fillId="0" borderId="11" xfId="0" applyFont="1" applyBorder="1"/>
    <xf numFmtId="0" fontId="13" fillId="5" borderId="0" xfId="0" applyFont="1" applyFill="1" applyBorder="1" applyAlignment="1">
      <alignment vertical="center" wrapText="1"/>
    </xf>
    <xf numFmtId="166" fontId="32" fillId="18" borderId="0" xfId="0" applyNumberFormat="1" applyFont="1" applyFill="1"/>
    <xf numFmtId="0" fontId="12" fillId="0" borderId="4" xfId="0" applyFont="1" applyFill="1" applyBorder="1"/>
    <xf numFmtId="0" fontId="9" fillId="0" borderId="4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142">
    <dxf>
      <fill>
        <patternFill patternType="solid">
          <fgColor indexed="64"/>
          <bgColor rgb="FFFFF0C9"/>
        </patternFill>
      </fill>
    </dxf>
    <dxf>
      <fill>
        <patternFill patternType="solid">
          <fgColor indexed="64"/>
          <bgColor rgb="FFFBD5DC"/>
        </patternFill>
      </fill>
    </dxf>
    <dxf>
      <fill>
        <patternFill patternType="solid">
          <fgColor indexed="64"/>
          <bgColor rgb="FFDFF3E8"/>
        </patternFill>
      </fill>
    </dxf>
    <dxf>
      <fill>
        <patternFill patternType="solid">
          <fgColor indexed="64"/>
          <bgColor rgb="FFFBD5DC"/>
        </patternFill>
      </fill>
    </dxf>
    <dxf>
      <font>
        <color rgb="FF2F7A56"/>
      </font>
      <fill>
        <patternFill patternType="solid">
          <fgColor indexed="64"/>
          <bgColor rgb="FFDFF3E8"/>
        </patternFill>
      </fill>
    </dxf>
    <dxf>
      <font>
        <color rgb="FF8A6D1F"/>
      </font>
      <fill>
        <patternFill patternType="solid">
          <fgColor indexed="64"/>
          <bgColor rgb="FFFFF0C9"/>
        </patternFill>
      </fill>
    </dxf>
    <dxf>
      <font>
        <color rgb="FF9C2F4B"/>
      </font>
      <fill>
        <patternFill patternType="solid">
          <fgColor indexed="64"/>
          <bgColor rgb="FFFBD5DC"/>
        </patternFill>
      </fill>
    </dxf>
    <dxf>
      <fill>
        <patternFill patternType="solid">
          <fgColor indexed="64"/>
          <bgColor rgb="FFFBD5DC"/>
        </patternFill>
      </fill>
    </dxf>
    <dxf>
      <font>
        <sz val="10"/>
        <color rgb="FF3C3C3C"/>
        <name val="Arial"/>
      </font>
    </dxf>
    <dxf>
      <font>
        <sz val="10"/>
        <color rgb="FF000000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000000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  <numFmt numFmtId="4" formatCode="#,##0.00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4" formatCode="#,##0.00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167" formatCode="yyyy\-mm\-dd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3C3C3C"/>
        <name val="Arial"/>
      </font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69" formatCode="#,##0.0000"/>
    </dxf>
    <dxf>
      <font>
        <sz val="10"/>
        <color rgb="FF3C3C3C"/>
        <name val="Arial"/>
      </font>
      <numFmt numFmtId="169" formatCode="#,##0.0000"/>
    </dxf>
    <dxf>
      <font>
        <sz val="10"/>
        <color rgb="FF3C3C3C"/>
        <name val="Arial"/>
      </font>
      <numFmt numFmtId="173" formatCode="0.0000####"/>
    </dxf>
    <dxf>
      <font>
        <sz val="10"/>
        <color rgb="FF3C3C3C"/>
        <name val="Arial"/>
      </font>
    </dxf>
    <dxf>
      <font>
        <sz val="10"/>
        <color rgb="FF7A5C2E"/>
        <name val="Arial"/>
      </font>
      <numFmt numFmtId="165" formatCode="#,##0.##"/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3C3C3C"/>
        <name val="Arial"/>
      </font>
      <numFmt numFmtId="172" formatCode="\+0.0%;\-0.0%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69" formatCode="#,##0.0000"/>
    </dxf>
    <dxf>
      <font>
        <sz val="10"/>
        <color rgb="FF7A5C2E"/>
        <name val="Arial"/>
      </font>
      <numFmt numFmtId="169" formatCode="#,##0.0000"/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  <numFmt numFmtId="169" formatCode="#,##0.0000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3C3C3C"/>
        <name val="Arial"/>
      </font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171" formatCode="#,##0.0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69" formatCode="#,##0.0000"/>
    </dxf>
    <dxf>
      <font>
        <sz val="10"/>
        <color rgb="FF3C3C3C"/>
        <name val="Arial"/>
      </font>
      <numFmt numFmtId="169" formatCode="#,##0.0000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4" formatCode="#,##0.00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4" formatCode="#,##0.00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7A5C2E"/>
        <name val="Arial"/>
        <family val="2"/>
        <scheme val="none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7A5C2E"/>
        <name val="Arial"/>
      </font>
      <numFmt numFmtId="175" formatCode="\+#,##0.#;\-#,##0.#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167" formatCode="yyyy\-mm\-dd"/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  <numFmt numFmtId="174" formatCode="#,##0.#"/>
    </dxf>
    <dxf>
      <font>
        <sz val="10"/>
        <color rgb="FF3C3C3C"/>
        <name val="Arial"/>
      </font>
      <numFmt numFmtId="4" formatCode="#,##0.00"/>
    </dxf>
    <dxf>
      <font>
        <sz val="10"/>
        <color rgb="FF7A5C2E"/>
        <name val="Arial"/>
      </font>
      <numFmt numFmtId="4" formatCode="#,##0.00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167" formatCode="yyyy\-mm\-dd"/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  <dxf>
      <font>
        <sz val="10"/>
        <color rgb="FF3C3C3C"/>
        <name val="Arial"/>
      </font>
      <numFmt numFmtId="170" formatCode="#,##0.#;\-#,##0.#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numFmt numFmtId="170" formatCode="#,##0.#;\-#,##0.#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C3C3C"/>
        <name val="Arial"/>
        <family val="2"/>
        <scheme val="none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0" formatCode="#,##0.#;\-#,##0.#;\-"/>
    </dxf>
    <dxf>
      <font>
        <sz val="10"/>
        <color rgb="FF3C3C3C"/>
        <name val="Arial"/>
      </font>
      <numFmt numFmtId="176" formatCode="0.0%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  <numFmt numFmtId="4" formatCode="#,##0.00"/>
    </dxf>
    <dxf>
      <font>
        <sz val="10"/>
        <color rgb="FF3C3C3C"/>
        <name val="Arial"/>
      </font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30" formatCode="@"/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fill>
        <patternFill patternType="solid">
          <fgColor indexed="64"/>
          <bgColor rgb="FFFFF6E5"/>
        </patternFill>
      </fill>
    </dxf>
    <dxf>
      <font>
        <sz val="10"/>
        <color rgb="FF7A5C2E"/>
        <name val="Arial"/>
      </font>
      <numFmt numFmtId="167" formatCode="yyyy\-mm\-dd"/>
      <fill>
        <patternFill patternType="solid">
          <fgColor indexed="64"/>
          <bgColor rgb="FFFFF6E5"/>
        </patternFill>
      </fill>
    </dxf>
    <dxf>
      <font>
        <sz val="10"/>
        <color rgb="FF3C3C3C"/>
        <name val="Arial"/>
      </font>
    </dxf>
    <dxf>
      <font>
        <sz val="10"/>
        <color rgb="FF3C3C3C"/>
        <name val="Arial"/>
      </font>
    </dxf>
    <dxf>
      <font>
        <b/>
        <sz val="10"/>
        <color rgb="FF3B4A6B"/>
        <name val="Arial"/>
      </font>
      <fill>
        <patternFill patternType="solid">
          <fgColor indexed="64"/>
          <bgColor rgb="FFD9E7F5"/>
        </patternFill>
      </fill>
      <alignment vertical="center" wrapText="1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F6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6F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ayanun Sungsa-ard" id="{6AB62292-76E6-C943-8D4D-366AE4AF7384}" userId="b30a47edc848230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D79AF9-396D-0147-B281-FAB8A9722A71}" name="tblIng" displayName="tblIng" ref="A5:I25" totalsRowShown="0" headerRowDxfId="58" dataDxfId="57">
  <autoFilter ref="A5:I25" xr:uid="{DCD79AF9-396D-0147-B281-FAB8A9722A71}"/>
  <tableColumns count="9">
    <tableColumn id="1" xr3:uid="{B5622D8B-A567-DA42-A9D1-FF2B4FA93414}" name="ลำดับ" dataDxfId="56"/>
    <tableColumn id="2" xr3:uid="{B8E8878D-4F75-F543-A099-D077A2FA6891}" name="วัตถุดิบในสูตร" dataDxfId="55"/>
    <tableColumn id="3" xr3:uid="{A31C53C0-783C-CA46-ABB9-D927FCBE97B7}" name="หน่วย" dataDxfId="54"/>
    <tableColumn id="4" xr3:uid="{7187C3A3-FB48-A745-BEEF-262755D7AFBE}" name="ขนาด batch มาตรฐาน" dataDxfId="53"/>
    <tableColumn id="5" xr3:uid="{4B74B4A5-4B15-E440-87A0-91D25135893E}" name="ต้นทุนคำนวณต่อหน่วย" dataDxfId="52">
      <calculatedColumnFormula>SUMIFS(tblBOM[ต้นทุนต่อ 1 หน่วยสูตร],tblBOM[วัตถุดิบในสูตร],tblIng[[#This Row],[วัตถุดิบในสูตร]])</calculatedColumnFormula>
    </tableColumn>
    <tableColumn id="6" xr3:uid="{0B14633D-AB8D-D147-B195-806828646F4F}" name="ต้นทุนตั้งต้นต่อหน่วย (ค่าเดิม)" dataDxfId="51"/>
    <tableColumn id="7" xr3:uid="{CDC93A9D-297C-194C-8F86-B60107A78400}" name="ต้นทุนที่ใช้" dataDxfId="50">
      <calculatedColumnFormula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calculatedColumnFormula>
    </tableColumn>
    <tableColumn id="8" xr3:uid="{FEA051CB-77DD-4C42-B6CE-B8E208D16E08}" name="ใช้ไปจากการขาย (หน่วย)" dataDxfId="49">
      <calculatedColumnFormula>IFERROR(SUM(INDEX(tblSales[],0,MATCH(tblIng[[#This Row],[วัตถุดิบในสูตร]],tblSales[#Headers],0))),0)</calculatedColumnFormula>
    </tableColumn>
    <tableColumn id="9" xr3:uid="{9E6867CE-506F-3A46-B9E2-B1495203026E}" name="ส่วนต่างจากค่าเดิม" dataDxfId="48">
      <calculatedColumnFormula>IFERROR(tblIng[[#This Row],[ต้นทุนที่ใช้]]/tblIng[[#This Row],[ต้นทุนตั้งต้นต่อหน่วย (ค่าเดิม)]]-1,"")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7D5123-0F32-1147-9260-4D8B09ED0051}" name="tblBOM" displayName="tblBOM" ref="A29:K76" totalsRowShown="0" headerRowDxfId="47" dataDxfId="46">
  <autoFilter ref="A29:K76" xr:uid="{887D5123-0F32-1147-9260-4D8B09ED0051}"/>
  <tableColumns count="11">
    <tableColumn id="1" xr3:uid="{6A2F3055-9AD1-2341-8691-AE0211D69304}" name="รหัส BOM" dataDxfId="45"/>
    <tableColumn id="2" xr3:uid="{A89E1783-A404-934A-994C-5A6AA9541BEF}" name="วัตถุดิบในสูตร" dataDxfId="44"/>
    <tableColumn id="3" xr3:uid="{5F775CED-1484-0E4E-B25E-89E310A172AE}" name="รหัสสินค้า" dataDxfId="43"/>
    <tableColumn id="4" xr3:uid="{326012D7-3A55-354B-AD54-8B2F9EDA74DF}" name="ชื่อสินค้า" dataDxfId="42">
      <calculatedColumnFormula>IF(tblBOM[[#This Row],[รหัสสินค้า]]="","",IFERROR(INDEX(tblItems[ชื่อสินค้า],MATCH(tblBOM[[#This Row],[รหัสสินค้า]],tblItems[รหัสสินค้า],0)),"ไม่พบรหัส"))</calculatedColumnFormula>
    </tableColumn>
    <tableColumn id="5" xr3:uid="{28A3CBED-B17A-734E-B7C7-C1D553E7F52F}" name="ปริมาณต่อ batch" dataDxfId="41"/>
    <tableColumn id="6" xr3:uid="{FCDACBF5-D425-9140-B341-3278C04B5FF4}" name="หน่วย" dataDxfId="40">
      <calculatedColumnFormula>IF(tblBOM[[#This Row],[รหัสสินค้า]]="","",IFERROR(INDEX(tblItems[หน่วยใช้],MATCH(tblBOM[[#This Row],[รหัสสินค้า]],tblItems[รหัสสินค้า],0)),""))</calculatedColumnFormula>
    </tableColumn>
    <tableColumn id="7" xr3:uid="{00CB4AB9-03AB-BF4E-BCDA-4ACF9C408DE3}" name="ปริมาณต่อ 1 หน่วยสูตร" dataDxfId="39">
      <calculatedColumnFormula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calculatedColumnFormula>
    </tableColumn>
    <tableColumn id="8" xr3:uid="{DAFD13F5-73EF-9C40-898E-F53E3FA8F05E}" name="ต้นทุนสินค้าต่อหน่วยใช้" dataDxfId="38">
      <calculatedColumnFormula>IF(tblBOM[[#This Row],[รหัสสินค้า]]="","",IFERROR(INDEX(tblItems[ต้นทุนต่อหน่วยใช้],MATCH(tblBOM[[#This Row],[รหัสสินค้า]],tblItems[รหัสสินค้า],0)),0))</calculatedColumnFormula>
    </tableColumn>
    <tableColumn id="9" xr3:uid="{736E35FB-B2D0-CF47-86B9-BCB58E7EFA59}" name="ต้นทุนต่อ 1 หน่วยสูตร" dataDxfId="37">
      <calculatedColumnFormula>IF(tblBOM[[#This Row],[รหัสสินค้า]]="","",tblBOM[[#This Row],[ปริมาณต่อ 1 หน่วยสูตร]]*tblBOM[[#This Row],[ต้นทุนสินค้าต่อหน่วยใช้]])</calculatedColumnFormula>
    </tableColumn>
    <tableColumn id="10" xr3:uid="{7EB82C69-384A-C544-AE7B-56B7BC7F3331}" name="ใช้ไปจากการขาย (หน่วยใช้)" dataDxfId="36">
      <calculatedColumnFormula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calculatedColumnFormula>
    </tableColumn>
    <tableColumn id="11" xr3:uid="{3A9C606F-BCA1-2649-A68D-84C1859E2471}" name="หมายเหตุ" dataDxfId="3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E1828-2824-C24A-BA67-66CFC4D4BEE0}" name="tblItems" displayName="tblItems" ref="A5:V40" totalsRowShown="0" headerRowDxfId="79" dataDxfId="78">
  <autoFilter ref="A5:V40" xr:uid="{450E1828-2824-C24A-BA67-66CFC4D4BEE0}"/>
  <tableColumns count="22">
    <tableColumn id="1" xr3:uid="{E34E9585-C4F4-4040-8686-C044DBBC17D5}" name="รหัสสินค้า" dataDxfId="10">
      <calculatedColumnFormula>IF(OR(tblItems[[#This Row],[ชื่อสินค้า]]="",tblItems[[#This Row],[หมวดย่อย]]=""),"",IFERROR(VLOOKUP(tblItems[[#This Row],[หมวดย่อย]],Lists!$P$2:$R$20,3,FALSE),"??")&amp;"-"&amp;TEXT(COUNTIF($D$6:D6,tblItems[[#This Row],[หมวดย่อย]]),"00"))</calculatedColumnFormula>
    </tableColumn>
    <tableColumn id="2" xr3:uid="{53A578CD-2D26-A04D-AAAF-51DFC09D904E}" name="ชื่อสินค้า" dataDxfId="77"/>
    <tableColumn id="3" xr3:uid="{4F4CB8BC-5229-5049-A87C-AD335BCC7681}" name="ประเภท" dataDxfId="9"/>
    <tableColumn id="22" xr3:uid="{FC2FE491-8B8B-4B3C-AC3B-867D16C2D378}" name="หมวดย่อย" dataDxfId="76"/>
    <tableColumn id="4" xr3:uid="{F87C2D58-5B36-5548-943C-E9CBF8719529}" name="หน่วยซื้อ" dataDxfId="75"/>
    <tableColumn id="5" xr3:uid="{0E12EA13-0AFE-CE49-8EF1-8DA0A39C2B79}" name="ปริมาณต่อหน่วยซื้อ" dataDxfId="74"/>
    <tableColumn id="6" xr3:uid="{A104AC45-D915-FF47-8523-BB1EDD4498D0}" name="หน่วยใช้" dataDxfId="73"/>
    <tableColumn id="7" xr3:uid="{F5C50850-2D4E-634D-8A29-F9FAAAFCA578}" name="ราคาตั้งต้นต่อหน่วยซื้อ" dataDxfId="72"/>
    <tableColumn id="8" xr3:uid="{938B37BB-549A-B240-8CED-0836728592B3}" name="จุดสั่งซื้อ (หน่วยใช้)" dataDxfId="71"/>
    <tableColumn id="9" xr3:uid="{CA116B9F-8ABF-FE4A-B9FC-54D10433D868}" name="ยี่ห้อ/หมายเหตุ" dataDxfId="70"/>
    <tableColumn id="10" xr3:uid="{E0260E81-1C7F-DF41-9941-AF77D7D25275}" name="ซื้อรวม (หน่วยซื้อ)" dataDxfId="69">
      <calculatedColumnFormula>IF(tblItems[[#This Row],[รหัสสินค้า]]="","",SUMIFS(tblPurchases[จำนวน (หน่วยซื้อ)],tblPurchases[รหัสสินค้า],tblItems[[#This Row],[รหัสสินค้า]]))</calculatedColumnFormula>
    </tableColumn>
    <tableColumn id="11" xr3:uid="{5EEAC92D-BF7C-DF46-9CAE-1B5665F19DFE}" name="ยอดซื้อรวม (บาท)" dataDxfId="68">
      <calculatedColumnFormula>IF(tblItems[[#This Row],[รหัสสินค้า]]="","",SUMIFS(tblPurchases[ราคารวม (บาท)],tblPurchases[รหัสสินค้า],tblItems[[#This Row],[รหัสสินค้า]]))</calculatedColumnFormula>
    </tableColumn>
    <tableColumn id="12" xr3:uid="{3A15712A-A4B2-7146-8804-9D01E211350B}" name="ต้นทุนเฉลี่ยต่อหน่วยซื้อ" dataDxfId="67">
      <calculatedColumnFormula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calculatedColumnFormula>
    </tableColumn>
    <tableColumn id="13" xr3:uid="{B30A11C3-4FAC-964E-8DAC-178E16B086C1}" name="ต้นทุนต่อหน่วยใช้" dataDxfId="66">
      <calculatedColumnFormula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calculatedColumnFormula>
    </tableColumn>
    <tableColumn id="14" xr3:uid="{AA93C186-3F95-D346-8E8B-D03645DFBE7A}" name="รับเข้า (หน่วยใช้)" dataDxfId="65">
      <calculatedColumnFormula>IF(tblItems[[#This Row],[รหัสสินค้า]]="","",tblItems[[#This Row],[ซื้อรวม (หน่วยซื้อ)]]*tblItems[[#This Row],[ปริมาณต่อหน่วยซื้อ]])</calculatedColumnFormula>
    </tableColumn>
    <tableColumn id="15" xr3:uid="{833E8712-0321-6842-91DF-B41597F17E77}" name="ใช้จากการขาย (หน่วยใช้)" dataDxfId="64">
      <calculatedColumnFormula>IF(tblItems[[#This Row],[รหัสสินค้า]]="","",SUMIFS(tblBOM[ใช้ไปจากการขาย (หน่วยใช้)],tblBOM[รหัสสินค้า],tblItems[[#This Row],[รหัสสินค้า]]))</calculatedColumnFormula>
    </tableColumn>
    <tableColumn id="16" xr3:uid="{4353C73B-3CDC-EE4E-B1C6-89D0E73BCF44}" name="ปรับปรุง (หน่วยใช้)" dataDxfId="63">
      <calculatedColumnFormula>IF(tblItems[[#This Row],[รหัสสินค้า]]="","",SUMIFS(tblAdjust[จำนวน (+เพิ่ม / -ลด)],tblAdjust[รหัสสินค้า],tblItems[[#This Row],[รหัสสินค้า]]))</calculatedColumnFormula>
    </tableColumn>
    <tableColumn id="17" xr3:uid="{8C0E09B5-A1E1-944A-AD6B-41B1A87A2435}" name="คงเหลือ (หน่วยใช้)" dataDxfId="62">
      <calculatedColumnFormula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calculatedColumnFormula>
    </tableColumn>
    <tableColumn id="18" xr3:uid="{F0A4CAB1-4317-C74C-AF30-DD60745E55E7}" name="คงเหลือ (หน่วยซื้อ)" dataDxfId="61">
      <calculatedColumnFormula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calculatedColumnFormula>
    </tableColumn>
    <tableColumn id="19" xr3:uid="{E33268B3-6FA3-1747-821F-06A2DEFD6CDD}" name="มูลค่าคงเหลือ (บาท)" dataDxfId="60">
      <calculatedColumnFormula>IF(tblItems[[#This Row],[รหัสสินค้า]]="","",tblItems[[#This Row],[คงเหลือ (หน่วยใช้)]]*tblItems[[#This Row],[ต้นทุนต่อหน่วยใช้]])</calculatedColumnFormula>
    </tableColumn>
    <tableColumn id="20" xr3:uid="{9F94AA44-AE9F-A347-A3FC-BEF2E34D491F}" name="สถานะ" dataDxfId="59">
      <calculatedColumnFormula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calculatedColumnFormula>
    </tableColumn>
    <tableColumn id="21" xr3:uid="{2B1F77E6-3797-364C-8F9D-5A02EF48AA32}" name="ลำดับแจ้งเตือน" dataDxfId="8">
      <calculatedColumnFormula>IF(OR(U6="ใกล้หมด",U6="หมด"),COUNTIF(U$6:U6,"ใกล้หมด")+COUNTIF(U$6:U6,"หมด"),"")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C529B7-9940-AA46-A216-94B433993C19}" name="tblPurchases" displayName="tblPurchases" ref="A5:K305" totalsRowShown="0" headerRowDxfId="103" dataDxfId="102">
  <autoFilter ref="A5:K305" xr:uid="{55C529B7-9940-AA46-A216-94B433993C19}"/>
  <tableColumns count="11">
    <tableColumn id="1" xr3:uid="{DAAC4097-1417-8642-9ABD-EA88767DA481}" name="รหัสรายการ" dataDxfId="101">
      <calculatedColumnFormula>IF(tblPurchases[[#This Row],[วันที่]]="","","P"&amp;TEXT(tblPurchases[[#This Row],[วันที่]],"yymmdd")&amp;"-"&amp;TEXT(ROW()-5,"000"))</calculatedColumnFormula>
    </tableColumn>
    <tableColumn id="2" xr3:uid="{F91AD34B-A445-B742-B4FE-842F498EC68C}" name="วันที่" dataDxfId="100"/>
    <tableColumn id="3" xr3:uid="{77DDD6CF-316C-B942-949F-59FA3F18B686}" name="รหัสสินค้า" dataDxfId="99"/>
    <tableColumn id="4" xr3:uid="{24D9CA2D-A694-F049-847C-7D40F2D771B2}" name="ชื่อสินค้า" dataDxfId="98">
      <calculatedColumnFormula>IF(tblPurchases[[#This Row],[รหัสสินค้า]]="","",IFERROR(INDEX(tblItems[ชื่อสินค้า],MATCH(tblPurchases[[#This Row],[รหัสสินค้า]],tblItems[รหัสสินค้า],0)),"ไม่พบรหัส"))</calculatedColumnFormula>
    </tableColumn>
    <tableColumn id="5" xr3:uid="{1C1B24C6-EE8D-7143-9ACE-CBD4D26918AF}" name="จำนวน (หน่วยซื้อ)" dataDxfId="97"/>
    <tableColumn id="6" xr3:uid="{D2E134C3-B776-4A4F-890A-3033A50629BC}" name="ราคารวม (บาท)" dataDxfId="96"/>
    <tableColumn id="7" xr3:uid="{5A6BD4CE-DCBE-A541-902D-81713ED0194F}" name="ราคาต่อหน่วยซื้อ" dataDxfId="95">
      <calculatedColumnFormula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calculatedColumnFormula>
    </tableColumn>
    <tableColumn id="8" xr3:uid="{84604984-A4C4-F148-AD2F-8D36186565F0}" name="ปริมาณที่ได้ (หน่วยใช้)" dataDxfId="94">
      <calculatedColumnFormula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calculatedColumnFormula>
    </tableColumn>
    <tableColumn id="9" xr3:uid="{76FFDA33-4BED-5648-8B76-73A8AE3D1B50}" name="ร้านค้า" dataDxfId="93"/>
    <tableColumn id="10" xr3:uid="{FAA0FF84-4CD9-984D-B712-B6F76B631DCE}" name="ผู้บันทึก" dataDxfId="92"/>
    <tableColumn id="11" xr3:uid="{815F4FBF-0074-984F-9EDA-FC7428D24D0F}" name="หมายเหตุ" dataDxfId="9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C0B3D8-977D-F14C-BC3D-C21D07C17B50}" name="tblSales" displayName="tblSales" ref="A5:AJ305" totalsRowShown="0" headerRowDxfId="141" dataDxfId="140">
  <autoFilter ref="A5:AJ305" xr:uid="{6DC0B3D8-977D-F14C-BC3D-C21D07C17B50}"/>
  <tableColumns count="36">
    <tableColumn id="1" xr3:uid="{15F779A5-B062-9444-9C1B-C8F07F83411D}" name="รหัสรายการ" dataDxfId="139">
      <calculatedColumnFormula>IF(tblSales[[#This Row],[วันที่]]="","","S"&amp;TEXT(tblSales[[#This Row],[วันที่]],"yymmdd")&amp;"-"&amp;TEXT(ROW()-5,"000"))</calculatedColumnFormula>
    </tableColumn>
    <tableColumn id="2" xr3:uid="{A8F600B6-F406-1446-8ECB-CEC1AB5CD698}" name="วันที่" dataDxfId="138"/>
    <tableColumn id="3" xr3:uid="{5BA397CA-B6B2-FF49-989C-A7E2B816FBC2}" name="เมนู" dataDxfId="137"/>
    <tableColumn id="4" xr3:uid="{EA1ADBF6-B587-C545-AFB4-A7224A46FD20}" name="ขนาด" dataDxfId="136"/>
    <tableColumn id="5" xr3:uid="{EE610FE1-D5BA-1A4E-AF44-8F80757ECEB8}" name="ความหวาน" dataDxfId="135"/>
    <tableColumn id="6" xr3:uid="{B47EE946-6ED4-7D45-B1F1-CD659F0ACD75}" name="จำนวนแก้ว" dataDxfId="134"/>
    <tableColumn id="7" xr3:uid="{C09D160A-AC66-364F-AC3A-937F89312EC3}" name="ช่องทาง" dataDxfId="133"/>
    <tableColumn id="8" xr3:uid="{182C8CF7-DF4C-2D4D-AB11-60B3DA7C810E}" name="ผู้บันทึก" dataDxfId="132"/>
    <tableColumn id="9" xr3:uid="{DBE944D4-0D76-B249-BE7B-D8B2910AF2D4}" name="หมายเหตุ" dataDxfId="131"/>
    <tableColumn id="10" xr3:uid="{E933FAD6-445F-6840-B851-BBC36B29CEF9}" name="Key" dataDxfId="130">
      <calculatedColumnFormula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calculatedColumnFormula>
    </tableColumn>
    <tableColumn id="11" xr3:uid="{4323724C-9D6B-994B-BF4C-301EFAC0066F}" name="ราคาต่อแก้ว" dataDxfId="129">
      <calculatedColumnFormula>IF(tblSales[[#This Row],[Key]]="","",IFERROR(INDEX(ตารางรวม!$W:$W,MATCH(tblSales[[#This Row],[Key]],ตารางรวม!$Z:$Z,0)),"ไม่พบสูตร"))</calculatedColumnFormula>
    </tableColumn>
    <tableColumn id="12" xr3:uid="{4A98DBDD-8018-CD4B-B4C2-8520ECA92D2B}" name="ต้นทุนต่อแก้ว" dataDxfId="128">
      <calculatedColumnFormula>IF(tblSales[[#This Row],[Key]]="","",IFERROR(INDEX(ตารางรวม!$V:$V,MATCH(tblSales[[#This Row],[Key]],ตารางรวม!$Z:$Z,0)),"ไม่พบสูตร"))</calculatedColumnFormula>
    </tableColumn>
    <tableColumn id="13" xr3:uid="{B5860F3C-B13E-EA45-86DE-7A03D60285ED}" name="ยอดขาย (บาท)" dataDxfId="127">
      <calculatedColumnFormula>IF(tblSales[[#This Row],[Key]]="","",IFERROR(tblSales[[#This Row],[ราคาต่อแก้ว]]*tblSales[[#This Row],[จำนวนแก้ว]],""))</calculatedColumnFormula>
    </tableColumn>
    <tableColumn id="14" xr3:uid="{452015B1-2247-3C4F-9BE1-F2565502D873}" name="ต้นทุนรวม (บาท)" dataDxfId="126">
      <calculatedColumnFormula>IF(tblSales[[#This Row],[Key]]="","",IFERROR(tblSales[[#This Row],[ต้นทุนต่อแก้ว]]*tblSales[[#This Row],[จำนวนแก้ว]],""))</calculatedColumnFormula>
    </tableColumn>
    <tableColumn id="15" xr3:uid="{7537A0B1-0049-E346-835B-46BB963B5736}" name="กำไร (บาท)" dataDxfId="125">
      <calculatedColumnFormula>IF(tblSales[[#This Row],[Key]]="","",IFERROR(tblSales[[#This Row],[ยอดขาย (บาท)]]-tblSales[[#This Row],[ต้นทุนรวม (บาท)]],""))</calculatedColumnFormula>
    </tableColumn>
    <tableColumn id="16" xr3:uid="{30733461-60E0-F74B-81E2-8A6C39F6D6E0}" name="GP %" dataDxfId="124">
      <calculatedColumnFormula>IF(tblSales[[#This Row],[Key]]="","",IFERROR(tblSales[[#This Row],[กำไร (บาท)]]/tblSales[[#This Row],[ยอดขาย (บาท)]],""))</calculatedColumnFormula>
    </tableColumn>
    <tableColumn id="17" xr3:uid="{F4A297D9-AF8F-804E-8FF9-136DC2090B79}" name="ชาไทยเบส" dataDxfId="123">
      <calculatedColumnFormula>IF(tblSales[[#This Row],[Key]]="","",IFERROR(INDEX(ตารางรวม!$D:$D,MATCH(tblSales[[#This Row],[Key]],ตารางรวม!$Z:$Z,0))*tblSales[[#This Row],[จำนวนแก้ว]],0))</calculatedColumnFormula>
    </tableColumn>
    <tableColumn id="18" xr3:uid="{38411530-5277-4243-B7DA-074AD443AA7D}" name="ชาเขียวเบส" dataDxfId="122">
      <calculatedColumnFormula>IF(tblSales[[#This Row],[Key]]="","",IFERROR(INDEX(ตารางรวม!$E:$E,MATCH(tblSales[[#This Row],[Key]],ตารางรวม!$Z:$Z,0))*tblSales[[#This Row],[จำนวนแก้ว]],0))</calculatedColumnFormula>
    </tableColumn>
    <tableColumn id="19" xr3:uid="{5E298C5A-55F2-1F48-BA0D-3BF5DE59D78C}" name="นมสด" dataDxfId="121">
      <calculatedColumnFormula>IF(tblSales[[#This Row],[Key]]="","",IFERROR(INDEX(ตารางรวม!$F:$F,MATCH(tblSales[[#This Row],[Key]],ตารางรวม!$Z:$Z,0))*tblSales[[#This Row],[จำนวนแก้ว]],0))</calculatedColumnFormula>
    </tableColumn>
    <tableColumn id="20" xr3:uid="{7A6E9930-93CC-2142-A522-49C7B104C644}" name="นมข้นจืด" dataDxfId="120">
      <calculatedColumnFormula>IF(tblSales[[#This Row],[Key]]="","",IFERROR(INDEX(ตารางรวม!$G:$G,MATCH(tblSales[[#This Row],[Key]],ตารางรวม!$Z:$Z,0))*tblSales[[#This Row],[จำนวนแก้ว]],0))</calculatedColumnFormula>
    </tableColumn>
    <tableColumn id="21" xr3:uid="{6B9D1CF2-91F8-5C41-B6FB-2461EDE2C413}" name="นมข้นหวาน" dataDxfId="119">
      <calculatedColumnFormula>IF(tblSales[[#This Row],[Key]]="","",IFERROR(INDEX(ตารางรวม!$H:$H,MATCH(tblSales[[#This Row],[Key]],ตารางรวม!$Z:$Z,0))*tblSales[[#This Row],[จำนวนแก้ว]],0))</calculatedColumnFormula>
    </tableColumn>
    <tableColumn id="22" xr3:uid="{D1382718-53FD-8246-990C-009C7875C9AA}" name="น้ำเชื่อม 1:1" dataDxfId="118">
      <calculatedColumnFormula>IF(tblSales[[#This Row],[Key]]="","",IFERROR(INDEX(ตารางรวม!$I:$I,MATCH(tblSales[[#This Row],[Key]],ตารางรวม!$Z:$Z,0))*tblSales[[#This Row],[จำนวนแก้ว]],0))</calculatedColumnFormula>
    </tableColumn>
    <tableColumn id="23" xr3:uid="{001F6C0B-33C9-914F-89A9-8C96CBD7146A}" name="น้ำผึ้งเจือจาง 2:1" dataDxfId="117">
      <calculatedColumnFormula>IF(tblSales[[#This Row],[Key]]="","",IFERROR(INDEX(ตารางรวม!$J:$J,MATCH(tblSales[[#This Row],[Key]],ตารางรวม!$Z:$Z,0))*tblSales[[#This Row],[จำนวนแก้ว]],0))</calculatedColumnFormula>
    </tableColumn>
    <tableColumn id="24" xr3:uid="{1CD402A1-ED26-D144-A01E-371A05290790}" name="โกโก้ผง" dataDxfId="116">
      <calculatedColumnFormula>IF(tblSales[[#This Row],[Key]]="","",IFERROR(INDEX(ตารางรวม!$K:$K,MATCH(tblSales[[#This Row],[Key]],ตารางรวม!$Z:$Z,0))*tblSales[[#This Row],[จำนวนแก้ว]],0))</calculatedColumnFormula>
    </tableColumn>
    <tableColumn id="25" xr3:uid="{67285201-6F85-3C43-B5DB-A16D7E04DCA4}" name="น้ำส้มคั้น" dataDxfId="115">
      <calculatedColumnFormula>IF(tblSales[[#This Row],[Key]]="","",IFERROR(INDEX(ตารางรวม!$L:$L,MATCH(tblSales[[#This Row],[Key]],ตารางรวม!$Z:$Z,0))*tblSales[[#This Row],[จำนวนแก้ว]],0))</calculatedColumnFormula>
    </tableColumn>
    <tableColumn id="26" xr3:uid="{214128BB-57E0-3443-AC22-693C3BAD9D64}" name="เบสมะพร้าว" dataDxfId="114">
      <calculatedColumnFormula>IF(tblSales[[#This Row],[Key]]="","",IFERROR(INDEX(ตารางรวม!$M:$M,MATCH(tblSales[[#This Row],[Key]],ตารางรวม!$Z:$Z,0))*tblSales[[#This Row],[จำนวนแก้ว]],0))</calculatedColumnFormula>
    </tableColumn>
    <tableColumn id="27" xr3:uid="{4184FBB0-FA56-D54F-B074-546111A72F18}" name="ซอสสตรอว์เบอร์รี่" dataDxfId="113">
      <calculatedColumnFormula>IF(tblSales[[#This Row],[Key]]="","",IFERROR(INDEX(ตารางรวม!$N:$N,MATCH(tblSales[[#This Row],[Key]],ตารางรวม!$Z:$Z,0))*tblSales[[#This Row],[จำนวนแก้ว]],0))</calculatedColumnFormula>
    </tableColumn>
    <tableColumn id="28" xr3:uid="{582F4752-E000-934E-87D9-2A464A2935ED}" name="น้ำมะนาว" dataDxfId="112">
      <calculatedColumnFormula>IF(tblSales[[#This Row],[Key]]="","",IFERROR(INDEX(ตารางรวม!$O:$O,MATCH(tblSales[[#This Row],[Key]],ตารางรวม!$Z:$Z,0))*tblSales[[#This Row],[จำนวนแก้ว]],0))</calculatedColumnFormula>
    </tableColumn>
    <tableColumn id="29" xr3:uid="{5D8F9034-DAE7-7C4E-A93B-5D6D8E2BDB85}" name="โซดา" dataDxfId="111">
      <calculatedColumnFormula>IF(tblSales[[#This Row],[Key]]="","",IFERROR(INDEX(ตารางรวม!$P:$P,MATCH(tblSales[[#This Row],[Key]],ตารางรวม!$Z:$Z,0))*tblSales[[#This Row],[จำนวนแก้ว]],0))</calculatedColumnFormula>
    </tableColumn>
    <tableColumn id="30" xr3:uid="{8D9209F7-1DD8-E44B-BF78-C0F566B47E13}" name="ครีมชีส/วิปชีสโฟม" dataDxfId="110">
      <calculatedColumnFormula>IF(tblSales[[#This Row],[Key]]="","",IFERROR(INDEX(ตารางรวม!$Q:$Q,MATCH(tblSales[[#This Row],[Key]],ตารางรวม!$Z:$Z,0))*tblSales[[#This Row],[จำนวนแก้ว]],0))</calculatedColumnFormula>
    </tableColumn>
    <tableColumn id="31" xr3:uid="{E2D97CA2-5A47-AF4D-B624-7346BE88A2D7}" name="น้ำแข็ง" dataDxfId="109">
      <calculatedColumnFormula>IF(tblSales[[#This Row],[Key]]="","",IFERROR(INDEX(ตารางรวม!$R:$R,MATCH(tblSales[[#This Row],[Key]],ตารางรวม!$Z:$Z,0))*tblSales[[#This Row],[จำนวนแก้ว]],0))</calculatedColumnFormula>
    </tableColumn>
    <tableColumn id="34" xr3:uid="{6A99F5B3-5417-DF46-BC06-3366D4E76CA1}" name="มัทฉะช็อต" dataDxfId="108">
      <calculatedColumnFormula>IF(tblSales[[#This Row],[Key]]="","",IFERROR(INDEX(ตารางรวม!$S:$S,MATCH(tblSales[[#This Row],[Key]],ตารางรวม!$Z:$Z,0))*tblSales[[#This Row],[จำนวนแก้ว]],0))</calculatedColumnFormula>
    </tableColumn>
    <tableColumn id="35" xr3:uid="{3709F61D-CC6C-B44A-9BFF-83FAF8E910AC}" name="น้ำดื่ม" dataDxfId="107">
      <calculatedColumnFormula>IF(tblSales[[#This Row],[Key]]="","",IFERROR(INDEX(ตารางรวม!$T:$T,MATCH(tblSales[[#This Row],[Key]],ตารางรวม!$Z:$Z,0))*tblSales[[#This Row],[จำนวนแก้ว]],0))</calculatedColumnFormula>
    </tableColumn>
    <tableColumn id="32" xr3:uid="{555B2A32-CB66-8147-BFD0-396071042001}" name="บรรจุภัณฑ์ 16 oz" dataDxfId="106">
      <calculatedColumnFormula>IF(tblSales[[#This Row],[Key]]="","",IF(tblSales[[#This Row],[ขนาด]]="16 oz",tblSales[[#This Row],[จำนวนแก้ว]],0))</calculatedColumnFormula>
    </tableColumn>
    <tableColumn id="36" xr3:uid="{98F355DD-D609-4C09-BB91-52E57A6C7A00}" name="บรรจุภัณฑ์ 20 oz" dataDxfId="105">
      <calculatedColumnFormula>IF(tblSales[[#This Row],[Key]]="","",IF(tblSales[[#This Row],[ขนาด]]="20 oz",tblSales[[#This Row],[จำนวนแก้ว]],0))</calculatedColumnFormula>
    </tableColumn>
    <tableColumn id="33" xr3:uid="{961EA8CF-31FD-314C-A1E6-E04ECB9620F7}" name="บรรจุภัณฑ์ 22 oz" dataDxfId="104">
      <calculatedColumnFormula>IF(tblSales[[#This Row],[Key]]="","",IF(tblSales[[#This Row],[ขนาด]]="22 oz",tblSales[[#This Row],[จำนวนแก้ว]],0))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E7AF88-6BB1-6E4C-8F65-3188815FB828}" name="tblAdjust" displayName="tblAdjust" ref="A5:I205" totalsRowShown="0" headerRowDxfId="90" dataDxfId="89">
  <autoFilter ref="A5:I205" xr:uid="{59E7AF88-6BB1-6E4C-8F65-3188815FB828}"/>
  <tableColumns count="9">
    <tableColumn id="1" xr3:uid="{BD7CCA56-61D8-9E42-BD7A-C540EF6EF2B8}" name="รหัสรายการ" dataDxfId="88">
      <calculatedColumnFormula>IF(tblAdjust[[#This Row],[วันที่]]="","","A"&amp;TEXT(tblAdjust[[#This Row],[วันที่]],"yymmdd")&amp;"-"&amp;TEXT(ROW()-5,"000"))</calculatedColumnFormula>
    </tableColumn>
    <tableColumn id="2" xr3:uid="{AE44B0AE-4661-FE44-81FC-DCF9B9D98F96}" name="วันที่" dataDxfId="87"/>
    <tableColumn id="3" xr3:uid="{413D49AE-9D3A-0A4B-A5FA-B5A6FFCF2D5A}" name="รหัสสินค้า" dataDxfId="86"/>
    <tableColumn id="4" xr3:uid="{BC5C5014-5D1C-D244-BC99-D62974A9875C}" name="ชื่อสินค้า" dataDxfId="85">
      <calculatedColumnFormula>IF(tblAdjust[[#This Row],[รหัสสินค้า]]="","",IFERROR(INDEX(tblItems[ชื่อสินค้า],MATCH(tblAdjust[[#This Row],[รหัสสินค้า]],tblItems[รหัสสินค้า],0)),"ไม่พบรหัส"))</calculatedColumnFormula>
    </tableColumn>
    <tableColumn id="5" xr3:uid="{3F61A223-D5EF-6D48-BEED-298740936E9C}" name="ประเภทการปรับ" dataDxfId="84"/>
    <tableColumn id="6" xr3:uid="{C2B55B48-5961-B146-BDCD-754A0CDA6622}" name="จำนวน (+เพิ่ม / -ลด)" dataDxfId="83"/>
    <tableColumn id="7" xr3:uid="{E5A14100-E945-664E-B410-BE705744AFC5}" name="หน่วยใช้" dataDxfId="82">
      <calculatedColumnFormula>IF(tblAdjust[[#This Row],[รหัสสินค้า]]="","",IFERROR(INDEX(tblItems[หน่วยใช้],MATCH(tblAdjust[[#This Row],[รหัสสินค้า]],tblItems[รหัสสินค้า],0)),""))</calculatedColumnFormula>
    </tableColumn>
    <tableColumn id="8" xr3:uid="{AC884E9C-CA78-D643-9E05-A494616510FC}" name="เหตุผล" dataDxfId="81"/>
    <tableColumn id="9" xr3:uid="{7E21BE9F-C6E9-1A44-A67E-FEC1426C987B}" name="ผู้บันทึก" dataDxfId="8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277692-FE81-6B4A-BD5B-257DCB6F230B}" name="tblEquip" displayName="tblEquip" ref="A5:K55" totalsRowShown="0" headerRowDxfId="34" dataDxfId="33">
  <autoFilter ref="A5:K55" xr:uid="{6B277692-FE81-6B4A-BD5B-257DCB6F230B}"/>
  <tableColumns count="11">
    <tableColumn id="1" xr3:uid="{EF696F4F-F23A-384D-8982-0A4E2863341B}" name="รหัสอุปกรณ์" dataDxfId="32">
      <calculatedColumnFormula>IF(tblEquip[[#This Row],[ชื่ออุปกรณ์]]="","","EQ-"&amp;TEXT(ROW()-5,"000"))</calculatedColumnFormula>
    </tableColumn>
    <tableColumn id="2" xr3:uid="{83E0E1F9-0B25-4949-B382-EE1FAC0A5A7B}" name="ชื่ออุปกรณ์" dataDxfId="31"/>
    <tableColumn id="3" xr3:uid="{60ED6465-6488-854F-A6D8-7D69A778CAFC}" name="วันที่ซื้อ" dataDxfId="30"/>
    <tableColumn id="4" xr3:uid="{3A68C1B8-6E5A-5E4C-B8F9-270F38328099}" name="ราคา (บาท)" dataDxfId="29"/>
    <tableColumn id="5" xr3:uid="{104955FC-D41A-7C43-8C5D-7B7B7624079C}" name="จำนวน" dataDxfId="28"/>
    <tableColumn id="6" xr3:uid="{8BFFBBB7-E5EF-C84F-9F8E-DB6FDFBA13C7}" name="ร้านค้า" dataDxfId="27"/>
    <tableColumn id="7" xr3:uid="{4222AE9F-01CD-8F48-AA5D-D0A23DAB79B8}" name="อายุใช้งาน (ปี)" dataDxfId="26"/>
    <tableColumn id="8" xr3:uid="{DE551727-72F8-9E48-BD7C-A5DCB3817EB7}" name="ค่าเสื่อมต่อเดือน" dataDxfId="25">
      <calculatedColumnFormula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calculatedColumnFormula>
    </tableColumn>
    <tableColumn id="9" xr3:uid="{F989CE34-7B18-8740-85B3-B11CCC420EBF}" name="สภาพ" dataDxfId="24"/>
    <tableColumn id="10" xr3:uid="{F798EC1D-D41C-0D4D-8D80-D14AD732A351}" name="ผู้รับผิดชอบ" dataDxfId="23"/>
    <tableColumn id="11" xr3:uid="{66F52C18-7870-194A-9E81-217C2FFC6F17}" name="หมายเหตุ" dataDxfId="2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9FF2376-5106-8048-905B-CF497DD295AC}" name="tblSchema" displayName="tblSchema" ref="A4:I35" totalsRowShown="0" headerRowDxfId="21" dataDxfId="20">
  <autoFilter ref="A4:I35" xr:uid="{79FF2376-5106-8048-905B-CF497DD295AC}"/>
  <tableColumns count="9">
    <tableColumn id="1" xr3:uid="{08FB047C-506A-544A-9633-61ED83F7C8FD}" name="ตาราง (ชีต)" dataDxfId="19"/>
    <tableColumn id="2" xr3:uid="{BE931339-C7E7-3244-873B-AD57CFCDD2FF}" name="ชื่อ Table" dataDxfId="18"/>
    <tableColumn id="3" xr3:uid="{C8C891EB-5BFB-5C47-B889-BB331B45F04F}" name="คอลัมน์" dataDxfId="17"/>
    <tableColumn id="4" xr3:uid="{BBEE6892-B7E5-D74B-9E11-6E4692F9AC3E}" name="กรอก/สูตร" dataDxfId="16"/>
    <tableColumn id="5" xr3:uid="{80241E49-9095-004D-AAF6-8400167406C3}" name="ชนิดข้อมูล" dataDxfId="15"/>
    <tableColumn id="6" xr3:uid="{90E72689-FDAB-3C43-B3C7-BF0A8FE32461}" name="จำเป็น" dataDxfId="14"/>
    <tableColumn id="7" xr3:uid="{434A4CFD-ED2A-9748-8D64-2079F8D82E1A}" name="ค่าที่อนุญาต / แหล่งอ้างอิง" dataDxfId="13"/>
    <tableColumn id="8" xr3:uid="{4D82E279-D241-634B-BD4D-3C313FEBC566}" name="ตัวอย่าง" dataDxfId="12"/>
    <tableColumn id="9" xr3:uid="{F0E5C9A7-DB11-CB4F-BE57-7168D74A5952}" name="หมายเหตุ" dataDxfId="1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9-05T02:35:06.55" personId="{6AB62292-76E6-C943-8D4D-366AE4AF7384}" id="{38797B19-8DDD-4546-99E9-7853842E337F}">
    <text>Source: Lemon8 @paifooreview (ราคาหน้าร้าน Aoarashi 100 g 1,490฿, ชงได้ ~30–35 แก้ว) https://www.lemon8-app.com/@paifooreview/7492076258533736978 ; Lazada Peace Oriental Teahouse https://www.lazada.co.th/products/marukyu-koyamaen-ceremonial-grade-matcha-i4814941944.html</text>
  </threadedComment>
  <threadedComment ref="B7" dT="2026-09-05T02:35:06.80" personId="{6AB62292-76E6-C943-8D4D-366AE4AF7384}" id="{4FB528C5-6E30-DD4C-92CE-B2C815E903D3}">
    <text>Source: mybest 'มัทฉะ Marukyu Koyamaen ตัวไหนดี 2026' https://th.my-best.com/53937 ; Lazada Peace Oriental Teahouse (รายชื่อรุ่น) — ราคาประมาณเทียบ Aoarashi</text>
  </threadedComment>
  <threadedComment ref="B8" dT="2026-09-05T02:35:06.81" personId="{6AB62292-76E6-C943-8D4D-366AE4AF7384}" id="{6883E937-099B-C145-B14F-A1010A8BAECE}">
    <text>Source: The Home Barista — TOMOCHA Kyoto Uji Matcha Classic 100g/500g https://thehomebarista.com/shop/pure-kyoto-matcha-for-beverage/ · ราคา 2,200฿/500 g เป็นค่าประมาณเกรดลาเต้ ต้องยืนยันกับผู้ขาย</text>
  </threadedComment>
  <threadedComment ref="B9" dT="2026-09-05T02:35:06.82" personId="{6AB62292-76E6-C943-8D4D-366AE4AF7384}" id="{323D1505-4D6E-6149-9850-DC326736D992}">
    <text>Source: Union P. Kyoto Uji Matcha Ceremonial 100g https://www.unionpshop.com/product/1156026 ; TrueID '10 ผงมัทฉะ 2026' (Tenju) https://food.trueid.net/detail/4NPMzw6jEkJG · ราคาประมาณ</text>
  </threadedComment>
  <threadedComment ref="B10" dT="2026-09-05T02:35:06.83" personId="{6AB62292-76E6-C943-8D4D-366AE4AF7384}" id="{43ED047A-43DF-EF4D-A923-5FC1D63F0F47}">
    <text>ค่าประมาณตลาด (Shopee/Lazada ผงมัทฉะ 500 g เกรดเบเกอรี่) — ต้องยืนยันราคาจริงก่อนซื้อ</text>
  </threadedComment>
  <threadedComment ref="B11" dT="2026-09-05T02:35:06.85" personId="{6AB62292-76E6-C943-8D4D-366AE4AF7384}" id="{D0706228-9B5F-DB45-BA19-1C231F94430B}">
    <text>Source: Boncafe Uji Matcha Green Tea Latte 1 kg https://www.boncafe.co.th/en/shop/non-coffee/tea/green-tea/uji-matcha-green-tea-latte/ ; UCC U-Mixed https://uccthailand.com/product/ผงชาเขียวอูจิมัทฉะสำเร็จรูป/ · ราคาประมาณ</text>
  </threadedComment>
  <threadedComment ref="A40" dT="2026-09-05T02:35:07.11" personId="{6AB62292-76E6-C943-8D4D-366AE4AF7384}" id="{7491FE3A-AC62-9346-BBEE-DCC84925676D}">
    <text>Source: Lemon8 @kamyui_17 (ร่อนผง, 3–5 g/16 oz, น้ำอุ่น 30 ml) https://www.lemon8-app.com/@kamyui_17/7395869253615747601 ; Lemon8 @wiritira (latte grade, ร่อน 2–4 g) https://www.lemon8-app.com/@wiritira/7594485077812331015</text>
  </threadedComment>
  <threadedComment ref="A41" dT="2026-09-05T02:35:07.12" personId="{6AB62292-76E6-C943-8D4D-366AE4AF7384}" id="{07978825-6FF8-0F47-8BFE-CBDA1AA04520}">
    <text>Source: MomoMatcha (2 g : 60–80 ml, น้ำ 70–80°C) https://momomatcha.com/matcha-hot-vs-cold/ ; Siamcoolermart (4 g + น้ำ 60 ml 75°C, double shot 6–7 g/40 ml) https://www.siamcoolermart.com/matcha-latte-cafe-style/ ; Pandateas (น้ำ ~80°C) https://pandateas.net/2025/05/29/มัทฉะลาเต้/</text>
  </threadedComment>
  <threadedComment ref="A42" dT="2026-09-05T02:35:07.13" personId="{6AB62292-76E6-C943-8D4D-366AE4AF7384}" id="{EF7811F6-5F95-0546-819E-2194F7E9548C}">
    <text>Source: Lemon8 @sheisbrownie (5 g + น้ำร้อน 80°C 15–20 ml ตี แล้วเติมน้ำ) https://www.lemon8-app.com/@sheisbrownie/7242958134669672961 ; Lemon8 @smileestudio (5 g + น้ำอุ่น 50 ml + นม 100 ml + น้ำเชื่อม 15 ml) https://www.lemon8-app.com/@smileestudio/7555376914781831696</text>
  </threadedComment>
  <threadedComment ref="A46" dT="2026-09-05T02:35:07.15" personId="{6AB62292-76E6-C943-8D4D-366AE4AF7384}" id="{AAFCAEFC-DD83-9D47-95E7-7F293DA8B05F}">
    <text>Source: Boncafe storage tips (airtight, cool dry, refrigerate after opening, dry spoon) https://www.boncafe.co.th/en/shop/non-coffee/tea/green-tea/uji-matcha-green-tea-latte/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39F699C-65DF-4F44-AC5D-6E9E32AABF6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929e06c-b082-499c-a9c4-e1090558a3d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60134AF-D55D-4978-ABC7-E2E0202B26E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9729ac7-b2ee-46f5-a554-5b84f59214f3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3573-F581-4552-A209-3EACDD4CCF48}">
  <sheetPr>
    <tabColor rgb="FF404040"/>
  </sheetPr>
  <dimension ref="A1:H40"/>
  <sheetViews>
    <sheetView showGridLines="0" workbookViewId="0">
      <selection activeCell="J37" sqref="J37"/>
    </sheetView>
  </sheetViews>
  <sheetFormatPr defaultRowHeight="15" x14ac:dyDescent="0.25"/>
  <cols>
    <col min="1" max="1" width="2.7109375" customWidth="1"/>
    <col min="2" max="2" width="28.5703125" customWidth="1"/>
    <col min="3" max="3" width="57.140625" customWidth="1"/>
    <col min="4" max="4" width="4.5703125" customWidth="1"/>
    <col min="6" max="6" width="28.5703125" customWidth="1"/>
    <col min="7" max="7" width="57.140625" customWidth="1"/>
  </cols>
  <sheetData>
    <row r="1" spans="1:8" ht="26.25" x14ac:dyDescent="0.4">
      <c r="A1" s="166" t="s">
        <v>1061</v>
      </c>
      <c r="B1" s="167"/>
      <c r="C1" s="167"/>
      <c r="D1" s="167"/>
      <c r="E1" s="167"/>
      <c r="F1" s="167"/>
      <c r="G1" s="167"/>
      <c r="H1" s="167"/>
    </row>
    <row r="2" spans="1:8" x14ac:dyDescent="0.25">
      <c r="A2" s="168" t="s">
        <v>1062</v>
      </c>
      <c r="B2" s="167"/>
      <c r="C2" s="167"/>
      <c r="D2" s="167"/>
      <c r="E2" s="167"/>
      <c r="F2" s="167"/>
      <c r="G2" s="167"/>
      <c r="H2" s="167"/>
    </row>
    <row r="3" spans="1:8" x14ac:dyDescent="0.25">
      <c r="A3" s="167"/>
      <c r="B3" s="167"/>
      <c r="C3" s="167"/>
      <c r="D3" s="167"/>
      <c r="E3" s="167"/>
      <c r="F3" s="167"/>
      <c r="G3" s="167"/>
      <c r="H3" s="167"/>
    </row>
    <row r="4" spans="1:8" ht="15.75" x14ac:dyDescent="0.25">
      <c r="A4" s="167"/>
      <c r="B4" s="159" t="s">
        <v>1063</v>
      </c>
      <c r="C4" s="159"/>
      <c r="D4" s="167"/>
      <c r="E4" s="167"/>
      <c r="F4" s="162" t="s">
        <v>1078</v>
      </c>
      <c r="G4" s="162"/>
      <c r="H4" s="167"/>
    </row>
    <row r="5" spans="1:8" x14ac:dyDescent="0.25">
      <c r="A5" s="167"/>
      <c r="B5" s="169" t="s">
        <v>581</v>
      </c>
      <c r="C5" s="170" t="s">
        <v>1064</v>
      </c>
      <c r="D5" s="167"/>
      <c r="E5" s="167"/>
      <c r="F5" s="169" t="s">
        <v>561</v>
      </c>
      <c r="G5" s="170" t="s">
        <v>1079</v>
      </c>
      <c r="H5" s="167"/>
    </row>
    <row r="6" spans="1:8" x14ac:dyDescent="0.25">
      <c r="A6" s="167"/>
      <c r="B6" s="167"/>
      <c r="C6" s="167"/>
      <c r="D6" s="167"/>
      <c r="E6" s="167"/>
      <c r="F6" s="169" t="s">
        <v>543</v>
      </c>
      <c r="G6" s="170" t="s">
        <v>1080</v>
      </c>
      <c r="H6" s="167"/>
    </row>
    <row r="7" spans="1:8" ht="15.75" x14ac:dyDescent="0.25">
      <c r="A7" s="167"/>
      <c r="B7" s="160" t="s">
        <v>1103</v>
      </c>
      <c r="C7" s="160"/>
      <c r="D7" s="167"/>
      <c r="E7" s="167"/>
      <c r="F7" s="169" t="s">
        <v>516</v>
      </c>
      <c r="G7" s="170" t="s">
        <v>1081</v>
      </c>
      <c r="H7" s="167"/>
    </row>
    <row r="8" spans="1:8" x14ac:dyDescent="0.25">
      <c r="A8" s="167"/>
      <c r="B8" s="169" t="s">
        <v>585</v>
      </c>
      <c r="C8" s="170" t="s">
        <v>1065</v>
      </c>
      <c r="D8" s="167"/>
      <c r="E8" s="167"/>
      <c r="F8" s="169" t="s">
        <v>553</v>
      </c>
      <c r="G8" s="170" t="s">
        <v>1082</v>
      </c>
      <c r="H8" s="167"/>
    </row>
    <row r="9" spans="1:8" x14ac:dyDescent="0.25">
      <c r="A9" s="167"/>
      <c r="B9" s="169" t="s">
        <v>1066</v>
      </c>
      <c r="C9" s="170" t="s">
        <v>1067</v>
      </c>
      <c r="D9" s="167"/>
      <c r="E9" s="167"/>
      <c r="F9" s="169" t="s">
        <v>576</v>
      </c>
      <c r="G9" s="170" t="s">
        <v>1083</v>
      </c>
      <c r="H9" s="167"/>
    </row>
    <row r="10" spans="1:8" x14ac:dyDescent="0.25">
      <c r="A10" s="167"/>
      <c r="B10" s="169" t="s">
        <v>1068</v>
      </c>
      <c r="C10" s="170" t="s">
        <v>1069</v>
      </c>
      <c r="D10" s="167"/>
      <c r="E10" s="167"/>
      <c r="F10" s="167"/>
      <c r="G10" s="167"/>
      <c r="H10" s="167"/>
    </row>
    <row r="11" spans="1:8" x14ac:dyDescent="0.25">
      <c r="A11" s="167"/>
      <c r="B11" s="169" t="s">
        <v>1070</v>
      </c>
      <c r="C11" s="170" t="s">
        <v>1071</v>
      </c>
      <c r="D11" s="167"/>
      <c r="E11" s="167"/>
      <c r="F11" s="167"/>
      <c r="G11" s="167"/>
      <c r="H11" s="167"/>
    </row>
    <row r="12" spans="1:8" ht="15.75" x14ac:dyDescent="0.25">
      <c r="A12" s="167"/>
      <c r="B12" s="167"/>
      <c r="C12" s="167"/>
      <c r="D12" s="167"/>
      <c r="E12" s="167"/>
      <c r="F12" s="163" t="s">
        <v>1084</v>
      </c>
      <c r="G12" s="163"/>
      <c r="H12" s="167"/>
    </row>
    <row r="13" spans="1:8" x14ac:dyDescent="0.25">
      <c r="A13" s="167"/>
      <c r="B13" s="167"/>
      <c r="C13" s="167"/>
      <c r="D13" s="167"/>
      <c r="E13" s="167"/>
      <c r="F13" s="169" t="s">
        <v>1085</v>
      </c>
      <c r="G13" s="170" t="s">
        <v>1086</v>
      </c>
      <c r="H13" s="167"/>
    </row>
    <row r="14" spans="1:8" x14ac:dyDescent="0.25">
      <c r="A14" s="167"/>
      <c r="B14" s="167"/>
      <c r="C14" s="167"/>
      <c r="D14" s="167"/>
      <c r="E14" s="167"/>
      <c r="F14" s="169" t="s">
        <v>1087</v>
      </c>
      <c r="G14" s="170" t="s">
        <v>1088</v>
      </c>
      <c r="H14" s="167"/>
    </row>
    <row r="15" spans="1:8" ht="15.75" x14ac:dyDescent="0.25">
      <c r="A15" s="167"/>
      <c r="B15" s="161" t="s">
        <v>1072</v>
      </c>
      <c r="C15" s="161"/>
      <c r="D15" s="167"/>
      <c r="E15" s="167"/>
      <c r="F15" s="167"/>
      <c r="G15" s="167"/>
      <c r="H15" s="167"/>
    </row>
    <row r="16" spans="1:8" x14ac:dyDescent="0.25">
      <c r="A16" s="167"/>
      <c r="B16" s="169" t="s">
        <v>1073</v>
      </c>
      <c r="C16" s="170" t="s">
        <v>1074</v>
      </c>
      <c r="D16" s="167"/>
      <c r="E16" s="167"/>
      <c r="F16" s="167"/>
      <c r="G16" s="167"/>
      <c r="H16" s="167"/>
    </row>
    <row r="17" spans="1:8" ht="15.75" x14ac:dyDescent="0.25">
      <c r="A17" s="167"/>
      <c r="B17" s="169" t="s">
        <v>1075</v>
      </c>
      <c r="C17" s="170" t="s">
        <v>1076</v>
      </c>
      <c r="D17" s="167"/>
      <c r="E17" s="167"/>
      <c r="F17" s="164" t="s">
        <v>1089</v>
      </c>
      <c r="G17" s="164"/>
      <c r="H17" s="167"/>
    </row>
    <row r="18" spans="1:8" x14ac:dyDescent="0.25">
      <c r="A18" s="167"/>
      <c r="B18" s="169" t="s">
        <v>568</v>
      </c>
      <c r="C18" s="170" t="s">
        <v>1077</v>
      </c>
      <c r="D18" s="167"/>
      <c r="E18" s="167"/>
      <c r="F18" s="169" t="s">
        <v>776</v>
      </c>
      <c r="G18" s="170" t="s">
        <v>1090</v>
      </c>
      <c r="H18" s="167"/>
    </row>
    <row r="19" spans="1:8" x14ac:dyDescent="0.25">
      <c r="A19" s="167"/>
      <c r="B19" s="167"/>
      <c r="C19" s="167"/>
      <c r="D19" s="167"/>
      <c r="E19" s="167"/>
      <c r="F19" s="167"/>
      <c r="G19" s="167"/>
      <c r="H19" s="167"/>
    </row>
    <row r="20" spans="1:8" x14ac:dyDescent="0.25">
      <c r="A20" s="167"/>
      <c r="B20" s="167"/>
      <c r="C20" s="167"/>
      <c r="D20" s="167"/>
      <c r="E20" s="167"/>
      <c r="F20" s="167"/>
      <c r="G20" s="167"/>
      <c r="H20" s="167"/>
    </row>
    <row r="21" spans="1:8" ht="15.75" x14ac:dyDescent="0.25">
      <c r="A21" s="167"/>
      <c r="B21" s="165" t="s">
        <v>1091</v>
      </c>
      <c r="C21" s="165"/>
      <c r="D21" s="167"/>
      <c r="E21" s="167"/>
      <c r="F21" s="167"/>
      <c r="G21" s="167"/>
      <c r="H21" s="167"/>
    </row>
    <row r="22" spans="1:8" x14ac:dyDescent="0.25">
      <c r="A22" s="167"/>
      <c r="B22" s="171" t="s">
        <v>1092</v>
      </c>
      <c r="C22" s="172" t="s">
        <v>1093</v>
      </c>
      <c r="D22" s="167"/>
      <c r="E22" s="167"/>
      <c r="F22" s="167"/>
      <c r="G22" s="167"/>
      <c r="H22" s="167"/>
    </row>
    <row r="23" spans="1:8" x14ac:dyDescent="0.25">
      <c r="A23" s="167"/>
      <c r="B23" s="171" t="s">
        <v>1094</v>
      </c>
      <c r="C23" s="172" t="s">
        <v>1095</v>
      </c>
      <c r="D23" s="167"/>
      <c r="E23" s="167"/>
      <c r="F23" s="167"/>
      <c r="G23" s="167"/>
      <c r="H23" s="167"/>
    </row>
    <row r="24" spans="1:8" x14ac:dyDescent="0.25">
      <c r="A24" s="167"/>
      <c r="B24" s="171" t="s">
        <v>1096</v>
      </c>
      <c r="C24" s="172" t="s">
        <v>1097</v>
      </c>
      <c r="D24" s="167"/>
      <c r="E24" s="167"/>
      <c r="F24" s="167"/>
      <c r="G24" s="167"/>
      <c r="H24" s="167"/>
    </row>
    <row r="25" spans="1:8" x14ac:dyDescent="0.25">
      <c r="A25" s="167"/>
      <c r="B25" s="171" t="s">
        <v>1098</v>
      </c>
      <c r="C25" s="172" t="s">
        <v>1099</v>
      </c>
      <c r="D25" s="167"/>
      <c r="E25" s="167"/>
      <c r="F25" s="167"/>
      <c r="G25" s="167"/>
      <c r="H25" s="167"/>
    </row>
    <row r="26" spans="1:8" x14ac:dyDescent="0.25">
      <c r="A26" s="167"/>
      <c r="B26" s="171" t="s">
        <v>1100</v>
      </c>
      <c r="C26" s="172" t="s">
        <v>1101</v>
      </c>
      <c r="D26" s="167"/>
      <c r="E26" s="167"/>
      <c r="F26" s="167"/>
      <c r="G26" s="167"/>
      <c r="H26" s="167"/>
    </row>
    <row r="27" spans="1:8" x14ac:dyDescent="0.25">
      <c r="A27" s="167"/>
      <c r="B27" s="167"/>
      <c r="C27" s="167"/>
      <c r="D27" s="167"/>
      <c r="E27" s="167"/>
      <c r="F27" s="167"/>
      <c r="G27" s="167"/>
      <c r="H27" s="167"/>
    </row>
    <row r="28" spans="1:8" x14ac:dyDescent="0.25">
      <c r="A28" s="167"/>
      <c r="B28" s="173" t="s">
        <v>1102</v>
      </c>
      <c r="C28" s="167"/>
      <c r="D28" s="167"/>
      <c r="E28" s="167"/>
      <c r="F28" s="167"/>
      <c r="G28" s="167"/>
      <c r="H28" s="167"/>
    </row>
    <row r="29" spans="1:8" x14ac:dyDescent="0.25">
      <c r="A29" s="167"/>
      <c r="B29" s="168" t="s">
        <v>1104</v>
      </c>
      <c r="C29" s="167"/>
      <c r="D29" s="167"/>
      <c r="E29" s="167"/>
      <c r="F29" s="167"/>
      <c r="G29" s="167"/>
      <c r="H29" s="167"/>
    </row>
    <row r="30" spans="1:8" x14ac:dyDescent="0.25">
      <c r="A30" s="167"/>
      <c r="B30" s="167"/>
      <c r="C30" s="167"/>
      <c r="D30" s="167"/>
      <c r="E30" s="167"/>
      <c r="F30" s="167"/>
      <c r="G30" s="167"/>
      <c r="H30" s="167"/>
    </row>
    <row r="31" spans="1:8" x14ac:dyDescent="0.25">
      <c r="A31" s="167"/>
      <c r="B31" s="167"/>
      <c r="C31" s="167"/>
      <c r="D31" s="167"/>
      <c r="E31" s="167"/>
      <c r="F31" s="167"/>
      <c r="G31" s="167"/>
      <c r="H31" s="167"/>
    </row>
    <row r="32" spans="1:8" x14ac:dyDescent="0.25">
      <c r="A32" s="167"/>
      <c r="B32" s="167"/>
      <c r="C32" s="167"/>
      <c r="D32" s="167"/>
      <c r="E32" s="167"/>
      <c r="F32" s="167"/>
      <c r="G32" s="167"/>
      <c r="H32" s="167"/>
    </row>
    <row r="33" spans="1:8" x14ac:dyDescent="0.25">
      <c r="A33" s="167"/>
      <c r="B33" s="167"/>
      <c r="C33" s="167"/>
      <c r="D33" s="167"/>
      <c r="E33" s="167"/>
      <c r="F33" s="167"/>
      <c r="G33" s="167"/>
      <c r="H33" s="167"/>
    </row>
    <row r="34" spans="1:8" x14ac:dyDescent="0.25">
      <c r="A34" s="167"/>
      <c r="B34" s="167"/>
      <c r="C34" s="167"/>
      <c r="D34" s="167"/>
      <c r="E34" s="167"/>
      <c r="F34" s="167"/>
      <c r="G34" s="167"/>
      <c r="H34" s="167"/>
    </row>
    <row r="35" spans="1:8" x14ac:dyDescent="0.25">
      <c r="A35" s="167"/>
      <c r="B35" s="167"/>
      <c r="C35" s="167"/>
      <c r="D35" s="167"/>
      <c r="E35" s="167"/>
      <c r="F35" s="167"/>
      <c r="G35" s="167"/>
      <c r="H35" s="167"/>
    </row>
    <row r="36" spans="1:8" x14ac:dyDescent="0.25">
      <c r="A36" s="167"/>
      <c r="B36" s="167"/>
      <c r="C36" s="167"/>
      <c r="D36" s="167"/>
      <c r="E36" s="167"/>
      <c r="F36" s="167"/>
      <c r="G36" s="167"/>
      <c r="H36" s="167"/>
    </row>
    <row r="37" spans="1:8" x14ac:dyDescent="0.25">
      <c r="A37" s="167"/>
      <c r="B37" s="167"/>
      <c r="C37" s="167"/>
      <c r="D37" s="167"/>
      <c r="E37" s="167"/>
      <c r="F37" s="167"/>
      <c r="G37" s="167"/>
      <c r="H37" s="167"/>
    </row>
    <row r="38" spans="1:8" x14ac:dyDescent="0.25">
      <c r="A38" s="167"/>
      <c r="B38" s="167"/>
      <c r="C38" s="167"/>
      <c r="D38" s="167"/>
      <c r="E38" s="167"/>
      <c r="F38" s="167"/>
      <c r="G38" s="167"/>
      <c r="H38" s="167"/>
    </row>
    <row r="39" spans="1:8" x14ac:dyDescent="0.25">
      <c r="A39" s="167"/>
      <c r="B39" s="167"/>
      <c r="C39" s="167"/>
      <c r="D39" s="167"/>
      <c r="E39" s="167"/>
      <c r="F39" s="167"/>
      <c r="G39" s="167"/>
      <c r="H39" s="167"/>
    </row>
    <row r="40" spans="1:8" x14ac:dyDescent="0.25">
      <c r="A40" s="167"/>
      <c r="B40" s="167"/>
      <c r="C40" s="167"/>
      <c r="D40" s="167"/>
      <c r="E40" s="167"/>
      <c r="F40" s="167"/>
      <c r="G40" s="167"/>
      <c r="H40" s="167"/>
    </row>
  </sheetData>
  <hyperlinks>
    <hyperlink ref="B5" location="'Dashboard'!A1" tooltip="ยอดขาย กำไร มูลค่าสต็อก ตามช่วงวันที่" display="Dashboard" xr:uid="{95D5B35C-C1F1-4ECE-A235-7829CB8CE380}"/>
    <hyperlink ref="B8" location="'คำนวณสูตร'!A1" tooltip="เลือกเมนู+ขนาด+หวาน → ได้สูตร ต้นทุน GP" display="คำนวณสูตร" xr:uid="{6D8517AF-1278-4651-AAB6-2DF67157CA60}"/>
    <hyperlink ref="B9" location="'ข้อมูลสูตร'!A1" tooltip="⭐ ต้นทางสูตรทั้งหมด 360 แถว — แก้ปริมาณที่นี่" display="ข้อมูลสูตร" xr:uid="{F5E29585-967B-4A79-9173-A20F34D3966E}"/>
    <hyperlink ref="B10" location="'ต้นทุนและราคา'!A1" tooltip="ต้นทุนต่อหน่วย + ตารางราคาขาย 3 ขนาด" display="ต้นทุนและราคา" xr:uid="{470FAA07-A22D-434F-B3D1-FCBB0BDB1118}"/>
    <hyperlink ref="B11" location="'SOP วิธีชง'!A1" tooltip="ขั้นตอนชงหน้าร้าน" display="SOP วิธีชง" xr:uid="{222B5BBD-4FE5-4025-8687-57B13619448D}"/>
    <hyperlink ref="B16" location="'เตรียมเบส'!A1" tooltip="กรอกยอดคาดขาย → บอกว่าต้องทำเบสกี่ batch" display="เตรียมเบส" xr:uid="{EFB778F5-A993-430D-B318-F6A6C187C472}"/>
    <hyperlink ref="B17" location="'เบสและซับสูตร'!A1" tooltip="สูตรเบสแต่ละตัว ปรับตามปริมาณที่จะทำ" display="เบสและซับสูตร" xr:uid="{165E0F3F-8C28-4C09-99F7-01D894306981}"/>
    <hyperlink ref="B18" location="'ต้นทุนเบส'!A1" tooltip="⭐ BOM: เบสแต่ละตัวใช้สินค้าอะไร เท่าไหร่" display="ต้นทุนเบส" xr:uid="{494E051D-7B01-481C-92FA-2CCDBB3B3213}"/>
    <hyperlink ref="F5" location="'สินค้าและสต็อก'!A1" tooltip="⭐ ทะเบียนสินค้า + สต็อกคงเหลืออัตโนมัติ" display="สินค้าและสต็อก" xr:uid="{06682C99-FB6E-4D1E-B1CE-F82FFD3CDDE8}"/>
    <hyperlink ref="F6" location="'บันทึกซื้อ'!A1" tooltip="ลงบิลซื้อวัตถุดิบ/บรรจุภัณฑ์" display="บันทึกซื้อ" xr:uid="{35BF8A82-14D6-4F1C-A8ED-EEB0207EE3E3}"/>
    <hyperlink ref="F7" location="'บันทึกขาย'!A1" tooltip="ลงการขายทีละแก้ว → ตัดสต็อกเอง" display="บันทึกขาย" xr:uid="{24C39799-DDF8-4456-91AA-41542577A077}"/>
    <hyperlink ref="F8" location="'ปรับสต็อก'!A1" tooltip="ยอดยกมา ของเสีย นับจริงไม่ตรง" display="ปรับสต็อก" xr:uid="{5350E77D-3BB7-49E4-A141-D1F9D1B9A48F}"/>
    <hyperlink ref="F9" location="'ทะเบียนอุปกรณ์'!A1" tooltip="อุปกรณ์ในร้าน + ค่าเสื่อม" display="ทะเบียนอุปกรณ์" xr:uid="{74547EAE-37E0-4928-9ACF-7DC734BF5ED2}"/>
    <hyperlink ref="F13" location="'R&amp;D Log'!A1" tooltip="บันทึกผลชิมแต่ละรอบ (JAR 1–5)" display="R&amp;D Log" xr:uid="{00352D7A-E3D2-4FE9-8E37-9A531707794A}"/>
    <hyperlink ref="F14" location="'สรุปการชิม'!A1" tooltip="สรุปว่าเมนูไหนต้องปรับหวาน/เข้มชา" display="สรุปการชิม" xr:uid="{1C59478D-262E-465A-B982-ED8CE3B78820}"/>
    <hyperlink ref="F18" location="'มัทฉะพรีเมียม'!A1" tooltip="ต้นทุนผงมัทฉะ ตารางความไว เกรดผง" display="มัทฉะพรีเมียม" xr:uid="{A2886A88-E2A2-4E60-A56B-3F71BFEBEDF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DFFA-090C-1A41-B8A9-046FF1C88EC7}">
  <sheetPr>
    <tabColor rgb="FF7030A0"/>
  </sheetPr>
  <dimension ref="A1:O50"/>
  <sheetViews>
    <sheetView showGridLines="0" workbookViewId="0">
      <selection activeCell="M41" sqref="M41"/>
    </sheetView>
  </sheetViews>
  <sheetFormatPr defaultColWidth="10.85546875" defaultRowHeight="15" x14ac:dyDescent="0.25"/>
  <cols>
    <col min="1" max="1" width="25.7109375" customWidth="1"/>
    <col min="2" max="2" width="25.5703125" bestFit="1" customWidth="1"/>
    <col min="3" max="6" width="18.7109375" customWidth="1"/>
    <col min="7" max="7" width="11.7109375" customWidth="1"/>
    <col min="8" max="8" width="14" customWidth="1"/>
    <col min="9" max="9" width="3.42578125" customWidth="1"/>
    <col min="10" max="10" width="8.140625" customWidth="1"/>
    <col min="11" max="11" width="12.85546875" customWidth="1"/>
    <col min="12" max="12" width="32.7109375" customWidth="1"/>
    <col min="13" max="13" width="16.28515625" customWidth="1"/>
    <col min="14" max="14" width="10.42578125" customWidth="1"/>
    <col min="15" max="15" width="11.7109375" customWidth="1"/>
  </cols>
  <sheetData>
    <row r="1" spans="1:15" ht="18" x14ac:dyDescent="0.25">
      <c r="A1" s="2" t="s">
        <v>485</v>
      </c>
    </row>
    <row r="2" spans="1:15" x14ac:dyDescent="0.25">
      <c r="A2" s="3" t="s">
        <v>486</v>
      </c>
    </row>
    <row r="4" spans="1:15" x14ac:dyDescent="0.25">
      <c r="A4" s="26" t="s">
        <v>487</v>
      </c>
      <c r="B4" s="16">
        <f ca="1">DATE(YEAR(TODAY()),MONTH(TODAY()),1)</f>
        <v>46266</v>
      </c>
      <c r="C4" s="26" t="s">
        <v>488</v>
      </c>
      <c r="D4" s="16">
        <f ca="1">TODAY()</f>
        <v>46282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27" t="s">
        <v>489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31" t="s">
        <v>477</v>
      </c>
      <c r="B7" s="31" t="s">
        <v>481</v>
      </c>
      <c r="C7" s="31" t="s">
        <v>490</v>
      </c>
      <c r="D7" s="31" t="s">
        <v>491</v>
      </c>
      <c r="E7" s="31" t="s">
        <v>34</v>
      </c>
      <c r="F7" s="31" t="s">
        <v>492</v>
      </c>
      <c r="G7" s="4"/>
      <c r="H7" s="4"/>
      <c r="I7" s="4"/>
      <c r="J7" s="4"/>
      <c r="K7" s="4"/>
      <c r="L7" s="4"/>
      <c r="M7" s="4"/>
      <c r="N7" s="4"/>
      <c r="O7" s="4"/>
    </row>
    <row r="8" spans="1:15" ht="27.95" customHeight="1" x14ac:dyDescent="0.25">
      <c r="A8" s="32">
        <f ca="1">SUMIFS(tblSales[จำนวนแก้ว],tblSales[วันที่],"&gt;="&amp;$B$4,tblSales[วันที่],"&lt;="&amp;$D$4)</f>
        <v>0</v>
      </c>
      <c r="B8" s="33">
        <f ca="1">SUMIFS(tblSales[ยอดขาย (บาท)],tblSales[วันที่],"&gt;="&amp;$B$4,tblSales[วันที่],"&lt;="&amp;$D$4)</f>
        <v>0</v>
      </c>
      <c r="C8" s="33">
        <f ca="1">SUMIFS(tblSales[ต้นทุนรวม (บาท)],tblSales[วันที่],"&gt;="&amp;$B$4,tblSales[วันที่],"&lt;="&amp;$D$4)</f>
        <v>0</v>
      </c>
      <c r="D8" s="33">
        <f ca="1">SUMIFS(tblSales[กำไร (บาท)],tblSales[วันที่],"&gt;="&amp;$B$4,tblSales[วันที่],"&lt;="&amp;$D$4)</f>
        <v>0</v>
      </c>
      <c r="E8" s="34">
        <f ca="1">IFERROR(D8/B8,0)</f>
        <v>0</v>
      </c>
      <c r="F8" s="32">
        <f ca="1">COUNTIFS(tblSales[วันที่],"&gt;="&amp;$B$4,tblSales[วันที่],"&lt;="&amp;$D$4)</f>
        <v>0</v>
      </c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27" t="s">
        <v>493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25.5" x14ac:dyDescent="0.25">
      <c r="A11" s="35" t="s">
        <v>494</v>
      </c>
      <c r="B11" s="35" t="s">
        <v>495</v>
      </c>
      <c r="C11" s="35" t="s">
        <v>496</v>
      </c>
      <c r="D11" s="35" t="s">
        <v>497</v>
      </c>
      <c r="E11" s="35" t="s">
        <v>498</v>
      </c>
      <c r="F11" s="35" t="s">
        <v>499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ht="27.95" customHeight="1" x14ac:dyDescent="0.25">
      <c r="A12" s="33">
        <f>SUM(tblItems[มูลค่าคงเหลือ (บาท)])</f>
        <v>797.68000000000006</v>
      </c>
      <c r="B12" s="32">
        <f>COUNTIF(tblItems[สถานะ],"ใกล้หมด")</f>
        <v>0</v>
      </c>
      <c r="C12" s="32">
        <f>COUNTIF(tblItems[สถานะ],"หมด")</f>
        <v>31</v>
      </c>
      <c r="D12" s="33">
        <f ca="1">SUMIFS(tblPurchases[ราคารวม (บาท)],tblPurchases[วันที่],"&gt;="&amp;$B$4,tblPurchases[วันที่],"&lt;="&amp;$D$4)</f>
        <v>797.68000000000006</v>
      </c>
      <c r="E12" s="32">
        <f ca="1">COUNTIFS(tblAdjust[วันที่],"&gt;="&amp;$B$4,tblAdjust[วันที่],"&lt;="&amp;$D$4,tblAdjust[จำนวน (+เพิ่ม / -ลด)],"&lt;0")</f>
        <v>0</v>
      </c>
      <c r="F12" s="33">
        <f>SUMPRODUCT(tblEquip[ราคา (บาท)],tblEquip[จำนวน])</f>
        <v>4756.28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27" t="s">
        <v>500</v>
      </c>
      <c r="B14" s="4"/>
      <c r="C14" s="4"/>
      <c r="D14" s="4"/>
      <c r="E14" s="4"/>
      <c r="F14" s="4"/>
      <c r="G14" s="4"/>
      <c r="H14" s="4"/>
      <c r="I14" s="4"/>
      <c r="J14" s="27" t="s">
        <v>504</v>
      </c>
      <c r="K14" s="4"/>
      <c r="L14" s="4"/>
      <c r="M14" s="4"/>
      <c r="N14" s="4"/>
      <c r="O14" s="4"/>
    </row>
    <row r="15" spans="1:15" ht="25.5" x14ac:dyDescent="0.25">
      <c r="A15" s="36" t="s">
        <v>2</v>
      </c>
      <c r="B15" s="36" t="s">
        <v>173</v>
      </c>
      <c r="C15" s="36" t="s">
        <v>501</v>
      </c>
      <c r="D15" s="36" t="s">
        <v>481</v>
      </c>
      <c r="E15" s="36" t="s">
        <v>502</v>
      </c>
      <c r="F15" s="36" t="s">
        <v>483</v>
      </c>
      <c r="G15" s="36" t="s">
        <v>34</v>
      </c>
      <c r="H15" s="36" t="s">
        <v>503</v>
      </c>
      <c r="I15" s="4"/>
      <c r="J15" s="45" t="s">
        <v>396</v>
      </c>
      <c r="K15" s="45" t="s">
        <v>353</v>
      </c>
      <c r="L15" s="45" t="s">
        <v>354</v>
      </c>
      <c r="M15" s="45" t="s">
        <v>367</v>
      </c>
      <c r="N15" s="45" t="s">
        <v>317</v>
      </c>
      <c r="O15" s="45" t="s">
        <v>370</v>
      </c>
    </row>
    <row r="16" spans="1:15" x14ac:dyDescent="0.25">
      <c r="A16" s="37" t="str">
        <f>IF(Lists!$A$2="","",Lists!$A$2)</f>
        <v>Original</v>
      </c>
      <c r="B16" s="37" t="str">
        <f>IF(A16="","",Lists!$B$2)</f>
        <v>ชาไทยเย็น</v>
      </c>
      <c r="C16" s="38">
        <f ca="1">IF(A16="","",SUMIFS(tblSales[จำนวนแก้ว],tblSales[เมนู],A16,tblSales[วันที่],"&gt;="&amp;$B$4,tblSales[วันที่],"&lt;="&amp;$D$4))</f>
        <v>0</v>
      </c>
      <c r="D16" s="39">
        <f ca="1">IF(A16="","",SUMIFS(tblSales[ยอดขาย (บาท)],tblSales[เมนู],A16,tblSales[วันที่],"&gt;="&amp;$B$4,tblSales[วันที่],"&lt;="&amp;$D$4))</f>
        <v>0</v>
      </c>
      <c r="E16" s="39">
        <f ca="1">IF(A16="","",SUMIFS(tblSales[ต้นทุนรวม (บาท)],tblSales[เมนู],A16,tblSales[วันที่],"&gt;="&amp;$B$4,tblSales[วันที่],"&lt;="&amp;$D$4))</f>
        <v>0</v>
      </c>
      <c r="F16" s="39">
        <f t="shared" ref="F16:F35" ca="1" si="0">IF(A16="","",D16-E16)</f>
        <v>0</v>
      </c>
      <c r="G16" s="40">
        <f t="shared" ref="G16:G35" ca="1" si="1">IF(A16="","",IFERROR(F16/D16,0))</f>
        <v>0</v>
      </c>
      <c r="H16" s="40">
        <f t="shared" ref="H16:H35" ca="1" si="2">IF(A16="","",IFERROR(D16/$B$8,0))</f>
        <v>0</v>
      </c>
      <c r="I16" s="4"/>
      <c r="J16" s="37">
        <v>1</v>
      </c>
      <c r="K16" s="37" t="str">
        <f>IFERROR(INDEX(tblItems[รหัสสินค้า],MATCH(J16,tblItems[ลำดับแจ้งเตือน],0)),"")</f>
        <v>RM-TEA-01</v>
      </c>
      <c r="L16" s="37" t="str">
        <f>IF(K16="","",INDEX(tblItems[ชื่อสินค้า],MATCH(K16,tblItems[รหัสสินค้า],0)))</f>
        <v>ชาไทยผงปรุงสำเร็จ ฉลากแดง</v>
      </c>
      <c r="M16" s="46">
        <f>IF(K16="","",INDEX(tblItems[คงเหลือ (หน่วยใช้)],MATCH(K16,tblItems[รหัสสินค้า],0)))</f>
        <v>0</v>
      </c>
      <c r="N16" s="37" t="str">
        <f>IF(K16="","",INDEX(tblItems[หน่วยใช้],MATCH(K16,tblItems[รหัสสินค้า],0)))</f>
        <v>g</v>
      </c>
      <c r="O16" s="37" t="str">
        <f>IF(K16="","",INDEX(tblItems[สถานะ],MATCH(K16,tblItems[รหัสสินค้า],0)))</f>
        <v>หมด</v>
      </c>
    </row>
    <row r="17" spans="1:15" x14ac:dyDescent="0.25">
      <c r="A17" s="37" t="str">
        <f>IF(Lists!$A$3="","",Lists!$A$3)</f>
        <v>Latte</v>
      </c>
      <c r="B17" s="37" t="str">
        <f>IF(A17="","",Lists!$B$3)</f>
        <v>ชาไทยนมสด</v>
      </c>
      <c r="C17" s="38">
        <f ca="1">IF(A17="","",SUMIFS(tblSales[จำนวนแก้ว],tblSales[เมนู],A17,tblSales[วันที่],"&gt;="&amp;$B$4,tblSales[วันที่],"&lt;="&amp;$D$4))</f>
        <v>0</v>
      </c>
      <c r="D17" s="39">
        <f ca="1">IF(A17="","",SUMIFS(tblSales[ยอดขาย (บาท)],tblSales[เมนู],A17,tblSales[วันที่],"&gt;="&amp;$B$4,tblSales[วันที่],"&lt;="&amp;$D$4))</f>
        <v>0</v>
      </c>
      <c r="E17" s="39">
        <f ca="1">IF(A17="","",SUMIFS(tblSales[ต้นทุนรวม (บาท)],tblSales[เมนู],A17,tblSales[วันที่],"&gt;="&amp;$B$4,tblSales[วันที่],"&lt;="&amp;$D$4))</f>
        <v>0</v>
      </c>
      <c r="F17" s="39">
        <f t="shared" ca="1" si="0"/>
        <v>0</v>
      </c>
      <c r="G17" s="40">
        <f t="shared" ca="1" si="1"/>
        <v>0</v>
      </c>
      <c r="H17" s="40">
        <f t="shared" ca="1" si="2"/>
        <v>0</v>
      </c>
      <c r="I17" s="4"/>
      <c r="J17" s="37">
        <v>2</v>
      </c>
      <c r="K17" s="37" t="str">
        <f>IFERROR(INDEX(tblItems[รหัสสินค้า],MATCH(J17,tblItems[ลำดับแจ้งเตือน],0)),"")</f>
        <v>RM-TEA-02</v>
      </c>
      <c r="L17" s="37" t="str">
        <f>IF(K17="","",INDEX(tblItems[ชื่อสินค้า],MATCH(K17,tblItems[รหัสสินค้า],0)))</f>
        <v>ใบชาใต้ รินชา สูตร 3</v>
      </c>
      <c r="M17" s="46">
        <f>IF(K17="","",INDEX(tblItems[คงเหลือ (หน่วยใช้)],MATCH(K17,tblItems[รหัสสินค้า],0)))</f>
        <v>0</v>
      </c>
      <c r="N17" s="37" t="str">
        <f>IF(K17="","",INDEX(tblItems[หน่วยใช้],MATCH(K17,tblItems[รหัสสินค้า],0)))</f>
        <v>g</v>
      </c>
      <c r="O17" s="37" t="str">
        <f>IF(K17="","",INDEX(tblItems[สถานะ],MATCH(K17,tblItems[รหัสสินค้า],0)))</f>
        <v>หมด</v>
      </c>
    </row>
    <row r="18" spans="1:15" x14ac:dyDescent="0.25">
      <c r="A18" s="37" t="str">
        <f>IF(Lists!$A$4="","",Lists!$A$4)</f>
        <v>Cream Cheese</v>
      </c>
      <c r="B18" s="37" t="str">
        <f>IF(A18="","",Lists!$B$4)</f>
        <v>ชาไทยครีมชีสโฟม</v>
      </c>
      <c r="C18" s="38">
        <f ca="1">IF(A18="","",SUMIFS(tblSales[จำนวนแก้ว],tblSales[เมนู],A18,tblSales[วันที่],"&gt;="&amp;$B$4,tblSales[วันที่],"&lt;="&amp;$D$4))</f>
        <v>0</v>
      </c>
      <c r="D18" s="39">
        <f ca="1">IF(A18="","",SUMIFS(tblSales[ยอดขาย (บาท)],tblSales[เมนู],A18,tblSales[วันที่],"&gt;="&amp;$B$4,tblSales[วันที่],"&lt;="&amp;$D$4))</f>
        <v>0</v>
      </c>
      <c r="E18" s="39">
        <f ca="1">IF(A18="","",SUMIFS(tblSales[ต้นทุนรวม (บาท)],tblSales[เมนู],A18,tblSales[วันที่],"&gt;="&amp;$B$4,tblSales[วันที่],"&lt;="&amp;$D$4))</f>
        <v>0</v>
      </c>
      <c r="F18" s="39">
        <f t="shared" ca="1" si="0"/>
        <v>0</v>
      </c>
      <c r="G18" s="40">
        <f t="shared" ca="1" si="1"/>
        <v>0</v>
      </c>
      <c r="H18" s="40">
        <f t="shared" ca="1" si="2"/>
        <v>0</v>
      </c>
      <c r="I18" s="4"/>
      <c r="J18" s="37">
        <v>3</v>
      </c>
      <c r="K18" s="37" t="str">
        <f>IFERROR(INDEX(tblItems[รหัสสินค้า],MATCH(J18,tblItems[ลำดับแจ้งเตือน],0)),"")</f>
        <v>RM-TEA-03</v>
      </c>
      <c r="L18" s="37" t="str">
        <f>IF(K18="","",INDEX(tblItems[ชื่อสินค้า],MATCH(K18,tblItems[รหัสสินค้า],0)))</f>
        <v>ชาเขียวผง ฉลากเขียว</v>
      </c>
      <c r="M18" s="46">
        <f>IF(K18="","",INDEX(tblItems[คงเหลือ (หน่วยใช้)],MATCH(K18,tblItems[รหัสสินค้า],0)))</f>
        <v>0</v>
      </c>
      <c r="N18" s="37" t="str">
        <f>IF(K18="","",INDEX(tblItems[หน่วยใช้],MATCH(K18,tblItems[รหัสสินค้า],0)))</f>
        <v>g</v>
      </c>
      <c r="O18" s="37" t="str">
        <f>IF(K18="","",INDEX(tblItems[สถานะ],MATCH(K18,tblItems[รหัสสินค้า],0)))</f>
        <v>หมด</v>
      </c>
    </row>
    <row r="19" spans="1:15" x14ac:dyDescent="0.25">
      <c r="A19" s="37" t="str">
        <f>IF(Lists!$A$5="","",Lists!$A$5)</f>
        <v>Whip Cheese</v>
      </c>
      <c r="B19" s="37" t="str">
        <f>IF(A19="","",Lists!$B$5)</f>
        <v>ชาไทยวิปชีส</v>
      </c>
      <c r="C19" s="38">
        <f ca="1">IF(A19="","",SUMIFS(tblSales[จำนวนแก้ว],tblSales[เมนู],A19,tblSales[วันที่],"&gt;="&amp;$B$4,tblSales[วันที่],"&lt;="&amp;$D$4))</f>
        <v>0</v>
      </c>
      <c r="D19" s="39">
        <f ca="1">IF(A19="","",SUMIFS(tblSales[ยอดขาย (บาท)],tblSales[เมนู],A19,tblSales[วันที่],"&gt;="&amp;$B$4,tblSales[วันที่],"&lt;="&amp;$D$4))</f>
        <v>0</v>
      </c>
      <c r="E19" s="39">
        <f ca="1">IF(A19="","",SUMIFS(tblSales[ต้นทุนรวม (บาท)],tblSales[เมนู],A19,tblSales[วันที่],"&gt;="&amp;$B$4,tblSales[วันที่],"&lt;="&amp;$D$4))</f>
        <v>0</v>
      </c>
      <c r="F19" s="39">
        <f t="shared" ca="1" si="0"/>
        <v>0</v>
      </c>
      <c r="G19" s="40">
        <f t="shared" ca="1" si="1"/>
        <v>0</v>
      </c>
      <c r="H19" s="40">
        <f t="shared" ca="1" si="2"/>
        <v>0</v>
      </c>
      <c r="I19" s="4"/>
      <c r="J19" s="37">
        <v>4</v>
      </c>
      <c r="K19" s="37" t="str">
        <f>IFERROR(INDEX(tblItems[รหัสสินค้า],MATCH(J19,tblItems[ลำดับแจ้งเตือน],0)),"")</f>
        <v>RM-TEA-04</v>
      </c>
      <c r="L19" s="37" t="str">
        <f>IF(K19="","",INDEX(tblItems[ชื่อสินค้า],MATCH(K19,tblItems[รหัสสินค้า],0)))</f>
        <v>ใบชาเขียวไม่มีกลิ่นมะลิ รินชา</v>
      </c>
      <c r="M19" s="46">
        <f>IF(K19="","",INDEX(tblItems[คงเหลือ (หน่วยใช้)],MATCH(K19,tblItems[รหัสสินค้า],0)))</f>
        <v>0</v>
      </c>
      <c r="N19" s="37" t="str">
        <f>IF(K19="","",INDEX(tblItems[หน่วยใช้],MATCH(K19,tblItems[รหัสสินค้า],0)))</f>
        <v>g</v>
      </c>
      <c r="O19" s="37" t="str">
        <f>IF(K19="","",INDEX(tblItems[สถานะ],MATCH(K19,tblItems[รหัสสินค้า],0)))</f>
        <v>หมด</v>
      </c>
    </row>
    <row r="20" spans="1:15" x14ac:dyDescent="0.25">
      <c r="A20" s="37" t="str">
        <f>IF(Lists!$A$6="","",Lists!$A$6)</f>
        <v>Orange Latte</v>
      </c>
      <c r="B20" s="37" t="str">
        <f>IF(A20="","",Lists!$B$6)</f>
        <v>ชาไทยส้ม</v>
      </c>
      <c r="C20" s="38">
        <f ca="1">IF(A20="","",SUMIFS(tblSales[จำนวนแก้ว],tblSales[เมนู],A20,tblSales[วันที่],"&gt;="&amp;$B$4,tblSales[วันที่],"&lt;="&amp;$D$4))</f>
        <v>0</v>
      </c>
      <c r="D20" s="39">
        <f ca="1">IF(A20="","",SUMIFS(tblSales[ยอดขาย (บาท)],tblSales[เมนู],A20,tblSales[วันที่],"&gt;="&amp;$B$4,tblSales[วันที่],"&lt;="&amp;$D$4))</f>
        <v>0</v>
      </c>
      <c r="E20" s="39">
        <f ca="1">IF(A20="","",SUMIFS(tblSales[ต้นทุนรวม (บาท)],tblSales[เมนู],A20,tblSales[วันที่],"&gt;="&amp;$B$4,tblSales[วันที่],"&lt;="&amp;$D$4))</f>
        <v>0</v>
      </c>
      <c r="F20" s="39">
        <f t="shared" ca="1" si="0"/>
        <v>0</v>
      </c>
      <c r="G20" s="40">
        <f t="shared" ca="1" si="1"/>
        <v>0</v>
      </c>
      <c r="H20" s="40">
        <f t="shared" ca="1" si="2"/>
        <v>0</v>
      </c>
      <c r="I20" s="4"/>
      <c r="J20" s="37">
        <v>5</v>
      </c>
      <c r="K20" s="37" t="str">
        <f>IFERROR(INDEX(tblItems[รหัสสินค้า],MATCH(J20,tblItems[ลำดับแจ้งเตือน],0)),"")</f>
        <v>RM-SWT-01</v>
      </c>
      <c r="L20" s="37" t="str">
        <f>IF(K20="","",INDEX(tblItems[ชื่อสินค้า],MATCH(K20,tblItems[รหัสสินค้า],0)))</f>
        <v>น้ำตาลทราย</v>
      </c>
      <c r="M20" s="46">
        <f>IF(K20="","",INDEX(tblItems[คงเหลือ (หน่วยใช้)],MATCH(K20,tblItems[รหัสสินค้า],0)))</f>
        <v>0</v>
      </c>
      <c r="N20" s="37" t="str">
        <f>IF(K20="","",INDEX(tblItems[หน่วยใช้],MATCH(K20,tblItems[รหัสสินค้า],0)))</f>
        <v>g</v>
      </c>
      <c r="O20" s="37" t="str">
        <f>IF(K20="","",INDEX(tblItems[สถานะ],MATCH(K20,tblItems[รหัสสินค้า],0)))</f>
        <v>หมด</v>
      </c>
    </row>
    <row r="21" spans="1:15" x14ac:dyDescent="0.25">
      <c r="A21" s="37" t="str">
        <f>IF(Lists!$A$7="","",Lists!$A$7)</f>
        <v>Cocoa</v>
      </c>
      <c r="B21" s="37" t="str">
        <f>IF(A21="","",Lists!$B$7)</f>
        <v>ชาไทยโกโก้</v>
      </c>
      <c r="C21" s="38">
        <f ca="1">IF(A21="","",SUMIFS(tblSales[จำนวนแก้ว],tblSales[เมนู],A21,tblSales[วันที่],"&gt;="&amp;$B$4,tblSales[วันที่],"&lt;="&amp;$D$4))</f>
        <v>0</v>
      </c>
      <c r="D21" s="39">
        <f ca="1">IF(A21="","",SUMIFS(tblSales[ยอดขาย (บาท)],tblSales[เมนู],A21,tblSales[วันที่],"&gt;="&amp;$B$4,tblSales[วันที่],"&lt;="&amp;$D$4))</f>
        <v>0</v>
      </c>
      <c r="E21" s="39">
        <f ca="1">IF(A21="","",SUMIFS(tblSales[ต้นทุนรวม (บาท)],tblSales[เมนู],A21,tblSales[วันที่],"&gt;="&amp;$B$4,tblSales[วันที่],"&lt;="&amp;$D$4))</f>
        <v>0</v>
      </c>
      <c r="F21" s="39">
        <f t="shared" ca="1" si="0"/>
        <v>0</v>
      </c>
      <c r="G21" s="40">
        <f t="shared" ca="1" si="1"/>
        <v>0</v>
      </c>
      <c r="H21" s="40">
        <f t="shared" ca="1" si="2"/>
        <v>0</v>
      </c>
      <c r="I21" s="4"/>
      <c r="J21" s="37">
        <v>6</v>
      </c>
      <c r="K21" s="37" t="str">
        <f>IFERROR(INDEX(tblItems[รหัสสินค้า],MATCH(J21,tblItems[ลำดับแจ้งเตือน],0)),"")</f>
        <v>RM-SEA-01</v>
      </c>
      <c r="L21" s="37" t="str">
        <f>IF(K21="","",INDEX(tblItems[ชื่อสินค้า],MATCH(K21,tblItems[รหัสสินค้า],0)))</f>
        <v>เกลือป่น</v>
      </c>
      <c r="M21" s="46">
        <f>IF(K21="","",INDEX(tblItems[คงเหลือ (หน่วยใช้)],MATCH(K21,tblItems[รหัสสินค้า],0)))</f>
        <v>0</v>
      </c>
      <c r="N21" s="37" t="str">
        <f>IF(K21="","",INDEX(tblItems[หน่วยใช้],MATCH(K21,tblItems[รหัสสินค้า],0)))</f>
        <v>g</v>
      </c>
      <c r="O21" s="37" t="str">
        <f>IF(K21="","",INDEX(tblItems[สถานะ],MATCH(K21,tblItems[รหัสสินค้า],0)))</f>
        <v>หมด</v>
      </c>
    </row>
    <row r="22" spans="1:15" x14ac:dyDescent="0.25">
      <c r="A22" s="37" t="str">
        <f>IF(Lists!$A$8="","",Lists!$A$8)</f>
        <v>Thai Tea Frappe</v>
      </c>
      <c r="B22" s="37" t="str">
        <f>IF(A22="","",Lists!$B$8)</f>
        <v>ชาไทยปั่น</v>
      </c>
      <c r="C22" s="38">
        <f ca="1">IF(A22="","",SUMIFS(tblSales[จำนวนแก้ว],tblSales[เมนู],A22,tblSales[วันที่],"&gt;="&amp;$B$4,tblSales[วันที่],"&lt;="&amp;$D$4))</f>
        <v>0</v>
      </c>
      <c r="D22" s="39">
        <f ca="1">IF(A22="","",SUMIFS(tblSales[ยอดขาย (บาท)],tblSales[เมนู],A22,tblSales[วันที่],"&gt;="&amp;$B$4,tblSales[วันที่],"&lt;="&amp;$D$4))</f>
        <v>0</v>
      </c>
      <c r="E22" s="39">
        <f ca="1">IF(A22="","",SUMIFS(tblSales[ต้นทุนรวม (บาท)],tblSales[เมนู],A22,tblSales[วันที่],"&gt;="&amp;$B$4,tblSales[วันที่],"&lt;="&amp;$D$4))</f>
        <v>0</v>
      </c>
      <c r="F22" s="39">
        <f t="shared" ca="1" si="0"/>
        <v>0</v>
      </c>
      <c r="G22" s="40">
        <f t="shared" ca="1" si="1"/>
        <v>0</v>
      </c>
      <c r="H22" s="40">
        <f t="shared" ca="1" si="2"/>
        <v>0</v>
      </c>
      <c r="I22" s="4"/>
      <c r="J22" s="37">
        <v>7</v>
      </c>
      <c r="K22" s="37" t="str">
        <f>IFERROR(INDEX(tblItems[รหัสสินค้า],MATCH(J22,tblItems[ลำดับแจ้งเตือน],0)),"")</f>
        <v>RM-MLK-01</v>
      </c>
      <c r="L22" s="37" t="str">
        <f>IF(K22="","",INDEX(tblItems[ชื่อสินค้า],MATCH(K22,tblItems[รหัสสินค้า],0)))</f>
        <v>นมสดรสจืด UHT</v>
      </c>
      <c r="M22" s="46">
        <f>IF(K22="","",INDEX(tblItems[คงเหลือ (หน่วยใช้)],MATCH(K22,tblItems[รหัสสินค้า],0)))</f>
        <v>0</v>
      </c>
      <c r="N22" s="37" t="str">
        <f>IF(K22="","",INDEX(tblItems[หน่วยใช้],MATCH(K22,tblItems[รหัสสินค้า],0)))</f>
        <v>ml</v>
      </c>
      <c r="O22" s="37" t="str">
        <f>IF(K22="","",INDEX(tblItems[สถานะ],MATCH(K22,tblItems[รหัสสินค้า],0)))</f>
        <v>หมด</v>
      </c>
    </row>
    <row r="23" spans="1:15" x14ac:dyDescent="0.25">
      <c r="A23" s="37" t="str">
        <f>IF(Lists!$A$9="","",Lists!$A$9)</f>
        <v>Coconut Frappe</v>
      </c>
      <c r="B23" s="37" t="str">
        <f>IF(A23="","",Lists!$B$9)</f>
        <v>ชาไทยมะพร้าวปั่น</v>
      </c>
      <c r="C23" s="38">
        <f ca="1">IF(A23="","",SUMIFS(tblSales[จำนวนแก้ว],tblSales[เมนู],A23,tblSales[วันที่],"&gt;="&amp;$B$4,tblSales[วันที่],"&lt;="&amp;$D$4))</f>
        <v>0</v>
      </c>
      <c r="D23" s="39">
        <f ca="1">IF(A23="","",SUMIFS(tblSales[ยอดขาย (บาท)],tblSales[เมนู],A23,tblSales[วันที่],"&gt;="&amp;$B$4,tblSales[วันที่],"&lt;="&amp;$D$4))</f>
        <v>0</v>
      </c>
      <c r="E23" s="39">
        <f ca="1">IF(A23="","",SUMIFS(tblSales[ต้นทุนรวม (บาท)],tblSales[เมนู],A23,tblSales[วันที่],"&gt;="&amp;$B$4,tblSales[วันที่],"&lt;="&amp;$D$4))</f>
        <v>0</v>
      </c>
      <c r="F23" s="39">
        <f t="shared" ca="1" si="0"/>
        <v>0</v>
      </c>
      <c r="G23" s="40">
        <f t="shared" ca="1" si="1"/>
        <v>0</v>
      </c>
      <c r="H23" s="40">
        <f t="shared" ca="1" si="2"/>
        <v>0</v>
      </c>
      <c r="I23" s="4"/>
      <c r="J23" s="37">
        <v>8</v>
      </c>
      <c r="K23" s="37" t="str">
        <f>IFERROR(INDEX(tblItems[รหัสสินค้า],MATCH(J23,tblItems[ลำดับแจ้งเตือน],0)),"")</f>
        <v>RM-MLK-02</v>
      </c>
      <c r="L23" s="37" t="str">
        <f>IF(K23="","",INDEX(tblItems[ชื่อสินค้า],MATCH(K23,tblItems[รหัสสินค้า],0)))</f>
        <v>นมข้นจืด</v>
      </c>
      <c r="M23" s="46">
        <f>IF(K23="","",INDEX(tblItems[คงเหลือ (หน่วยใช้)],MATCH(K23,tblItems[รหัสสินค้า],0)))</f>
        <v>0</v>
      </c>
      <c r="N23" s="37" t="str">
        <f>IF(K23="","",INDEX(tblItems[หน่วยใช้],MATCH(K23,tblItems[รหัสสินค้า],0)))</f>
        <v>ml</v>
      </c>
      <c r="O23" s="37" t="str">
        <f>IF(K23="","",INDEX(tblItems[สถานะ],MATCH(K23,tblItems[รหัสสินค้า],0)))</f>
        <v>หมด</v>
      </c>
    </row>
    <row r="24" spans="1:15" x14ac:dyDescent="0.25">
      <c r="A24" s="37" t="str">
        <f>IF(Lists!$A$10="","",Lists!$A$10)</f>
        <v>Honey Milk</v>
      </c>
      <c r="B24" s="37" t="str">
        <f>IF(A24="","",Lists!$B$10)</f>
        <v>ชาไทยนมสดน้ำผึ้ง</v>
      </c>
      <c r="C24" s="38">
        <f ca="1">IF(A24="","",SUMIFS(tblSales[จำนวนแก้ว],tblSales[เมนู],A24,tblSales[วันที่],"&gt;="&amp;$B$4,tblSales[วันที่],"&lt;="&amp;$D$4))</f>
        <v>0</v>
      </c>
      <c r="D24" s="39">
        <f ca="1">IF(A24="","",SUMIFS(tblSales[ยอดขาย (บาท)],tblSales[เมนู],A24,tblSales[วันที่],"&gt;="&amp;$B$4,tblSales[วันที่],"&lt;="&amp;$D$4))</f>
        <v>0</v>
      </c>
      <c r="E24" s="39">
        <f ca="1">IF(A24="","",SUMIFS(tblSales[ต้นทุนรวม (บาท)],tblSales[เมนู],A24,tblSales[วันที่],"&gt;="&amp;$B$4,tblSales[วันที่],"&lt;="&amp;$D$4))</f>
        <v>0</v>
      </c>
      <c r="F24" s="39">
        <f t="shared" ca="1" si="0"/>
        <v>0</v>
      </c>
      <c r="G24" s="40">
        <f t="shared" ca="1" si="1"/>
        <v>0</v>
      </c>
      <c r="H24" s="40">
        <f t="shared" ca="1" si="2"/>
        <v>0</v>
      </c>
      <c r="I24" s="4"/>
      <c r="J24" s="37">
        <v>9</v>
      </c>
      <c r="K24" s="37" t="str">
        <f>IFERROR(INDEX(tblItems[รหัสสินค้า],MATCH(J24,tblItems[ลำดับแจ้งเตือน],0)),"")</f>
        <v>RM-MLK-03</v>
      </c>
      <c r="L24" s="37" t="str">
        <f>IF(K24="","",INDEX(tblItems[ชื่อสินค้า],MATCH(K24,tblItems[รหัสสินค้า],0)))</f>
        <v>นมข้นหวาน</v>
      </c>
      <c r="M24" s="46">
        <f>IF(K24="","",INDEX(tblItems[คงเหลือ (หน่วยใช้)],MATCH(K24,tblItems[รหัสสินค้า],0)))</f>
        <v>0</v>
      </c>
      <c r="N24" s="37" t="str">
        <f>IF(K24="","",INDEX(tblItems[หน่วยใช้],MATCH(K24,tblItems[รหัสสินค้า],0)))</f>
        <v>ml</v>
      </c>
      <c r="O24" s="37" t="str">
        <f>IF(K24="","",INDEX(tblItems[สถานะ],MATCH(K24,tblItems[รหัสสินค้า],0)))</f>
        <v>หมด</v>
      </c>
    </row>
    <row r="25" spans="1:15" x14ac:dyDescent="0.25">
      <c r="A25" s="37" t="str">
        <f>IF(Lists!$A$11="","",Lists!$A$11)</f>
        <v>Coconut Tea</v>
      </c>
      <c r="B25" s="37" t="str">
        <f>IF(A25="","",Lists!$B$11)</f>
        <v>ชาไทยมะพร้าวน้ำหอม (เย็น)</v>
      </c>
      <c r="C25" s="38">
        <f ca="1">IF(A25="","",SUMIFS(tblSales[จำนวนแก้ว],tblSales[เมนู],A25,tblSales[วันที่],"&gt;="&amp;$B$4,tblSales[วันที่],"&lt;="&amp;$D$4))</f>
        <v>0</v>
      </c>
      <c r="D25" s="39">
        <f ca="1">IF(A25="","",SUMIFS(tblSales[ยอดขาย (บาท)],tblSales[เมนู],A25,tblSales[วันที่],"&gt;="&amp;$B$4,tblSales[วันที่],"&lt;="&amp;$D$4))</f>
        <v>0</v>
      </c>
      <c r="E25" s="39">
        <f ca="1">IF(A25="","",SUMIFS(tblSales[ต้นทุนรวม (บาท)],tblSales[เมนู],A25,tblSales[วันที่],"&gt;="&amp;$B$4,tblSales[วันที่],"&lt;="&amp;$D$4))</f>
        <v>0</v>
      </c>
      <c r="F25" s="39">
        <f t="shared" ca="1" si="0"/>
        <v>0</v>
      </c>
      <c r="G25" s="40">
        <f t="shared" ca="1" si="1"/>
        <v>0</v>
      </c>
      <c r="H25" s="40">
        <f t="shared" ca="1" si="2"/>
        <v>0</v>
      </c>
      <c r="I25" s="4"/>
      <c r="J25" s="37">
        <v>10</v>
      </c>
      <c r="K25" s="37" t="str">
        <f>IFERROR(INDEX(tblItems[รหัสสินค้า],MATCH(J25,tblItems[ลำดับแจ้งเตือน],0)),"")</f>
        <v>RM-SWT-02</v>
      </c>
      <c r="L25" s="37" t="str">
        <f>IF(K25="","",INDEX(tblItems[ชื่อสินค้า],MATCH(K25,tblItems[รหัสสินค้า],0)))</f>
        <v>น้ำผึ้ง</v>
      </c>
      <c r="M25" s="46">
        <f>IF(K25="","",INDEX(tblItems[คงเหลือ (หน่วยใช้)],MATCH(K25,tblItems[รหัสสินค้า],0)))</f>
        <v>0</v>
      </c>
      <c r="N25" s="37" t="str">
        <f>IF(K25="","",INDEX(tblItems[หน่วยใช้],MATCH(K25,tblItems[รหัสสินค้า],0)))</f>
        <v>ml</v>
      </c>
      <c r="O25" s="37" t="str">
        <f>IF(K25="","",INDEX(tblItems[สถานะ],MATCH(K25,tblItems[รหัสสินค้า],0)))</f>
        <v>หมด</v>
      </c>
    </row>
    <row r="26" spans="1:15" x14ac:dyDescent="0.25">
      <c r="A26" s="37" t="str">
        <f>IF(Lists!$A$12="","",Lists!$A$12)</f>
        <v>Lemon Tea</v>
      </c>
      <c r="B26" s="37" t="str">
        <f>IF(A26="","",Lists!$B$12)</f>
        <v>ชามะนาว</v>
      </c>
      <c r="C26" s="38">
        <f ca="1">IF(A26="","",SUMIFS(tblSales[จำนวนแก้ว],tblSales[เมนู],A26,tblSales[วันที่],"&gt;="&amp;$B$4,tblSales[วันที่],"&lt;="&amp;$D$4))</f>
        <v>0</v>
      </c>
      <c r="D26" s="39">
        <f ca="1">IF(A26="","",SUMIFS(tblSales[ยอดขาย (บาท)],tblSales[เมนู],A26,tblSales[วันที่],"&gt;="&amp;$B$4,tblSales[วันที่],"&lt;="&amp;$D$4))</f>
        <v>0</v>
      </c>
      <c r="E26" s="39">
        <f ca="1">IF(A26="","",SUMIFS(tblSales[ต้นทุนรวม (บาท)],tblSales[เมนู],A26,tblSales[วันที่],"&gt;="&amp;$B$4,tblSales[วันที่],"&lt;="&amp;$D$4))</f>
        <v>0</v>
      </c>
      <c r="F26" s="39">
        <f t="shared" ca="1" si="0"/>
        <v>0</v>
      </c>
      <c r="G26" s="40">
        <f t="shared" ca="1" si="1"/>
        <v>0</v>
      </c>
      <c r="H26" s="40">
        <f t="shared" ca="1" si="2"/>
        <v>0</v>
      </c>
      <c r="I26" s="4"/>
      <c r="J26" s="37">
        <v>11</v>
      </c>
      <c r="K26" s="37" t="str">
        <f>IFERROR(INDEX(tblItems[รหัสสินค้า],MATCH(J26,tblItems[ลำดับแจ้งเตือน],0)),"")</f>
        <v>RM-POW-01</v>
      </c>
      <c r="L26" s="37" t="str">
        <f>IF(K26="","",INDEX(tblItems[ชื่อสินค้า],MATCH(K26,tblItems[รหัสสินค้า],0)))</f>
        <v>ผงโกโก้</v>
      </c>
      <c r="M26" s="46">
        <f>IF(K26="","",INDEX(tblItems[คงเหลือ (หน่วยใช้)],MATCH(K26,tblItems[รหัสสินค้า],0)))</f>
        <v>0</v>
      </c>
      <c r="N26" s="37" t="str">
        <f>IF(K26="","",INDEX(tblItems[หน่วยใช้],MATCH(K26,tblItems[รหัสสินค้า],0)))</f>
        <v>g</v>
      </c>
      <c r="O26" s="37" t="str">
        <f>IF(K26="","",INDEX(tblItems[สถานะ],MATCH(K26,tblItems[รหัสสินค้า],0)))</f>
        <v>หมด</v>
      </c>
    </row>
    <row r="27" spans="1:15" x14ac:dyDescent="0.25">
      <c r="A27" s="37" t="str">
        <f>IF(Lists!$A$13="","",Lists!$A$13)</f>
        <v>Green Tea</v>
      </c>
      <c r="B27" s="37" t="str">
        <f>IF(A27="","",Lists!$B$13)</f>
        <v>ชาเขียวเย็น</v>
      </c>
      <c r="C27" s="38">
        <f ca="1">IF(A27="","",SUMIFS(tblSales[จำนวนแก้ว],tblSales[เมนู],A27,tblSales[วันที่],"&gt;="&amp;$B$4,tblSales[วันที่],"&lt;="&amp;$D$4))</f>
        <v>0</v>
      </c>
      <c r="D27" s="39">
        <f ca="1">IF(A27="","",SUMIFS(tblSales[ยอดขาย (บาท)],tblSales[เมนู],A27,tblSales[วันที่],"&gt;="&amp;$B$4,tblSales[วันที่],"&lt;="&amp;$D$4))</f>
        <v>0</v>
      </c>
      <c r="E27" s="39">
        <f ca="1">IF(A27="","",SUMIFS(tblSales[ต้นทุนรวม (บาท)],tblSales[เมนู],A27,tblSales[วันที่],"&gt;="&amp;$B$4,tblSales[วันที่],"&lt;="&amp;$D$4))</f>
        <v>0</v>
      </c>
      <c r="F27" s="39">
        <f t="shared" ca="1" si="0"/>
        <v>0</v>
      </c>
      <c r="G27" s="40">
        <f t="shared" ca="1" si="1"/>
        <v>0</v>
      </c>
      <c r="H27" s="40">
        <f t="shared" ca="1" si="2"/>
        <v>0</v>
      </c>
      <c r="I27" s="4"/>
      <c r="J27" s="37">
        <v>12</v>
      </c>
      <c r="K27" s="37" t="str">
        <f>IFERROR(INDEX(tblItems[รหัสสินค้า],MATCH(J27,tblItems[ลำดับแจ้งเตือน],0)),"")</f>
        <v>RM-JUI-01</v>
      </c>
      <c r="L27" s="37" t="str">
        <f>IF(K27="","",INDEX(tblItems[ชื่อสินค้า],MATCH(K27,tblItems[รหัสสินค้า],0)))</f>
        <v>น้ำส้ม 100%</v>
      </c>
      <c r="M27" s="46">
        <f>IF(K27="","",INDEX(tblItems[คงเหลือ (หน่วยใช้)],MATCH(K27,tblItems[รหัสสินค้า],0)))</f>
        <v>0</v>
      </c>
      <c r="N27" s="37" t="str">
        <f>IF(K27="","",INDEX(tblItems[หน่วยใช้],MATCH(K27,tblItems[รหัสสินค้า],0)))</f>
        <v>ml</v>
      </c>
      <c r="O27" s="37" t="str">
        <f>IF(K27="","",INDEX(tblItems[สถานะ],MATCH(K27,tblItems[รหัสสินค้า],0)))</f>
        <v>หมด</v>
      </c>
    </row>
    <row r="28" spans="1:15" x14ac:dyDescent="0.25">
      <c r="A28" s="37" t="str">
        <f>IF(Lists!$A$14="","",Lists!$A$14)</f>
        <v>Green Coconut</v>
      </c>
      <c r="B28" s="37" t="str">
        <f>IF(A28="","",Lists!$B$14)</f>
        <v>ชาเขียวมะพร้าว</v>
      </c>
      <c r="C28" s="38">
        <f ca="1">IF(A28="","",SUMIFS(tblSales[จำนวนแก้ว],tblSales[เมนู],A28,tblSales[วันที่],"&gt;="&amp;$B$4,tblSales[วันที่],"&lt;="&amp;$D$4))</f>
        <v>0</v>
      </c>
      <c r="D28" s="39">
        <f ca="1">IF(A28="","",SUMIFS(tblSales[ยอดขาย (บาท)],tblSales[เมนู],A28,tblSales[วันที่],"&gt;="&amp;$B$4,tblSales[วันที่],"&lt;="&amp;$D$4))</f>
        <v>0</v>
      </c>
      <c r="E28" s="39">
        <f ca="1">IF(A28="","",SUMIFS(tblSales[ต้นทุนรวม (บาท)],tblSales[เมนู],A28,tblSales[วันที่],"&gt;="&amp;$B$4,tblSales[วันที่],"&lt;="&amp;$D$4))</f>
        <v>0</v>
      </c>
      <c r="F28" s="39">
        <f t="shared" ca="1" si="0"/>
        <v>0</v>
      </c>
      <c r="G28" s="40">
        <f t="shared" ca="1" si="1"/>
        <v>0</v>
      </c>
      <c r="H28" s="40">
        <f t="shared" ca="1" si="2"/>
        <v>0</v>
      </c>
      <c r="I28" s="4"/>
      <c r="J28" s="37">
        <v>13</v>
      </c>
      <c r="K28" s="37" t="str">
        <f>IFERROR(INDEX(tblItems[รหัสสินค้า],MATCH(J28,tblItems[ลำดับแจ้งเตือน],0)),"")</f>
        <v>RM-JUI-02</v>
      </c>
      <c r="L28" s="37" t="str">
        <f>IF(K28="","",INDEX(tblItems[ชื่อสินค้า],MATCH(K28,tblItems[รหัสสินค้า],0)))</f>
        <v>น้ำมะพร้าวน้ำหอม 100%</v>
      </c>
      <c r="M28" s="46">
        <f>IF(K28="","",INDEX(tblItems[คงเหลือ (หน่วยใช้)],MATCH(K28,tblItems[รหัสสินค้า],0)))</f>
        <v>0</v>
      </c>
      <c r="N28" s="37" t="str">
        <f>IF(K28="","",INDEX(tblItems[หน่วยใช้],MATCH(K28,tblItems[รหัสสินค้า],0)))</f>
        <v>ml</v>
      </c>
      <c r="O28" s="37" t="str">
        <f>IF(K28="","",INDEX(tblItems[สถานะ],MATCH(K28,tblItems[รหัสสินค้า],0)))</f>
        <v>หมด</v>
      </c>
    </row>
    <row r="29" spans="1:15" x14ac:dyDescent="0.25">
      <c r="A29" s="37" t="str">
        <f>IF(Lists!$A$15="","",Lists!$A$15)</f>
        <v>Green Honey Milk</v>
      </c>
      <c r="B29" s="37" t="str">
        <f>IF(A29="","",Lists!$B$15)</f>
        <v>ชาเขียวนมสดน้ำผึ้ง</v>
      </c>
      <c r="C29" s="38">
        <f ca="1">IF(A29="","",SUMIFS(tblSales[จำนวนแก้ว],tblSales[เมนู],A29,tblSales[วันที่],"&gt;="&amp;$B$4,tblSales[วันที่],"&lt;="&amp;$D$4))</f>
        <v>0</v>
      </c>
      <c r="D29" s="39">
        <f ca="1">IF(A29="","",SUMIFS(tblSales[ยอดขาย (บาท)],tblSales[เมนู],A29,tblSales[วันที่],"&gt;="&amp;$B$4,tblSales[วันที่],"&lt;="&amp;$D$4))</f>
        <v>0</v>
      </c>
      <c r="E29" s="39">
        <f ca="1">IF(A29="","",SUMIFS(tblSales[ต้นทุนรวม (บาท)],tblSales[เมนู],A29,tblSales[วันที่],"&gt;="&amp;$B$4,tblSales[วันที่],"&lt;="&amp;$D$4))</f>
        <v>0</v>
      </c>
      <c r="F29" s="39">
        <f t="shared" ca="1" si="0"/>
        <v>0</v>
      </c>
      <c r="G29" s="40">
        <f t="shared" ca="1" si="1"/>
        <v>0</v>
      </c>
      <c r="H29" s="40">
        <f t="shared" ca="1" si="2"/>
        <v>0</v>
      </c>
      <c r="I29" s="4"/>
      <c r="J29" s="37">
        <v>14</v>
      </c>
      <c r="K29" s="37" t="str">
        <f>IFERROR(INDEX(tblItems[รหัสสินค้า],MATCH(J29,tblItems[ลำดับแจ้งเตือน],0)),"")</f>
        <v>RM-MLK-04</v>
      </c>
      <c r="L29" s="37" t="str">
        <f>IF(K29="","",INDEX(tblItems[ชื่อสินค้า],MATCH(K29,tblItems[รหัสสินค้า],0)))</f>
        <v>กะทิ UHT</v>
      </c>
      <c r="M29" s="46">
        <f>IF(K29="","",INDEX(tblItems[คงเหลือ (หน่วยใช้)],MATCH(K29,tblItems[รหัสสินค้า],0)))</f>
        <v>0</v>
      </c>
      <c r="N29" s="37" t="str">
        <f>IF(K29="","",INDEX(tblItems[หน่วยใช้],MATCH(K29,tblItems[รหัสสินค้า],0)))</f>
        <v>ml</v>
      </c>
      <c r="O29" s="37" t="str">
        <f>IF(K29="","",INDEX(tblItems[สถานะ],MATCH(K29,tblItems[รหัสสินค้า],0)))</f>
        <v>หมด</v>
      </c>
    </row>
    <row r="30" spans="1:15" x14ac:dyDescent="0.25">
      <c r="A30" s="37" t="str">
        <f>IF(Lists!$A$16="","",Lists!$A$16)</f>
        <v>Green Berry Soda</v>
      </c>
      <c r="B30" s="37" t="str">
        <f>IF(A30="","",Lists!$B$16)</f>
        <v>ชาเขียวสตรอว์เบอร์รี่โซดา</v>
      </c>
      <c r="C30" s="38">
        <f ca="1">IF(A30="","",SUMIFS(tblSales[จำนวนแก้ว],tblSales[เมนู],A30,tblSales[วันที่],"&gt;="&amp;$B$4,tblSales[วันที่],"&lt;="&amp;$D$4))</f>
        <v>0</v>
      </c>
      <c r="D30" s="39">
        <f ca="1">IF(A30="","",SUMIFS(tblSales[ยอดขาย (บาท)],tblSales[เมนู],A30,tblSales[วันที่],"&gt;="&amp;$B$4,tblSales[วันที่],"&lt;="&amp;$D$4))</f>
        <v>0</v>
      </c>
      <c r="E30" s="39">
        <f ca="1">IF(A30="","",SUMIFS(tblSales[ต้นทุนรวม (บาท)],tblSales[เมนู],A30,tblSales[วันที่],"&gt;="&amp;$B$4,tblSales[วันที่],"&lt;="&amp;$D$4))</f>
        <v>0</v>
      </c>
      <c r="F30" s="39">
        <f t="shared" ca="1" si="0"/>
        <v>0</v>
      </c>
      <c r="G30" s="40">
        <f t="shared" ca="1" si="1"/>
        <v>0</v>
      </c>
      <c r="H30" s="40">
        <f t="shared" ca="1" si="2"/>
        <v>0</v>
      </c>
      <c r="I30" s="4"/>
      <c r="J30" s="37">
        <v>15</v>
      </c>
      <c r="K30" s="37" t="str">
        <f>IFERROR(INDEX(tblItems[รหัสสินค้า],MATCH(J30,tblItems[ลำดับแจ้งเตือน],0)),"")</f>
        <v>RM-SAU-01</v>
      </c>
      <c r="L30" s="37" t="str">
        <f>IF(K30="","",INDEX(tblItems[ชื่อสินค้า],MATCH(K30,tblItems[รหัสสินค้า],0)))</f>
        <v>ซอสสตรอว์เบอร์รี่</v>
      </c>
      <c r="M30" s="46">
        <f>IF(K30="","",INDEX(tblItems[คงเหลือ (หน่วยใช้)],MATCH(K30,tblItems[รหัสสินค้า],0)))</f>
        <v>0</v>
      </c>
      <c r="N30" s="37" t="str">
        <f>IF(K30="","",INDEX(tblItems[หน่วยใช้],MATCH(K30,tblItems[รหัสสินค้า],0)))</f>
        <v>g</v>
      </c>
      <c r="O30" s="37" t="str">
        <f>IF(K30="","",INDEX(tblItems[สถานะ],MATCH(K30,tblItems[รหัสสินค้า],0)))</f>
        <v>หมด</v>
      </c>
    </row>
    <row r="31" spans="1:15" x14ac:dyDescent="0.25">
      <c r="A31" s="37" t="str">
        <f>IF(Lists!$A$17="","",Lists!$A$17)</f>
        <v>Green Tea Frappe</v>
      </c>
      <c r="B31" s="37" t="str">
        <f>IF(A31="","",Lists!$B$17)</f>
        <v>ชาเขียวปั่น</v>
      </c>
      <c r="C31" s="38">
        <f ca="1">IF(A31="","",SUMIFS(tblSales[จำนวนแก้ว],tblSales[เมนู],A31,tblSales[วันที่],"&gt;="&amp;$B$4,tblSales[วันที่],"&lt;="&amp;$D$4))</f>
        <v>0</v>
      </c>
      <c r="D31" s="39">
        <f ca="1">IF(A31="","",SUMIFS(tblSales[ยอดขาย (บาท)],tblSales[เมนู],A31,tblSales[วันที่],"&gt;="&amp;$B$4,tblSales[วันที่],"&lt;="&amp;$D$4))</f>
        <v>0</v>
      </c>
      <c r="E31" s="39">
        <f ca="1">IF(A31="","",SUMIFS(tblSales[ต้นทุนรวม (บาท)],tblSales[เมนู],A31,tblSales[วันที่],"&gt;="&amp;$B$4,tblSales[วันที่],"&lt;="&amp;$D$4))</f>
        <v>0</v>
      </c>
      <c r="F31" s="39">
        <f t="shared" ca="1" si="0"/>
        <v>0</v>
      </c>
      <c r="G31" s="40">
        <f t="shared" ca="1" si="1"/>
        <v>0</v>
      </c>
      <c r="H31" s="40">
        <f t="shared" ca="1" si="2"/>
        <v>0</v>
      </c>
      <c r="I31" s="4"/>
      <c r="J31" s="4"/>
      <c r="K31" s="4"/>
      <c r="L31" s="4"/>
      <c r="M31" s="4"/>
      <c r="N31" s="4"/>
      <c r="O31" s="4"/>
    </row>
    <row r="32" spans="1:15" x14ac:dyDescent="0.25">
      <c r="A32" s="37" t="str">
        <f>IF(Lists!$A$18="","",Lists!$A$18)</f>
        <v>Green Latte</v>
      </c>
      <c r="B32" s="37" t="str">
        <f>IF(A32="","",Lists!$B$18)</f>
        <v>ชาเขียวนมสด (มัทฉะลาเต้)</v>
      </c>
      <c r="C32" s="38">
        <f ca="1">IF(A32="","",SUMIFS(tblSales[จำนวนแก้ว],tblSales[เมนู],A32,tblSales[วันที่],"&gt;="&amp;$B$4,tblSales[วันที่],"&lt;="&amp;$D$4))</f>
        <v>0</v>
      </c>
      <c r="D32" s="39">
        <f ca="1">IF(A32="","",SUMIFS(tblSales[ยอดขาย (บาท)],tblSales[เมนู],A32,tblSales[วันที่],"&gt;="&amp;$B$4,tblSales[วันที่],"&lt;="&amp;$D$4))</f>
        <v>0</v>
      </c>
      <c r="E32" s="39">
        <f ca="1">IF(A32="","",SUMIFS(tblSales[ต้นทุนรวม (บาท)],tblSales[เมนู],A32,tblSales[วันที่],"&gt;="&amp;$B$4,tblSales[วันที่],"&lt;="&amp;$D$4))</f>
        <v>0</v>
      </c>
      <c r="F32" s="39">
        <f t="shared" ca="1" si="0"/>
        <v>0</v>
      </c>
      <c r="G32" s="40">
        <f t="shared" ca="1" si="1"/>
        <v>0</v>
      </c>
      <c r="H32" s="40">
        <f t="shared" ca="1" si="2"/>
        <v>0</v>
      </c>
      <c r="I32" s="4"/>
      <c r="J32" s="4"/>
      <c r="K32" s="4"/>
      <c r="L32" s="4"/>
      <c r="M32" s="4"/>
      <c r="N32" s="4"/>
      <c r="O32" s="4"/>
    </row>
    <row r="33" spans="1:8" x14ac:dyDescent="0.25">
      <c r="A33" s="37" t="str">
        <f>IF(Lists!$A$19="","",Lists!$A$19)</f>
        <v>Green Lemon Tea</v>
      </c>
      <c r="B33" s="37" t="str">
        <f>IF(A33="","",Lists!$B$19)</f>
        <v>ชาเขียวมะนาว</v>
      </c>
      <c r="C33" s="38">
        <f ca="1">IF(A33="","",SUMIFS(tblSales[จำนวนแก้ว],tblSales[เมนู],A33,tblSales[วันที่],"&gt;="&amp;$B$4,tblSales[วันที่],"&lt;="&amp;$D$4))</f>
        <v>0</v>
      </c>
      <c r="D33" s="39">
        <f ca="1">IF(A33="","",SUMIFS(tblSales[ยอดขาย (บาท)],tblSales[เมนู],A33,tblSales[วันที่],"&gt;="&amp;$B$4,tblSales[วันที่],"&lt;="&amp;$D$4))</f>
        <v>0</v>
      </c>
      <c r="E33" s="39">
        <f ca="1">IF(A33="","",SUMIFS(tblSales[ต้นทุนรวม (บาท)],tblSales[เมนู],A33,tblSales[วันที่],"&gt;="&amp;$B$4,tblSales[วันที่],"&lt;="&amp;$D$4))</f>
        <v>0</v>
      </c>
      <c r="F33" s="39">
        <f t="shared" ca="1" si="0"/>
        <v>0</v>
      </c>
      <c r="G33" s="40">
        <f t="shared" ca="1" si="1"/>
        <v>0</v>
      </c>
      <c r="H33" s="40">
        <f t="shared" ca="1" si="2"/>
        <v>0</v>
      </c>
    </row>
    <row r="34" spans="1:8" x14ac:dyDescent="0.25">
      <c r="A34" s="37" t="str">
        <f>IF(Lists!$A$20="","",Lists!$A$20)</f>
        <v>Green Honey Lemon</v>
      </c>
      <c r="B34" s="37" t="str">
        <f>IF(A34="","",Lists!$B$20)</f>
        <v>ชาเขียวน้ำผึ้งมะนาว</v>
      </c>
      <c r="C34" s="38">
        <f ca="1">IF(A34="","",SUMIFS(tblSales[จำนวนแก้ว],tblSales[เมนู],A34,tblSales[วันที่],"&gt;="&amp;$B$4,tblSales[วันที่],"&lt;="&amp;$D$4))</f>
        <v>0</v>
      </c>
      <c r="D34" s="39">
        <f ca="1">IF(A34="","",SUMIFS(tblSales[ยอดขาย (บาท)],tblSales[เมนู],A34,tblSales[วันที่],"&gt;="&amp;$B$4,tblSales[วันที่],"&lt;="&amp;$D$4))</f>
        <v>0</v>
      </c>
      <c r="E34" s="39">
        <f ca="1">IF(A34="","",SUMIFS(tblSales[ต้นทุนรวม (บาท)],tblSales[เมนู],A34,tblSales[วันที่],"&gt;="&amp;$B$4,tblSales[วันที่],"&lt;="&amp;$D$4))</f>
        <v>0</v>
      </c>
      <c r="F34" s="39">
        <f t="shared" ca="1" si="0"/>
        <v>0</v>
      </c>
      <c r="G34" s="40">
        <f t="shared" ca="1" si="1"/>
        <v>0</v>
      </c>
      <c r="H34" s="40">
        <f t="shared" ca="1" si="2"/>
        <v>0</v>
      </c>
    </row>
    <row r="35" spans="1:8" x14ac:dyDescent="0.25">
      <c r="A35" s="37" t="str">
        <f>IF(Lists!$A$21="","",Lists!$A$21)</f>
        <v>Green Cream Cheese</v>
      </c>
      <c r="B35" s="37" t="str">
        <f>IF(A35="","",Lists!$B$21)</f>
        <v>ชาเขียวครีมชีสโฟม</v>
      </c>
      <c r="C35" s="38">
        <f ca="1">IF(A35="","",SUMIFS(tblSales[จำนวนแก้ว],tblSales[เมนู],A35,tblSales[วันที่],"&gt;="&amp;$B$4,tblSales[วันที่],"&lt;="&amp;$D$4))</f>
        <v>0</v>
      </c>
      <c r="D35" s="39">
        <f ca="1">IF(A35="","",SUMIFS(tblSales[ยอดขาย (บาท)],tblSales[เมนู],A35,tblSales[วันที่],"&gt;="&amp;$B$4,tblSales[วันที่],"&lt;="&amp;$D$4))</f>
        <v>0</v>
      </c>
      <c r="E35" s="39">
        <f ca="1">IF(A35="","",SUMIFS(tblSales[ต้นทุนรวม (บาท)],tblSales[เมนู],A35,tblSales[วันที่],"&gt;="&amp;$B$4,tblSales[วันที่],"&lt;="&amp;$D$4))</f>
        <v>0</v>
      </c>
      <c r="F35" s="39">
        <f t="shared" ca="1" si="0"/>
        <v>0</v>
      </c>
      <c r="G35" s="40">
        <f t="shared" ca="1" si="1"/>
        <v>0</v>
      </c>
      <c r="H35" s="40">
        <f t="shared" ca="1" si="2"/>
        <v>0</v>
      </c>
    </row>
    <row r="36" spans="1:8" x14ac:dyDescent="0.25">
      <c r="A36" s="37" t="str">
        <f>IF(Lists!$A$22="","",Lists!$A$22)</f>
        <v>Pure Matcha Premium</v>
      </c>
      <c r="B36" s="37" t="str">
        <f>IF(A36="","",Lists!$B$22)</f>
        <v>เพียวมัทฉะ (มัทฉะน้ำใส)</v>
      </c>
      <c r="C36" s="38">
        <f ca="1">IF(A36="","",SUMIFS(tblSales[จำนวนแก้ว],tblSales[เมนู],A36,tblSales[วันที่],"&gt;="&amp;$B$4,tblSales[วันที่],"&lt;="&amp;$D$4))</f>
        <v>0</v>
      </c>
      <c r="D36" s="39">
        <f ca="1">IF(A36="","",SUMIFS(tblSales[ยอดขาย (บาท)],tblSales[เมนู],A36,tblSales[วันที่],"&gt;="&amp;$B$4,tblSales[วันที่],"&lt;="&amp;$D$4))</f>
        <v>0</v>
      </c>
      <c r="E36" s="39">
        <f ca="1">IF(A36="","",SUMIFS(tblSales[ต้นทุนรวม (บาท)],tblSales[เมนู],A36,tblSales[วันที่],"&gt;="&amp;$B$4,tblSales[วันที่],"&lt;="&amp;$D$4))</f>
        <v>0</v>
      </c>
      <c r="F36" s="39">
        <f t="shared" ref="F36:F38" ca="1" si="3">IF(A36="","",D36-E36)</f>
        <v>0</v>
      </c>
      <c r="G36" s="40">
        <f t="shared" ref="G36:G38" ca="1" si="4">IF(A36="","",IFERROR(F36/D36,0))</f>
        <v>0</v>
      </c>
      <c r="H36" s="40">
        <f t="shared" ref="H36:H38" ca="1" si="5">IF(A36="","",IFERROR(D36/$B$8,0))</f>
        <v>0</v>
      </c>
    </row>
    <row r="37" spans="1:8" x14ac:dyDescent="0.25">
      <c r="A37" s="37" t="str">
        <f>IF(Lists!$A$23="","",Lists!$A$23)</f>
        <v>Matcha Latte Premium</v>
      </c>
      <c r="B37" s="37" t="str">
        <f>IF(A37="","",Lists!$B$23)</f>
        <v>มัทฉะลาเต้พรีเมียม</v>
      </c>
      <c r="C37" s="38">
        <f ca="1">IF(A37="","",SUMIFS(tblSales[จำนวนแก้ว],tblSales[เมนู],A37,tblSales[วันที่],"&gt;="&amp;$B$4,tblSales[วันที่],"&lt;="&amp;$D$4))</f>
        <v>0</v>
      </c>
      <c r="D37" s="39">
        <f ca="1">IF(A37="","",SUMIFS(tblSales[ยอดขาย (บาท)],tblSales[เมนู],A37,tblSales[วันที่],"&gt;="&amp;$B$4,tblSales[วันที่],"&lt;="&amp;$D$4))</f>
        <v>0</v>
      </c>
      <c r="E37" s="39">
        <f ca="1">IF(A37="","",SUMIFS(tblSales[ต้นทุนรวม (บาท)],tblSales[เมนู],A37,tblSales[วันที่],"&gt;="&amp;$B$4,tblSales[วันที่],"&lt;="&amp;$D$4))</f>
        <v>0</v>
      </c>
      <c r="F37" s="39">
        <f t="shared" ca="1" si="3"/>
        <v>0</v>
      </c>
      <c r="G37" s="40">
        <f t="shared" ca="1" si="4"/>
        <v>0</v>
      </c>
      <c r="H37" s="40">
        <f t="shared" ca="1" si="5"/>
        <v>0</v>
      </c>
    </row>
    <row r="38" spans="1:8" x14ac:dyDescent="0.25">
      <c r="A38" s="37" t="str">
        <f>IF(Lists!$A$24="","",Lists!$A$24)</f>
        <v>Matcha Coconut Premium</v>
      </c>
      <c r="B38" s="37" t="str">
        <f>IF(A38="","",Lists!$B$24)</f>
        <v>มัทฉะน้ำมะพร้าวพรีเมียม</v>
      </c>
      <c r="C38" s="38">
        <f ca="1">IF(A38="","",SUMIFS(tblSales[จำนวนแก้ว],tblSales[เมนู],A38,tblSales[วันที่],"&gt;="&amp;$B$4,tblSales[วันที่],"&lt;="&amp;$D$4))</f>
        <v>0</v>
      </c>
      <c r="D38" s="39">
        <f ca="1">IF(A38="","",SUMIFS(tblSales[ยอดขาย (บาท)],tblSales[เมนู],A38,tblSales[วันที่],"&gt;="&amp;$B$4,tblSales[วันที่],"&lt;="&amp;$D$4))</f>
        <v>0</v>
      </c>
      <c r="E38" s="39">
        <f ca="1">IF(A38="","",SUMIFS(tblSales[ต้นทุนรวม (บาท)],tblSales[เมนู],A38,tblSales[วันที่],"&gt;="&amp;$B$4,tblSales[วันที่],"&lt;="&amp;$D$4))</f>
        <v>0</v>
      </c>
      <c r="F38" s="39">
        <f t="shared" ca="1" si="3"/>
        <v>0</v>
      </c>
      <c r="G38" s="40">
        <f t="shared" ca="1" si="4"/>
        <v>0</v>
      </c>
      <c r="H38" s="40">
        <f t="shared" ca="1" si="5"/>
        <v>0</v>
      </c>
    </row>
    <row r="39" spans="1:8" x14ac:dyDescent="0.25">
      <c r="A39" s="37" t="str">
        <f>IF(Lists!$A$25="","",Lists!$A$25)</f>
        <v>Matcha Strawberry Premium</v>
      </c>
      <c r="B39" s="37" t="str">
        <f>IF(A39="","",Lists!$B$25)</f>
        <v>สตรอว์เบอร์รี่มัทฉะลาเต้พรีเมียม</v>
      </c>
      <c r="C39" s="38">
        <f ca="1">IF(A39="","",SUMIFS(tblSales[จำนวนแก้ว],tblSales[เมนู],A39,tblSales[วันที่],"&gt;="&amp;$B$4,tblSales[วันที่],"&lt;="&amp;$D$4))</f>
        <v>0</v>
      </c>
      <c r="D39" s="39">
        <f ca="1">IF(A39="","",SUMIFS(tblSales[ยอดขาย (บาท)],tblSales[เมนู],A39,tblSales[วันที่],"&gt;="&amp;$B$4,tblSales[วันที่],"&lt;="&amp;$D$4))</f>
        <v>0</v>
      </c>
      <c r="E39" s="39">
        <f ca="1">IF(A39="","",SUMIFS(tblSales[ต้นทุนรวม (บาท)],tblSales[เมนู],A39,tblSales[วันที่],"&gt;="&amp;$B$4,tblSales[วันที่],"&lt;="&amp;$D$4))</f>
        <v>0</v>
      </c>
      <c r="F39" s="39">
        <f t="shared" ref="F39" ca="1" si="6">IF(A39="","",D39-E39)</f>
        <v>0</v>
      </c>
      <c r="G39" s="40">
        <f t="shared" ref="G39" ca="1" si="7">IF(A39="","",IFERROR(F39/D39,0))</f>
        <v>0</v>
      </c>
      <c r="H39" s="40">
        <f t="shared" ref="H39" ca="1" si="8">IF(A39="","",IFERROR(D39/$B$8,0))</f>
        <v>0</v>
      </c>
    </row>
    <row r="40" spans="1:8" x14ac:dyDescent="0.25">
      <c r="A40" s="41" t="str">
        <f>"รวม"</f>
        <v>รวม</v>
      </c>
      <c r="B40" s="41"/>
      <c r="C40" s="42">
        <f ca="1">SUM(C16:C39)</f>
        <v>0</v>
      </c>
      <c r="D40" s="43">
        <f ca="1">SUM(D16:D39)</f>
        <v>0</v>
      </c>
      <c r="E40" s="43">
        <f ca="1">SUM(E16:E39)</f>
        <v>0</v>
      </c>
      <c r="F40" s="43">
        <f ca="1">SUM(F16:F39)</f>
        <v>0</v>
      </c>
      <c r="G40" s="44">
        <f ca="1">IFERROR(F40/D40,0)</f>
        <v>0</v>
      </c>
      <c r="H40" s="44">
        <f ca="1">IFERROR(D40/$B$8,0)</f>
        <v>0</v>
      </c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27" t="s">
        <v>505</v>
      </c>
      <c r="B42" s="4"/>
      <c r="C42" s="4"/>
      <c r="D42" s="4"/>
      <c r="E42" s="4"/>
      <c r="F42" s="4"/>
      <c r="G42" s="4"/>
      <c r="H42" s="4"/>
    </row>
    <row r="43" spans="1:8" x14ac:dyDescent="0.25">
      <c r="A43" s="36" t="s">
        <v>192</v>
      </c>
      <c r="B43" s="36" t="s">
        <v>501</v>
      </c>
      <c r="C43" s="36" t="s">
        <v>481</v>
      </c>
      <c r="D43" s="36" t="s">
        <v>483</v>
      </c>
      <c r="E43" s="36" t="s">
        <v>34</v>
      </c>
      <c r="F43" s="4"/>
      <c r="G43" s="4"/>
      <c r="H43" s="4"/>
    </row>
    <row r="44" spans="1:8" x14ac:dyDescent="0.25">
      <c r="A44" s="47">
        <f ca="1">TODAY()-6</f>
        <v>46276</v>
      </c>
      <c r="B44" s="38">
        <f ca="1">SUMIFS(tblSales[จำนวนแก้ว],tblSales[วันที่],A44)</f>
        <v>0</v>
      </c>
      <c r="C44" s="39">
        <f ca="1">SUMIFS(tblSales[ยอดขาย (บาท)],tblSales[วันที่],A44)</f>
        <v>0</v>
      </c>
      <c r="D44" s="39">
        <f ca="1">SUMIFS(tblSales[กำไร (บาท)],tblSales[วันที่],A44)</f>
        <v>0</v>
      </c>
      <c r="E44" s="40">
        <f t="shared" ref="E44:E50" ca="1" si="9">IFERROR(D44/C44,0)</f>
        <v>0</v>
      </c>
      <c r="F44" s="4"/>
      <c r="G44" s="4"/>
      <c r="H44" s="4"/>
    </row>
    <row r="45" spans="1:8" x14ac:dyDescent="0.25">
      <c r="A45" s="47">
        <f ca="1">TODAY()-5</f>
        <v>46277</v>
      </c>
      <c r="B45" s="38">
        <f ca="1">SUMIFS(tblSales[จำนวนแก้ว],tblSales[วันที่],A45)</f>
        <v>0</v>
      </c>
      <c r="C45" s="39">
        <f ca="1">SUMIFS(tblSales[ยอดขาย (บาท)],tblSales[วันที่],A45)</f>
        <v>0</v>
      </c>
      <c r="D45" s="39">
        <f ca="1">SUMIFS(tblSales[กำไร (บาท)],tblSales[วันที่],A45)</f>
        <v>0</v>
      </c>
      <c r="E45" s="40">
        <f t="shared" ca="1" si="9"/>
        <v>0</v>
      </c>
      <c r="F45" s="4"/>
      <c r="G45" s="4"/>
      <c r="H45" s="4"/>
    </row>
    <row r="46" spans="1:8" x14ac:dyDescent="0.25">
      <c r="A46" s="47">
        <f ca="1">TODAY()-4</f>
        <v>46278</v>
      </c>
      <c r="B46" s="38">
        <f ca="1">SUMIFS(tblSales[จำนวนแก้ว],tblSales[วันที่],A46)</f>
        <v>0</v>
      </c>
      <c r="C46" s="39">
        <f ca="1">SUMIFS(tblSales[ยอดขาย (บาท)],tblSales[วันที่],A46)</f>
        <v>0</v>
      </c>
      <c r="D46" s="39">
        <f ca="1">SUMIFS(tblSales[กำไร (บาท)],tblSales[วันที่],A46)</f>
        <v>0</v>
      </c>
      <c r="E46" s="40">
        <f t="shared" ca="1" si="9"/>
        <v>0</v>
      </c>
      <c r="F46" s="4"/>
      <c r="G46" s="4"/>
      <c r="H46" s="4"/>
    </row>
    <row r="47" spans="1:8" x14ac:dyDescent="0.25">
      <c r="A47" s="47">
        <f ca="1">TODAY()-3</f>
        <v>46279</v>
      </c>
      <c r="B47" s="38">
        <f ca="1">SUMIFS(tblSales[จำนวนแก้ว],tblSales[วันที่],A47)</f>
        <v>0</v>
      </c>
      <c r="C47" s="39">
        <f ca="1">SUMIFS(tblSales[ยอดขาย (บาท)],tblSales[วันที่],A47)</f>
        <v>0</v>
      </c>
      <c r="D47" s="39">
        <f ca="1">SUMIFS(tblSales[กำไร (บาท)],tblSales[วันที่],A47)</f>
        <v>0</v>
      </c>
      <c r="E47" s="40">
        <f t="shared" ca="1" si="9"/>
        <v>0</v>
      </c>
      <c r="F47" s="4"/>
      <c r="G47" s="4"/>
      <c r="H47" s="4"/>
    </row>
    <row r="48" spans="1:8" x14ac:dyDescent="0.25">
      <c r="A48" s="47">
        <f ca="1">TODAY()-2</f>
        <v>46280</v>
      </c>
      <c r="B48" s="38">
        <f ca="1">SUMIFS(tblSales[จำนวนแก้ว],tblSales[วันที่],A48)</f>
        <v>0</v>
      </c>
      <c r="C48" s="39">
        <f ca="1">SUMIFS(tblSales[ยอดขาย (บาท)],tblSales[วันที่],A48)</f>
        <v>0</v>
      </c>
      <c r="D48" s="39">
        <f ca="1">SUMIFS(tblSales[กำไร (บาท)],tblSales[วันที่],A48)</f>
        <v>0</v>
      </c>
      <c r="E48" s="40">
        <f t="shared" ca="1" si="9"/>
        <v>0</v>
      </c>
      <c r="F48" s="4"/>
      <c r="G48" s="4"/>
      <c r="H48" s="4"/>
    </row>
    <row r="49" spans="1:5" x14ac:dyDescent="0.25">
      <c r="A49" s="47">
        <f ca="1">TODAY()-1</f>
        <v>46281</v>
      </c>
      <c r="B49" s="38">
        <f ca="1">SUMIFS(tblSales[จำนวนแก้ว],tblSales[วันที่],A49)</f>
        <v>0</v>
      </c>
      <c r="C49" s="39">
        <f ca="1">SUMIFS(tblSales[ยอดขาย (บาท)],tblSales[วันที่],A49)</f>
        <v>0</v>
      </c>
      <c r="D49" s="39">
        <f ca="1">SUMIFS(tblSales[กำไร (บาท)],tblSales[วันที่],A49)</f>
        <v>0</v>
      </c>
      <c r="E49" s="40">
        <f t="shared" ca="1" si="9"/>
        <v>0</v>
      </c>
    </row>
    <row r="50" spans="1:5" x14ac:dyDescent="0.25">
      <c r="A50" s="47">
        <f ca="1">TODAY()-0</f>
        <v>46282</v>
      </c>
      <c r="B50" s="38">
        <f ca="1">SUMIFS(tblSales[จำนวนแก้ว],tblSales[วันที่],A50)</f>
        <v>0</v>
      </c>
      <c r="C50" s="39">
        <f ca="1">SUMIFS(tblSales[ยอดขาย (บาท)],tblSales[วันที่],A50)</f>
        <v>0</v>
      </c>
      <c r="D50" s="39">
        <f ca="1">SUMIFS(tblSales[กำไร (บาท)],tblSales[วันที่],A50)</f>
        <v>0</v>
      </c>
      <c r="E50" s="40">
        <f t="shared" ca="1" si="9"/>
        <v>0</v>
      </c>
    </row>
  </sheetData>
  <conditionalFormatting sqref="O16:O30">
    <cfRule type="containsText" dxfId="7" priority="1" operator="containsText" text="หมด">
      <formula>NOT(ISERROR(SEARCH("หมด",O16)))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F39"/>
  <sheetViews>
    <sheetView showGridLines="0" zoomScaleNormal="100" workbookViewId="0">
      <selection activeCell="G31" sqref="G31"/>
    </sheetView>
  </sheetViews>
  <sheetFormatPr defaultColWidth="8.7109375" defaultRowHeight="15" x14ac:dyDescent="0.25"/>
  <cols>
    <col min="1" max="1" width="3" customWidth="1"/>
    <col min="2" max="2" width="30" customWidth="1"/>
    <col min="3" max="3" width="16" customWidth="1"/>
    <col min="4" max="4" width="10" customWidth="1"/>
    <col min="5" max="6" width="14" customWidth="1"/>
  </cols>
  <sheetData>
    <row r="2" spans="2:6" ht="27.75" customHeight="1" x14ac:dyDescent="0.3">
      <c r="B2" s="149" t="s">
        <v>0</v>
      </c>
      <c r="C2" s="149"/>
      <c r="D2" s="149"/>
      <c r="E2" s="149"/>
      <c r="F2" s="149"/>
    </row>
    <row r="3" spans="2:6" x14ac:dyDescent="0.25">
      <c r="B3" s="48" t="s">
        <v>1</v>
      </c>
      <c r="C3" s="49"/>
      <c r="D3" s="49"/>
      <c r="E3" s="49"/>
      <c r="F3" s="49"/>
    </row>
    <row r="4" spans="2:6" x14ac:dyDescent="0.25">
      <c r="B4" s="49"/>
      <c r="C4" s="49"/>
      <c r="D4" s="49"/>
      <c r="E4" s="49"/>
      <c r="F4" s="49"/>
    </row>
    <row r="5" spans="2:6" x14ac:dyDescent="0.25">
      <c r="B5" s="26" t="s">
        <v>2</v>
      </c>
      <c r="C5" s="50" t="s">
        <v>3</v>
      </c>
      <c r="D5" s="51" t="str">
        <f>IFERROR(INDEX(Lists!$B$2:$B$60,MATCH($C$5,Lists!$A$2:$A$60,0)),"")</f>
        <v>ชาไทยเย็น</v>
      </c>
      <c r="E5" s="49"/>
      <c r="F5" s="49"/>
    </row>
    <row r="6" spans="2:6" x14ac:dyDescent="0.25">
      <c r="B6" s="26" t="s">
        <v>4</v>
      </c>
      <c r="C6" s="50" t="s">
        <v>1046</v>
      </c>
      <c r="D6" s="49"/>
      <c r="E6" s="49"/>
      <c r="F6" s="49"/>
    </row>
    <row r="7" spans="2:6" x14ac:dyDescent="0.25">
      <c r="B7" s="26" t="s">
        <v>6</v>
      </c>
      <c r="C7" s="52" t="s">
        <v>7</v>
      </c>
      <c r="D7" s="49"/>
      <c r="E7" s="49"/>
      <c r="F7" s="49"/>
    </row>
    <row r="8" spans="2:6" x14ac:dyDescent="0.25">
      <c r="B8" s="49"/>
      <c r="C8" s="49"/>
      <c r="D8" s="49"/>
      <c r="E8" s="49"/>
      <c r="F8" s="49"/>
    </row>
    <row r="9" spans="2:6" ht="30" customHeight="1" x14ac:dyDescent="0.25">
      <c r="B9" s="26" t="s">
        <v>8</v>
      </c>
      <c r="C9" s="150" t="str">
        <f>IFERROR(INDEX(ตารางรวม!Y:Y,MATCH($C$5&amp;"|"&amp;$C$6&amp;"|"&amp;$C$7,ตารางรวม!$Z:$Z,0)),"")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D9" s="150"/>
      <c r="E9" s="150"/>
      <c r="F9" s="150"/>
    </row>
    <row r="10" spans="2:6" x14ac:dyDescent="0.25">
      <c r="B10" s="49"/>
      <c r="C10" s="150"/>
      <c r="D10" s="150"/>
      <c r="E10" s="150"/>
      <c r="F10" s="150"/>
    </row>
    <row r="11" spans="2:6" x14ac:dyDescent="0.25">
      <c r="B11" s="49"/>
      <c r="C11" s="49"/>
      <c r="D11" s="49"/>
      <c r="E11" s="49"/>
      <c r="F11" s="49"/>
    </row>
    <row r="12" spans="2:6" x14ac:dyDescent="0.25">
      <c r="B12" s="53" t="s">
        <v>9</v>
      </c>
      <c r="C12" s="53" t="s">
        <v>10</v>
      </c>
      <c r="D12" s="53" t="s">
        <v>11</v>
      </c>
      <c r="E12" s="49"/>
      <c r="F12" s="49"/>
    </row>
    <row r="13" spans="2:6" x14ac:dyDescent="0.25">
      <c r="B13" s="54" t="s">
        <v>12</v>
      </c>
      <c r="C13" s="55">
        <f>IFERROR(INDEX(ตารางรวม!D:D,MATCH($C$5&amp;"|"&amp;$C$6&amp;"|"&amp;$C$7,ตารางรวม!$Z:$Z,0)),"-")</f>
        <v>162.5</v>
      </c>
      <c r="D13" s="56" t="s">
        <v>13</v>
      </c>
      <c r="E13" s="49"/>
      <c r="F13" s="49"/>
    </row>
    <row r="14" spans="2:6" x14ac:dyDescent="0.25">
      <c r="B14" s="54" t="s">
        <v>14</v>
      </c>
      <c r="C14" s="55">
        <f>IFERROR(INDEX(ตารางรวม!E:E,MATCH($C$5&amp;"|"&amp;$C$6&amp;"|"&amp;$C$7,ตารางรวม!$Z:$Z,0)),"-")</f>
        <v>0</v>
      </c>
      <c r="D14" s="56" t="s">
        <v>13</v>
      </c>
      <c r="E14" s="49"/>
      <c r="F14" s="49"/>
    </row>
    <row r="15" spans="2:6" x14ac:dyDescent="0.25">
      <c r="B15" s="54" t="s">
        <v>15</v>
      </c>
      <c r="C15" s="55">
        <f>IFERROR(INDEX(ตารางรวม!F:F,MATCH($C$5&amp;"|"&amp;$C$6&amp;"|"&amp;$C$7,ตารางรวม!$Z:$Z,0)),"-")</f>
        <v>0</v>
      </c>
      <c r="D15" s="56" t="s">
        <v>13</v>
      </c>
      <c r="E15" s="49"/>
      <c r="F15" s="49"/>
    </row>
    <row r="16" spans="2:6" x14ac:dyDescent="0.25">
      <c r="B16" s="54" t="s">
        <v>16</v>
      </c>
      <c r="C16" s="55">
        <f>IFERROR(INDEX(ตารางรวม!G:G,MATCH($C$5&amp;"|"&amp;$C$6&amp;"|"&amp;$C$7,ตารางรวม!$Z:$Z,0)),"-")</f>
        <v>57.5</v>
      </c>
      <c r="D16" s="56" t="s">
        <v>13</v>
      </c>
      <c r="E16" s="49"/>
      <c r="F16" s="49"/>
    </row>
    <row r="17" spans="2:6" x14ac:dyDescent="0.25">
      <c r="B17" s="54" t="s">
        <v>17</v>
      </c>
      <c r="C17" s="55">
        <f>IFERROR(INDEX(ตารางรวม!H:H,MATCH($C$5&amp;"|"&amp;$C$6&amp;"|"&amp;$C$7,ตารางรวม!$Z:$Z,0)),"-")</f>
        <v>20</v>
      </c>
      <c r="D17" s="56" t="s">
        <v>13</v>
      </c>
      <c r="E17" s="49"/>
      <c r="F17" s="49"/>
    </row>
    <row r="18" spans="2:6" x14ac:dyDescent="0.25">
      <c r="B18" s="54" t="s">
        <v>18</v>
      </c>
      <c r="C18" s="55">
        <f>IFERROR(INDEX(ตารางรวม!I:I,MATCH($C$5&amp;"|"&amp;$C$6&amp;"|"&amp;$C$7,ตารางรวม!$Z:$Z,0)),"-")</f>
        <v>20.8</v>
      </c>
      <c r="D18" s="56" t="s">
        <v>13</v>
      </c>
      <c r="E18" s="49"/>
      <c r="F18" s="49"/>
    </row>
    <row r="19" spans="2:6" x14ac:dyDescent="0.25">
      <c r="B19" s="54" t="s">
        <v>19</v>
      </c>
      <c r="C19" s="55">
        <f>IFERROR(INDEX(ตารางรวม!J:J,MATCH($C$5&amp;"|"&amp;$C$6&amp;"|"&amp;$C$7,ตารางรวม!$Z:$Z,0)),"-")</f>
        <v>0</v>
      </c>
      <c r="D19" s="56" t="s">
        <v>13</v>
      </c>
      <c r="E19" s="49"/>
      <c r="F19" s="49"/>
    </row>
    <row r="20" spans="2:6" x14ac:dyDescent="0.25">
      <c r="B20" s="54" t="s">
        <v>20</v>
      </c>
      <c r="C20" s="55">
        <f>IFERROR(INDEX(ตารางรวม!K:K,MATCH($C$5&amp;"|"&amp;$C$6&amp;"|"&amp;$C$7,ตารางรวม!$Z:$Z,0)),"-")</f>
        <v>0</v>
      </c>
      <c r="D20" s="56" t="s">
        <v>21</v>
      </c>
      <c r="E20" s="49"/>
      <c r="F20" s="49"/>
    </row>
    <row r="21" spans="2:6" x14ac:dyDescent="0.25">
      <c r="B21" s="54" t="s">
        <v>22</v>
      </c>
      <c r="C21" s="55">
        <f>IFERROR(INDEX(ตารางรวม!L:L,MATCH($C$5&amp;"|"&amp;$C$6&amp;"|"&amp;$C$7,ตารางรวม!$Z:$Z,0)),"-")</f>
        <v>0</v>
      </c>
      <c r="D21" s="56" t="s">
        <v>13</v>
      </c>
      <c r="E21" s="49"/>
      <c r="F21" s="49"/>
    </row>
    <row r="22" spans="2:6" x14ac:dyDescent="0.25">
      <c r="B22" s="54" t="s">
        <v>23</v>
      </c>
      <c r="C22" s="55">
        <f>IFERROR(INDEX(ตารางรวม!M:M,MATCH($C$5&amp;"|"&amp;$C$6&amp;"|"&amp;$C$7,ตารางรวม!$Z:$Z,0)),"-")</f>
        <v>0</v>
      </c>
      <c r="D22" s="56" t="s">
        <v>13</v>
      </c>
      <c r="E22" s="49"/>
      <c r="F22" s="49"/>
    </row>
    <row r="23" spans="2:6" x14ac:dyDescent="0.25">
      <c r="B23" s="54" t="s">
        <v>24</v>
      </c>
      <c r="C23" s="55">
        <f>IFERROR(INDEX(ตารางรวม!N:N,MATCH($C$5&amp;"|"&amp;$C$6&amp;"|"&amp;$C$7,ตารางรวม!$Z:$Z,0)),"-")</f>
        <v>0</v>
      </c>
      <c r="D23" s="56" t="s">
        <v>21</v>
      </c>
      <c r="E23" s="49"/>
      <c r="F23" s="49"/>
    </row>
    <row r="24" spans="2:6" x14ac:dyDescent="0.25">
      <c r="B24" s="54" t="s">
        <v>25</v>
      </c>
      <c r="C24" s="55">
        <f>IFERROR(INDEX(ตารางรวม!O:O,MATCH($C$5&amp;"|"&amp;$C$6&amp;"|"&amp;$C$7,ตารางรวม!$Z:$Z,0)),"-")</f>
        <v>0</v>
      </c>
      <c r="D24" s="56" t="s">
        <v>13</v>
      </c>
      <c r="E24" s="49"/>
      <c r="F24" s="49"/>
    </row>
    <row r="25" spans="2:6" x14ac:dyDescent="0.25">
      <c r="B25" s="54" t="s">
        <v>26</v>
      </c>
      <c r="C25" s="55">
        <f>IFERROR(INDEX(ตารางรวม!P:P,MATCH($C$5&amp;"|"&amp;$C$6&amp;"|"&amp;$C$7,ตารางรวม!$Z:$Z,0)),"-")</f>
        <v>0</v>
      </c>
      <c r="D25" s="56" t="s">
        <v>13</v>
      </c>
      <c r="E25" s="49"/>
      <c r="F25" s="49"/>
    </row>
    <row r="26" spans="2:6" x14ac:dyDescent="0.25">
      <c r="B26" s="54" t="s">
        <v>27</v>
      </c>
      <c r="C26" s="55">
        <f>IFERROR(INDEX(ตารางรวม!Q:Q,MATCH($C$5&amp;"|"&amp;$C$6&amp;"|"&amp;$C$7,ตารางรวม!$Z:$Z,0)),"-")</f>
        <v>0</v>
      </c>
      <c r="D26" s="56" t="s">
        <v>21</v>
      </c>
      <c r="E26" s="49"/>
      <c r="F26" s="49"/>
    </row>
    <row r="27" spans="2:6" x14ac:dyDescent="0.25">
      <c r="B27" s="54" t="s">
        <v>28</v>
      </c>
      <c r="C27" s="55">
        <f>IFERROR(INDEX(ตารางรวม!R:R,MATCH($C$5&amp;"|"&amp;$C$6&amp;"|"&amp;$C$7,ตารางรวม!$Z:$Z,0)),"-")</f>
        <v>300</v>
      </c>
      <c r="D27" s="56" t="s">
        <v>21</v>
      </c>
      <c r="E27" s="49"/>
      <c r="F27" s="49"/>
    </row>
    <row r="28" spans="2:6" x14ac:dyDescent="0.25">
      <c r="B28" s="54" t="s">
        <v>601</v>
      </c>
      <c r="C28" s="55">
        <f>IFERROR(INDEX(ตารางรวม!S:S,MATCH($C$5&amp;"|"&amp;$C$6&amp;"|"&amp;$C$7,ตารางรวม!$Z:$Z,0)),"-")</f>
        <v>0</v>
      </c>
      <c r="D28" s="56"/>
      <c r="E28" s="49"/>
      <c r="F28" s="49"/>
    </row>
    <row r="29" spans="2:6" x14ac:dyDescent="0.25">
      <c r="B29" s="54" t="s">
        <v>824</v>
      </c>
      <c r="C29" s="55">
        <f>IFERROR(INDEX(ตารางรวม!T:T,MATCH($C$5&amp;"|"&amp;$C$6&amp;"|"&amp;$C$7,ตารางรวม!$Z:$Z,0)),"-")</f>
        <v>0</v>
      </c>
      <c r="D29" s="56"/>
      <c r="E29" s="49"/>
      <c r="F29" s="49"/>
    </row>
    <row r="30" spans="2:6" x14ac:dyDescent="0.25">
      <c r="B30" s="49"/>
      <c r="C30" s="49"/>
      <c r="D30" s="49"/>
      <c r="E30" s="49"/>
      <c r="F30" s="49"/>
    </row>
    <row r="31" spans="2:6" x14ac:dyDescent="0.25">
      <c r="B31" s="57" t="s">
        <v>29</v>
      </c>
      <c r="C31" s="58">
        <f>IFERROR(INDEX(ตารางรวม!U:U,MATCH($C$5&amp;"|"&amp;$C$6&amp;"|"&amp;$C$7,ตารางรวม!$Z:$Z,0)),"-")</f>
        <v>260.8</v>
      </c>
      <c r="D31" s="56" t="s">
        <v>13</v>
      </c>
      <c r="E31" s="49"/>
      <c r="F31" s="49"/>
    </row>
    <row r="32" spans="2:6" x14ac:dyDescent="0.25">
      <c r="B32" s="57" t="s">
        <v>30</v>
      </c>
      <c r="C32" s="59">
        <f>IFERROR(INDEX(ตารางรวม!V:V,MATCH($C$5&amp;"|"&amp;$C$6&amp;"|"&amp;$C$7,ตารางรวม!$Z:$Z,0)),"-")</f>
        <v>18.04</v>
      </c>
      <c r="D32" s="56" t="s">
        <v>31</v>
      </c>
      <c r="E32" s="49"/>
      <c r="F32" s="49"/>
    </row>
    <row r="33" spans="2:6" x14ac:dyDescent="0.25">
      <c r="B33" s="57" t="s">
        <v>32</v>
      </c>
      <c r="C33" s="58">
        <f>IFERROR(INDEX(ตารางรวม!W:W,MATCH($C$5&amp;"|"&amp;$C$6&amp;"|"&amp;$C$7,ตารางรวม!$Z:$Z,0)),"-")</f>
        <v>50</v>
      </c>
      <c r="D33" s="56" t="s">
        <v>31</v>
      </c>
      <c r="E33" s="116" t="s">
        <v>819</v>
      </c>
      <c r="F33" s="117"/>
    </row>
    <row r="34" spans="2:6" x14ac:dyDescent="0.25">
      <c r="B34" s="57" t="s">
        <v>33</v>
      </c>
      <c r="C34" s="59">
        <f>IFERROR(C33-C32,"")</f>
        <v>31.96</v>
      </c>
      <c r="D34" s="56" t="s">
        <v>31</v>
      </c>
      <c r="E34" s="118" t="s">
        <v>820</v>
      </c>
      <c r="F34" s="115">
        <v>0.6</v>
      </c>
    </row>
    <row r="35" spans="2:6" x14ac:dyDescent="0.25">
      <c r="B35" s="57" t="s">
        <v>34</v>
      </c>
      <c r="C35" s="60">
        <f>IFERROR(INDEX(ตารางรวม!X:X,MATCH($C$5&amp;"|"&amp;$C$6&amp;"|"&amp;$C$7,ตารางรวม!$Z:$Z,0)),"-")</f>
        <v>0.63919999999999999</v>
      </c>
      <c r="D35" s="61"/>
      <c r="E35" s="118" t="s">
        <v>821</v>
      </c>
      <c r="F35" s="115">
        <v>0.55000000000000004</v>
      </c>
    </row>
    <row r="36" spans="2:6" x14ac:dyDescent="0.25">
      <c r="B36" s="57" t="s">
        <v>35</v>
      </c>
      <c r="C36" s="54" t="str">
        <f>IF(C35="-","",IF(C35&gt;=$F$34,"ผ่าน (&gt;="&amp;TEXT($F$34,"0%")&amp;")",IF(C35&gt;=$F$35,"เฝ้าระวัง ("&amp;TEXT($F$35,"0%")&amp;"-"&amp;TEXT($F$34,"0%")&amp;")","ต่ำเกินไป - ปรับราคาหรือสูตร")))</f>
        <v>ผ่าน (&gt;=60%)</v>
      </c>
      <c r="D36" s="61"/>
      <c r="E36" s="118" t="s">
        <v>822</v>
      </c>
      <c r="F36" s="117"/>
    </row>
    <row r="37" spans="2:6" x14ac:dyDescent="0.25">
      <c r="B37" s="49"/>
      <c r="C37" s="49"/>
      <c r="D37" s="49"/>
      <c r="E37" s="49"/>
      <c r="F37" s="49"/>
    </row>
    <row r="38" spans="2:6" x14ac:dyDescent="0.25">
      <c r="B38" s="48" t="s">
        <v>36</v>
      </c>
      <c r="C38" s="49"/>
      <c r="D38" s="49"/>
      <c r="E38" s="49"/>
      <c r="F38" s="49"/>
    </row>
    <row r="39" spans="2:6" x14ac:dyDescent="0.25">
      <c r="B39" s="48" t="s">
        <v>37</v>
      </c>
      <c r="C39" s="49"/>
      <c r="D39" s="49"/>
      <c r="E39" s="49"/>
      <c r="F39" s="49"/>
    </row>
  </sheetData>
  <mergeCells count="2">
    <mergeCell ref="B2:F2"/>
    <mergeCell ref="C9:F10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2000000}">
          <x14:formula1>
            <xm:f>Lists!$F$2:$F$6</xm:f>
          </x14:formula1>
          <x14:formula2>
            <xm:f>0</xm:f>
          </x14:formula2>
          <xm:sqref>C7</xm:sqref>
        </x14:dataValidation>
        <x14:dataValidation type="list" allowBlank="1" showInputMessage="1" showErrorMessage="1" xr:uid="{21B5D21A-8AE6-BF48-8D1A-23F2EA22FF33}">
          <x14:formula1>
            <xm:f>Lists!$A$2:$A$60</xm:f>
          </x14:formula1>
          <xm:sqref>C5</xm:sqref>
        </x14:dataValidation>
        <x14:dataValidation type="list" allowBlank="1" showInputMessage="1" showErrorMessage="1" xr:uid="{31808E3F-5C40-468D-BAEC-4A0B9A0B135A}">
          <x14:formula1>
            <xm:f>Lists!$E$2:$E$4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D361"/>
  <sheetViews>
    <sheetView showGridLines="0" zoomScaleNormal="100" workbookViewId="0">
      <pane xSplit="4" ySplit="1" topLeftCell="E227" activePane="bottomRight" state="frozen"/>
      <selection pane="topRight" activeCell="E1" sqref="E1"/>
      <selection pane="bottomLeft" activeCell="A2" sqref="A2"/>
      <selection pane="bottomRight" activeCell="A242" sqref="A242:XFD246"/>
    </sheetView>
  </sheetViews>
  <sheetFormatPr defaultColWidth="8.7109375" defaultRowHeight="15" x14ac:dyDescent="0.25"/>
  <cols>
    <col min="1" max="1" width="30" customWidth="1"/>
    <col min="2" max="2" width="19" customWidth="1"/>
    <col min="3" max="4" width="10" customWidth="1"/>
    <col min="5" max="19" width="11" customWidth="1"/>
    <col min="20" max="20" width="10.85546875" bestFit="1" customWidth="1"/>
    <col min="21" max="21" width="11" customWidth="1"/>
    <col min="22" max="25" width="13" customWidth="1"/>
    <col min="26" max="26" width="255.7109375" bestFit="1" customWidth="1"/>
  </cols>
  <sheetData>
    <row r="1" spans="1:30" ht="45.75" customHeight="1" x14ac:dyDescent="0.25">
      <c r="A1" s="62" t="s">
        <v>60</v>
      </c>
      <c r="B1" s="62" t="s">
        <v>2</v>
      </c>
      <c r="C1" s="62" t="s">
        <v>40</v>
      </c>
      <c r="D1" s="62" t="s">
        <v>41</v>
      </c>
      <c r="E1" s="62" t="s">
        <v>42</v>
      </c>
      <c r="F1" s="62" t="s">
        <v>43</v>
      </c>
      <c r="G1" s="62" t="s">
        <v>44</v>
      </c>
      <c r="H1" s="62" t="s">
        <v>45</v>
      </c>
      <c r="I1" s="62" t="s">
        <v>46</v>
      </c>
      <c r="J1" s="62" t="s">
        <v>47</v>
      </c>
      <c r="K1" s="62" t="s">
        <v>48</v>
      </c>
      <c r="L1" s="62" t="s">
        <v>49</v>
      </c>
      <c r="M1" s="62" t="s">
        <v>50</v>
      </c>
      <c r="N1" s="62" t="s">
        <v>51</v>
      </c>
      <c r="O1" s="62" t="s">
        <v>52</v>
      </c>
      <c r="P1" s="62" t="s">
        <v>53</v>
      </c>
      <c r="Q1" s="62" t="s">
        <v>54</v>
      </c>
      <c r="R1" s="62" t="s">
        <v>55</v>
      </c>
      <c r="S1" s="62" t="s">
        <v>56</v>
      </c>
      <c r="T1" s="62" t="s">
        <v>600</v>
      </c>
      <c r="U1" s="62" t="s">
        <v>823</v>
      </c>
      <c r="V1" s="62" t="s">
        <v>57</v>
      </c>
      <c r="W1" s="62" t="s">
        <v>61</v>
      </c>
      <c r="X1" s="62" t="s">
        <v>62</v>
      </c>
      <c r="Y1" s="62" t="s">
        <v>34</v>
      </c>
      <c r="Z1" s="62" t="s">
        <v>59</v>
      </c>
      <c r="AB1" s="148" t="s">
        <v>1056</v>
      </c>
      <c r="AD1" s="194" t="s">
        <v>1217</v>
      </c>
    </row>
    <row r="2" spans="1:30" x14ac:dyDescent="0.25">
      <c r="A2" s="4" t="str">
        <f t="shared" ref="A2:A33" si="0">IF($B2="","",$B2&amp;"|"&amp;$C2&amp;"|"&amp;$D2)</f>
        <v>Original|16 oz|0%</v>
      </c>
      <c r="B2" s="4" t="s">
        <v>3</v>
      </c>
      <c r="C2" s="4" t="s">
        <v>5</v>
      </c>
      <c r="D2" s="4" t="s">
        <v>63</v>
      </c>
      <c r="E2" s="63">
        <v>130</v>
      </c>
      <c r="F2" s="63">
        <v>0</v>
      </c>
      <c r="G2" s="63">
        <v>0</v>
      </c>
      <c r="H2" s="63">
        <v>58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63">
        <v>0</v>
      </c>
      <c r="P2" s="63">
        <v>0</v>
      </c>
      <c r="Q2" s="63">
        <v>0</v>
      </c>
      <c r="R2" s="63">
        <v>0</v>
      </c>
      <c r="S2" s="63">
        <v>240</v>
      </c>
      <c r="T2" s="63">
        <v>0</v>
      </c>
      <c r="U2" s="63">
        <v>0</v>
      </c>
      <c r="V2" s="65">
        <f>E2+F2+G2+H2+I2+J2+K2+M2+N2+P2+Q2+T2+U2</f>
        <v>188</v>
      </c>
      <c r="W2" s="8">
        <f>ROUND(E2*ต้นทุนและราคา!$C$4+F2*ต้นทุนและราคา!$C$5+G2*ต้นทุนและราคา!$C$6+H2*ต้นทุนและราคา!$C$7+I2*ต้นทุนและราคา!$C$8+J2*ต้นทุนและราคา!$C$9+K2*ต้นทุนและราคา!$C$10+L2*ต้นทุนและราคา!$C$11+M2*ต้นทุนและราคา!$C$12+N2*ต้นทุนและราคา!$C$13+O2*ต้นทุนและราคา!$C$14+P2*ต้นทุนและราคา!$C$15+Q2*ต้นทุนและราคา!$C$16+R2*ต้นทุนและราคา!$C$17+S2*ต้นทุนและราคา!$C$18+T2*ต้นทุนและราคา!$C$19+U2*ต้นทุนและราคา!$C$20+IF($C2="16 oz",ต้นทุนและราคา!$C$21,IF($C2="20 oz",ต้นทุนและราคา!$C$22,ต้นทุนและราคา!$C$23)),2)</f>
        <v>14.26</v>
      </c>
      <c r="X2" s="64" cm="1">
        <f t="array" ref="X2">IFERROR(INDEX(ต้นทุนและราคา!$C$26:$E$101,MATCH($B2,ต้นทุนและราคา!$A$26:$A$101,0),IF($C2="16 oz",1,IF($C2="20 oz",2,3))),"")</f>
        <v>45</v>
      </c>
      <c r="Y2" s="66">
        <f t="shared" ref="Y2:Y33" si="1">IFERROR(($X2-$W2)/$X2,"")</f>
        <v>0.68311111111111111</v>
      </c>
      <c r="Z2" s="48" t="s">
        <v>894</v>
      </c>
      <c r="AB2" s="129">
        <v>1.25</v>
      </c>
      <c r="AD2" s="195">
        <v>0.128</v>
      </c>
    </row>
    <row r="3" spans="1:30" x14ac:dyDescent="0.25">
      <c r="A3" s="4" t="str">
        <f t="shared" si="0"/>
        <v>Original|16 oz|25%</v>
      </c>
      <c r="B3" s="4" t="s">
        <v>3</v>
      </c>
      <c r="C3" s="4" t="s">
        <v>5</v>
      </c>
      <c r="D3" s="4" t="s">
        <v>64</v>
      </c>
      <c r="E3" s="63">
        <v>130</v>
      </c>
      <c r="F3" s="63">
        <v>0</v>
      </c>
      <c r="G3" s="63">
        <v>0</v>
      </c>
      <c r="H3" s="63">
        <v>52</v>
      </c>
      <c r="I3" s="63">
        <v>8</v>
      </c>
      <c r="J3" s="63">
        <v>16.600000000000001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3">
        <v>240</v>
      </c>
      <c r="T3" s="63">
        <v>0</v>
      </c>
      <c r="U3" s="63">
        <v>0</v>
      </c>
      <c r="V3" s="65">
        <f t="shared" ref="V3:V66" si="2">E3+F3+G3+H3+I3+J3+K3+M3+N3+P3+Q3+T3+U3</f>
        <v>206.6</v>
      </c>
      <c r="W3" s="8">
        <f>ROUND(E3*ต้นทุนและราคา!$C$4+F3*ต้นทุนและราคา!$C$5+G3*ต้นทุนและราคา!$C$6+H3*ต้นทุนและราคา!$C$7+I3*ต้นทุนและราคา!$C$8+J3*ต้นทุนและราคา!$C$9+K3*ต้นทุนและราคา!$C$10+L3*ต้นทุนและราคา!$C$11+M3*ต้นทุนและราคา!$C$12+N3*ต้นทุนและราคา!$C$13+O3*ต้นทุนและราคา!$C$14+P3*ต้นทุนและราคา!$C$15+Q3*ต้นทุนและราคา!$C$16+R3*ต้นทุนและราคา!$C$17+S3*ต้นทุนและราคา!$C$18+T3*ต้นทุนและราคา!$C$19+U3*ต้นทุนและราคา!$C$20+IF($C3="16 oz",ต้นทุนและราคา!$C$21,IF($C3="20 oz",ต้นทุนและราคา!$C$22,ต้นทุนและราคา!$C$23)),2)</f>
        <v>14.64</v>
      </c>
      <c r="X3" s="64" cm="1">
        <f t="array" ref="X3">IFERROR(INDEX(ต้นทุนและราคา!$C$26:$E$101,MATCH($B3,ต้นทุนและราคา!$A$26:$A$101,0),IF($C3="16 oz",1,IF($C3="20 oz",2,3))),"")</f>
        <v>45</v>
      </c>
      <c r="Y3" s="66">
        <f t="shared" si="1"/>
        <v>0.67466666666666664</v>
      </c>
      <c r="Z3" s="48" t="s">
        <v>895</v>
      </c>
    </row>
    <row r="4" spans="1:30" x14ac:dyDescent="0.25">
      <c r="A4" s="4" t="str">
        <f t="shared" si="0"/>
        <v>Original|16 oz|50%</v>
      </c>
      <c r="B4" s="4" t="s">
        <v>3</v>
      </c>
      <c r="C4" s="4" t="s">
        <v>5</v>
      </c>
      <c r="D4" s="4" t="s">
        <v>7</v>
      </c>
      <c r="E4" s="63">
        <v>130</v>
      </c>
      <c r="F4" s="63">
        <v>0</v>
      </c>
      <c r="G4" s="63">
        <v>0</v>
      </c>
      <c r="H4" s="63">
        <v>46</v>
      </c>
      <c r="I4" s="63">
        <v>16</v>
      </c>
      <c r="J4" s="63">
        <v>16.600000000000001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240</v>
      </c>
      <c r="T4" s="63">
        <v>0</v>
      </c>
      <c r="U4" s="63">
        <v>0</v>
      </c>
      <c r="V4" s="65">
        <f t="shared" si="2"/>
        <v>208.6</v>
      </c>
      <c r="W4" s="8">
        <f>ROUND(E4*ต้นทุนและราคา!$C$4+F4*ต้นทุนและราคา!$C$5+G4*ต้นทุนและราคา!$C$6+H4*ต้นทุนและราคา!$C$7+I4*ต้นทุนและราคา!$C$8+J4*ต้นทุนและราคา!$C$9+K4*ต้นทุนและราคา!$C$10+L4*ต้นทุนและราคา!$C$11+M4*ต้นทุนและราคา!$C$12+N4*ต้นทุนและราคา!$C$13+O4*ต้นทุนและราคา!$C$14+P4*ต้นทุนและราคา!$C$15+Q4*ต้นทุนและราคา!$C$16+R4*ต้นทุนและราคา!$C$17+S4*ต้นทุนและราคา!$C$18+T4*ต้นทุนและราคา!$C$19+U4*ต้นทุนและราคา!$C$20+IF($C4="16 oz",ต้นทุนและราคา!$C$21,IF($C4="20 oz",ต้นทุนและราคา!$C$22,ต้นทุนและราคา!$C$23)),2)</f>
        <v>14.75</v>
      </c>
      <c r="X4" s="64" cm="1">
        <f t="array" ref="X4">IFERROR(INDEX(ต้นทุนและราคา!$C$26:$E$101,MATCH($B4,ต้นทุนและราคา!$A$26:$A$101,0),IF($C4="16 oz",1,IF($C4="20 oz",2,3))),"")</f>
        <v>45</v>
      </c>
      <c r="Y4" s="66">
        <f t="shared" si="1"/>
        <v>0.67222222222222228</v>
      </c>
      <c r="Z4" s="48" t="s">
        <v>895</v>
      </c>
    </row>
    <row r="5" spans="1:30" x14ac:dyDescent="0.25">
      <c r="A5" s="4" t="str">
        <f t="shared" si="0"/>
        <v>Original|16 oz|75%</v>
      </c>
      <c r="B5" s="4" t="s">
        <v>3</v>
      </c>
      <c r="C5" s="4" t="s">
        <v>5</v>
      </c>
      <c r="D5" s="4" t="s">
        <v>65</v>
      </c>
      <c r="E5" s="63">
        <v>130</v>
      </c>
      <c r="F5" s="63">
        <v>0</v>
      </c>
      <c r="G5" s="63">
        <v>0</v>
      </c>
      <c r="H5" s="63">
        <v>40</v>
      </c>
      <c r="I5" s="63">
        <v>24</v>
      </c>
      <c r="J5" s="63">
        <v>16.600000000000001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240</v>
      </c>
      <c r="T5" s="63">
        <v>0</v>
      </c>
      <c r="U5" s="63">
        <v>0</v>
      </c>
      <c r="V5" s="65">
        <f t="shared" si="2"/>
        <v>210.6</v>
      </c>
      <c r="W5" s="8">
        <f>ROUND(E5*ต้นทุนและราคา!$C$4+F5*ต้นทุนและราคา!$C$5+G5*ต้นทุนและราคา!$C$6+H5*ต้นทุนและราคา!$C$7+I5*ต้นทุนและราคา!$C$8+J5*ต้นทุนและราคา!$C$9+K5*ต้นทุนและราคา!$C$10+L5*ต้นทุนและราคา!$C$11+M5*ต้นทุนและราคา!$C$12+N5*ต้นทุนและราคา!$C$13+O5*ต้นทุนและราคา!$C$14+P5*ต้นทุนและราคา!$C$15+Q5*ต้นทุนและราคา!$C$16+R5*ต้นทุนและราคา!$C$17+S5*ต้นทุนและราคา!$C$18+T5*ต้นทุนและราคา!$C$19+U5*ต้นทุนและราคา!$C$20+IF($C5="16 oz",ต้นทุนและราคา!$C$21,IF($C5="20 oz",ต้นทุนและราคา!$C$22,ต้นทุนและราคา!$C$23)),2)</f>
        <v>14.86</v>
      </c>
      <c r="X5" s="64" cm="1">
        <f t="array" ref="X5">IFERROR(INDEX(ต้นทุนและราคา!$C$26:$E$101,MATCH($B5,ต้นทุนและราคา!$A$26:$A$101,0),IF($C5="16 oz",1,IF($C5="20 oz",2,3))),"")</f>
        <v>45</v>
      </c>
      <c r="Y5" s="66">
        <f t="shared" si="1"/>
        <v>0.66977777777777781</v>
      </c>
      <c r="Z5" s="48" t="s">
        <v>895</v>
      </c>
    </row>
    <row r="6" spans="1:30" x14ac:dyDescent="0.25">
      <c r="A6" s="4" t="str">
        <f t="shared" si="0"/>
        <v>Original|16 oz|100%</v>
      </c>
      <c r="B6" s="4" t="s">
        <v>3</v>
      </c>
      <c r="C6" s="4" t="s">
        <v>5</v>
      </c>
      <c r="D6" s="4" t="s">
        <v>66</v>
      </c>
      <c r="E6" s="63">
        <v>130</v>
      </c>
      <c r="F6" s="63">
        <v>0</v>
      </c>
      <c r="G6" s="63">
        <v>0</v>
      </c>
      <c r="H6" s="63">
        <v>34</v>
      </c>
      <c r="I6" s="63">
        <v>32</v>
      </c>
      <c r="J6" s="63">
        <v>16.600000000000001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240</v>
      </c>
      <c r="T6" s="63">
        <v>0</v>
      </c>
      <c r="U6" s="63">
        <v>0</v>
      </c>
      <c r="V6" s="65">
        <f t="shared" si="2"/>
        <v>212.6</v>
      </c>
      <c r="W6" s="8">
        <f>ROUND(E6*ต้นทุนและราคา!$C$4+F6*ต้นทุนและราคา!$C$5+G6*ต้นทุนและราคา!$C$6+H6*ต้นทุนและราคา!$C$7+I6*ต้นทุนและราคา!$C$8+J6*ต้นทุนและราคา!$C$9+K6*ต้นทุนและราคา!$C$10+L6*ต้นทุนและราคา!$C$11+M6*ต้นทุนและราคา!$C$12+N6*ต้นทุนและราคา!$C$13+O6*ต้นทุนและราคา!$C$14+P6*ต้นทุนและราคา!$C$15+Q6*ต้นทุนและราคา!$C$16+R6*ต้นทุนและราคา!$C$17+S6*ต้นทุนและราคา!$C$18+T6*ต้นทุนและราคา!$C$19+U6*ต้นทุนและราคา!$C$20+IF($C6="16 oz",ต้นทุนและราคา!$C$21,IF($C6="20 oz",ต้นทุนและราคา!$C$22,ต้นทุนและราคา!$C$23)),2)</f>
        <v>14.97</v>
      </c>
      <c r="X6" s="64" cm="1">
        <f t="array" ref="X6">IFERROR(INDEX(ต้นทุนและราคา!$C$26:$E$101,MATCH($B6,ต้นทุนและราคา!$A$26:$A$101,0),IF($C6="16 oz",1,IF($C6="20 oz",2,3))),"")</f>
        <v>45</v>
      </c>
      <c r="Y6" s="66">
        <f t="shared" si="1"/>
        <v>0.66733333333333333</v>
      </c>
      <c r="Z6" s="48" t="s">
        <v>895</v>
      </c>
    </row>
    <row r="7" spans="1:30" x14ac:dyDescent="0.25">
      <c r="A7" s="4" t="str">
        <f t="shared" si="0"/>
        <v>Original|22 oz|0%</v>
      </c>
      <c r="B7" s="4" t="s">
        <v>3</v>
      </c>
      <c r="C7" s="4" t="s">
        <v>67</v>
      </c>
      <c r="D7" s="4" t="s">
        <v>63</v>
      </c>
      <c r="E7" s="63">
        <v>179</v>
      </c>
      <c r="F7" s="63">
        <v>0</v>
      </c>
      <c r="G7" s="63">
        <v>0</v>
      </c>
      <c r="H7" s="63">
        <v>80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330</v>
      </c>
      <c r="T7" s="63">
        <v>0</v>
      </c>
      <c r="U7" s="63">
        <v>0</v>
      </c>
      <c r="V7" s="65">
        <f t="shared" si="2"/>
        <v>259</v>
      </c>
      <c r="W7" s="8">
        <f>ROUND(E7*ต้นทุนและราคา!$C$4+F7*ต้นทุนและราคา!$C$5+G7*ต้นทุนและราคา!$C$6+H7*ต้นทุนและราคา!$C$7+I7*ต้นทุนและราคา!$C$8+J7*ต้นทุนและราคา!$C$9+K7*ต้นทุนและราคา!$C$10+L7*ต้นทุนและราคา!$C$11+M7*ต้นทุนและราคา!$C$12+N7*ต้นทุนและราคา!$C$13+O7*ต้นทุนและราคา!$C$14+P7*ต้นทุนและราคา!$C$15+Q7*ต้นทุนและราคา!$C$16+R7*ต้นทุนและราคา!$C$17+S7*ต้นทุนและราคา!$C$18+T7*ต้นทุนและราคา!$C$19+U7*ต้นทุนและราคา!$C$20+IF($C7="16 oz",ต้นทุนและราคา!$C$21,IF($C7="20 oz",ต้นทุนและราคา!$C$22,ต้นทุนและราคา!$C$23)),2)</f>
        <v>18.93</v>
      </c>
      <c r="X7" s="64" cm="1">
        <f t="array" ref="X7">IFERROR(INDEX(ต้นทุนและราคา!$C$26:$E$101,MATCH($B7,ต้นทุนและราคา!$A$26:$A$101,0),IF($C7="16 oz",1,IF($C7="20 oz",2,3))),"")</f>
        <v>55</v>
      </c>
      <c r="Y7" s="66">
        <f t="shared" si="1"/>
        <v>0.65581818181818186</v>
      </c>
      <c r="Z7" s="48" t="s">
        <v>894</v>
      </c>
    </row>
    <row r="8" spans="1:30" x14ac:dyDescent="0.25">
      <c r="A8" s="4" t="str">
        <f t="shared" si="0"/>
        <v>Original|22 oz|25%</v>
      </c>
      <c r="B8" s="4" t="s">
        <v>3</v>
      </c>
      <c r="C8" s="4" t="s">
        <v>67</v>
      </c>
      <c r="D8" s="4" t="s">
        <v>64</v>
      </c>
      <c r="E8" s="63">
        <v>179</v>
      </c>
      <c r="F8" s="63">
        <v>0</v>
      </c>
      <c r="G8" s="63">
        <v>0</v>
      </c>
      <c r="H8" s="63">
        <v>71.5</v>
      </c>
      <c r="I8" s="63">
        <v>11</v>
      </c>
      <c r="J8" s="63">
        <v>22.9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330</v>
      </c>
      <c r="T8" s="63">
        <v>0</v>
      </c>
      <c r="U8" s="63">
        <v>0</v>
      </c>
      <c r="V8" s="65">
        <f t="shared" si="2"/>
        <v>284.39999999999998</v>
      </c>
      <c r="W8" s="8">
        <f>ROUND(E8*ต้นทุนและราคา!$C$4+F8*ต้นทุนและราคา!$C$5+G8*ต้นทุนและราคา!$C$6+H8*ต้นทุนและราคา!$C$7+I8*ต้นทุนและราคา!$C$8+J8*ต้นทุนและราคา!$C$9+K8*ต้นทุนและราคา!$C$10+L8*ต้นทุนและราคา!$C$11+M8*ต้นทุนและราคา!$C$12+N8*ต้นทุนและราคา!$C$13+O8*ต้นทุนและราคา!$C$14+P8*ต้นทุนและราคา!$C$15+Q8*ต้นทุนและราคา!$C$16+R8*ต้นทุนและราคา!$C$17+S8*ต้นทุนและราคา!$C$18+T8*ต้นทุนและราคา!$C$19+U8*ต้นทุนและราคา!$C$20+IF($C8="16 oz",ต้นทุนและราคา!$C$21,IF($C8="20 oz",ต้นทุนและราคา!$C$22,ต้นทุนและราคา!$C$23)),2)</f>
        <v>19.440000000000001</v>
      </c>
      <c r="X8" s="64" cm="1">
        <f t="array" ref="X8">IFERROR(INDEX(ต้นทุนและราคา!$C$26:$E$101,MATCH($B8,ต้นทุนและราคา!$A$26:$A$101,0),IF($C8="16 oz",1,IF($C8="20 oz",2,3))),"")</f>
        <v>55</v>
      </c>
      <c r="Y8" s="66">
        <f t="shared" si="1"/>
        <v>0.64654545454545453</v>
      </c>
      <c r="Z8" s="48" t="s">
        <v>895</v>
      </c>
    </row>
    <row r="9" spans="1:30" x14ac:dyDescent="0.25">
      <c r="A9" s="4" t="str">
        <f t="shared" si="0"/>
        <v>Original|22 oz|50%</v>
      </c>
      <c r="B9" s="4" t="s">
        <v>3</v>
      </c>
      <c r="C9" s="4" t="s">
        <v>67</v>
      </c>
      <c r="D9" s="4" t="s">
        <v>7</v>
      </c>
      <c r="E9" s="63">
        <v>179</v>
      </c>
      <c r="F9" s="63">
        <v>0</v>
      </c>
      <c r="G9" s="63">
        <v>0</v>
      </c>
      <c r="H9" s="63">
        <v>63</v>
      </c>
      <c r="I9" s="63">
        <v>22</v>
      </c>
      <c r="J9" s="63">
        <v>22.9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330</v>
      </c>
      <c r="T9" s="63">
        <v>0</v>
      </c>
      <c r="U9" s="63">
        <v>0</v>
      </c>
      <c r="V9" s="65">
        <f t="shared" si="2"/>
        <v>286.89999999999998</v>
      </c>
      <c r="W9" s="8">
        <f>ROUND(E9*ต้นทุนและราคา!$C$4+F9*ต้นทุนและราคา!$C$5+G9*ต้นทุนและราคา!$C$6+H9*ต้นทุนและราคา!$C$7+I9*ต้นทุนและราคา!$C$8+J9*ต้นทุนและราคา!$C$9+K9*ต้นทุนและราคา!$C$10+L9*ต้นทุนและราคา!$C$11+M9*ต้นทุนและราคา!$C$12+N9*ต้นทุนและราคา!$C$13+O9*ต้นทุนและราคา!$C$14+P9*ต้นทุนและราคา!$C$15+Q9*ต้นทุนและราคา!$C$16+R9*ต้นทุนและราคา!$C$17+S9*ต้นทุนและราคา!$C$18+T9*ต้นทุนและราคา!$C$19+U9*ต้นทุนและราคา!$C$20+IF($C9="16 oz",ต้นทุนและราคา!$C$21,IF($C9="20 oz",ต้นทุนและราคา!$C$22,ต้นทุนและราคา!$C$23)),2)</f>
        <v>19.57</v>
      </c>
      <c r="X9" s="64" cm="1">
        <f t="array" ref="X9">IFERROR(INDEX(ต้นทุนและราคา!$C$26:$E$101,MATCH($B9,ต้นทุนและราคา!$A$26:$A$101,0),IF($C9="16 oz",1,IF($C9="20 oz",2,3))),"")</f>
        <v>55</v>
      </c>
      <c r="Y9" s="66">
        <f t="shared" si="1"/>
        <v>0.64418181818181819</v>
      </c>
      <c r="Z9" s="48" t="s">
        <v>895</v>
      </c>
    </row>
    <row r="10" spans="1:30" x14ac:dyDescent="0.25">
      <c r="A10" s="4" t="str">
        <f t="shared" si="0"/>
        <v>Original|22 oz|75%</v>
      </c>
      <c r="B10" s="4" t="s">
        <v>3</v>
      </c>
      <c r="C10" s="4" t="s">
        <v>67</v>
      </c>
      <c r="D10" s="4" t="s">
        <v>65</v>
      </c>
      <c r="E10" s="63">
        <v>179</v>
      </c>
      <c r="F10" s="63">
        <v>0</v>
      </c>
      <c r="G10" s="63">
        <v>0</v>
      </c>
      <c r="H10" s="63">
        <v>55</v>
      </c>
      <c r="I10" s="63">
        <v>33</v>
      </c>
      <c r="J10" s="63">
        <v>22.9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330</v>
      </c>
      <c r="T10" s="63">
        <v>0</v>
      </c>
      <c r="U10" s="63">
        <v>0</v>
      </c>
      <c r="V10" s="65">
        <f t="shared" si="2"/>
        <v>289.89999999999998</v>
      </c>
      <c r="W10" s="8">
        <f>ROUND(E10*ต้นทุนและราคา!$C$4+F10*ต้นทุนและราคา!$C$5+G10*ต้นทุนและราคา!$C$6+H10*ต้นทุนและราคา!$C$7+I10*ต้นทุนและราคา!$C$8+J10*ต้นทุนและราคา!$C$9+K10*ต้นทุนและราคา!$C$10+L10*ต้นทุนและราคา!$C$11+M10*ต้นทุนและราคา!$C$12+N10*ต้นทุนและราคา!$C$13+O10*ต้นทุนและราคา!$C$14+P10*ต้นทุนและราคา!$C$15+Q10*ต้นทุนและราคา!$C$16+R10*ต้นทุนและราคา!$C$17+S10*ต้นทุนและราคา!$C$18+T10*ต้นทุนและราคา!$C$19+U10*ต้นทุนและราคา!$C$20+IF($C10="16 oz",ต้นทุนและราคา!$C$21,IF($C10="20 oz",ต้นทุนและราคา!$C$22,ต้นทุนและราคา!$C$23)),2)</f>
        <v>19.739999999999998</v>
      </c>
      <c r="X10" s="64" cm="1">
        <f t="array" ref="X10">IFERROR(INDEX(ต้นทุนและราคา!$C$26:$E$101,MATCH($B10,ต้นทุนและราคา!$A$26:$A$101,0),IF($C10="16 oz",1,IF($C10="20 oz",2,3))),"")</f>
        <v>55</v>
      </c>
      <c r="Y10" s="66">
        <f t="shared" si="1"/>
        <v>0.64109090909090916</v>
      </c>
      <c r="Z10" s="48" t="s">
        <v>895</v>
      </c>
    </row>
    <row r="11" spans="1:30" x14ac:dyDescent="0.25">
      <c r="A11" s="4" t="str">
        <f t="shared" si="0"/>
        <v>Original|22 oz|100%</v>
      </c>
      <c r="B11" s="4" t="s">
        <v>3</v>
      </c>
      <c r="C11" s="4" t="s">
        <v>67</v>
      </c>
      <c r="D11" s="4" t="s">
        <v>66</v>
      </c>
      <c r="E11" s="63">
        <v>179</v>
      </c>
      <c r="F11" s="63">
        <v>0</v>
      </c>
      <c r="G11" s="63">
        <v>0</v>
      </c>
      <c r="H11" s="63">
        <v>47</v>
      </c>
      <c r="I11" s="63">
        <v>44</v>
      </c>
      <c r="J11" s="63">
        <v>22.9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330</v>
      </c>
      <c r="T11" s="63">
        <v>0</v>
      </c>
      <c r="U11" s="63">
        <v>0</v>
      </c>
      <c r="V11" s="65">
        <f t="shared" si="2"/>
        <v>292.89999999999998</v>
      </c>
      <c r="W11" s="8">
        <f>ROUND(E11*ต้นทุนและราคา!$C$4+F11*ต้นทุนและราคา!$C$5+G11*ต้นทุนและราคา!$C$6+H11*ต้นทุนและราคา!$C$7+I11*ต้นทุนและราคา!$C$8+J11*ต้นทุนและราคา!$C$9+K11*ต้นทุนและราคา!$C$10+L11*ต้นทุนและราคา!$C$11+M11*ต้นทุนและราคา!$C$12+N11*ต้นทุนและราคา!$C$13+O11*ต้นทุนและราคา!$C$14+P11*ต้นทุนและราคา!$C$15+Q11*ต้นทุนและราคา!$C$16+R11*ต้นทุนและราคา!$C$17+S11*ต้นทุนและราคา!$C$18+T11*ต้นทุนและราคา!$C$19+U11*ต้นทุนและราคา!$C$20+IF($C11="16 oz",ต้นทุนและราคา!$C$21,IF($C11="20 oz",ต้นทุนและราคา!$C$22,ต้นทุนและราคา!$C$23)),2)</f>
        <v>19.91</v>
      </c>
      <c r="X11" s="64" cm="1">
        <f t="array" ref="X11">IFERROR(INDEX(ต้นทุนและราคา!$C$26:$E$101,MATCH($B11,ต้นทุนและราคา!$A$26:$A$101,0),IF($C11="16 oz",1,IF($C11="20 oz",2,3))),"")</f>
        <v>55</v>
      </c>
      <c r="Y11" s="66">
        <f t="shared" si="1"/>
        <v>0.63800000000000001</v>
      </c>
      <c r="Z11" s="48" t="s">
        <v>895</v>
      </c>
    </row>
    <row r="12" spans="1:30" x14ac:dyDescent="0.25">
      <c r="A12" s="4" t="str">
        <f t="shared" si="0"/>
        <v>Latte|16 oz|0%</v>
      </c>
      <c r="B12" s="4" t="s">
        <v>68</v>
      </c>
      <c r="C12" s="4" t="s">
        <v>5</v>
      </c>
      <c r="D12" s="4" t="s">
        <v>63</v>
      </c>
      <c r="E12" s="63">
        <v>130</v>
      </c>
      <c r="F12" s="63">
        <v>0</v>
      </c>
      <c r="G12" s="63">
        <v>50</v>
      </c>
      <c r="H12" s="63">
        <v>20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240</v>
      </c>
      <c r="T12" s="63">
        <v>0</v>
      </c>
      <c r="U12" s="63">
        <v>0</v>
      </c>
      <c r="V12" s="65">
        <f t="shared" si="2"/>
        <v>200</v>
      </c>
      <c r="W12" s="8">
        <f>ROUND(E12*ต้นทุนและราคา!$C$4+F12*ต้นทุนและราคา!$C$5+G12*ต้นทุนและราคา!$C$6+H12*ต้นทุนและราคา!$C$7+I12*ต้นทุนและราคา!$C$8+J12*ต้นทุนและราคา!$C$9+K12*ต้นทุนและราคา!$C$10+L12*ต้นทุนและราคา!$C$11+M12*ต้นทุนและราคา!$C$12+N12*ต้นทุนและราคา!$C$13+O12*ต้นทุนและราคา!$C$14+P12*ต้นทุนและราคา!$C$15+Q12*ต้นทุนและราคา!$C$16+R12*ต้นทุนและราคา!$C$17+S12*ต้นทุนและราคา!$C$18+T12*ต้นทุนและราคา!$C$19+U12*ต้นทุนและราคา!$C$20+IF($C12="16 oz",ต้นทุนและราคา!$C$21,IF($C12="20 oz",ต้นทุนและราคา!$C$22,ต้นทุนและราคา!$C$23)),2)</f>
        <v>13.84</v>
      </c>
      <c r="X12" s="64" cm="1">
        <f t="array" ref="X12">IFERROR(INDEX(ต้นทุนและราคา!$C$26:$E$101,MATCH($B12,ต้นทุนและราคา!$A$26:$A$101,0),IF($C12="16 oz",1,IF($C12="20 oz",2,3))),"")</f>
        <v>50</v>
      </c>
      <c r="Y12" s="66">
        <f t="shared" si="1"/>
        <v>0.72319999999999995</v>
      </c>
      <c r="Z12" s="48" t="s">
        <v>896</v>
      </c>
    </row>
    <row r="13" spans="1:30" x14ac:dyDescent="0.25">
      <c r="A13" s="4" t="str">
        <f t="shared" si="0"/>
        <v>Latte|16 oz|25%</v>
      </c>
      <c r="B13" s="4" t="s">
        <v>68</v>
      </c>
      <c r="C13" s="4" t="s">
        <v>5</v>
      </c>
      <c r="D13" s="4" t="s">
        <v>64</v>
      </c>
      <c r="E13" s="63">
        <v>130</v>
      </c>
      <c r="F13" s="63">
        <v>0</v>
      </c>
      <c r="G13" s="63">
        <v>30.4</v>
      </c>
      <c r="H13" s="63">
        <v>20</v>
      </c>
      <c r="I13" s="63">
        <v>0</v>
      </c>
      <c r="J13" s="63">
        <v>23.6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240</v>
      </c>
      <c r="T13" s="63">
        <v>0</v>
      </c>
      <c r="U13" s="63">
        <v>0</v>
      </c>
      <c r="V13" s="65">
        <f t="shared" si="2"/>
        <v>204</v>
      </c>
      <c r="W13" s="8">
        <f>ROUND(E13*ต้นทุนและราคา!$C$4+F13*ต้นทุนและราคา!$C$5+G13*ต้นทุนและราคา!$C$6+H13*ต้นทุนและราคา!$C$7+I13*ต้นทุนและราคา!$C$8+J13*ต้นทุนและราคา!$C$9+K13*ต้นทุนและราคา!$C$10+L13*ต้นทุนและราคา!$C$11+M13*ต้นทุนและราคา!$C$12+N13*ต้นทุนและราคา!$C$13+O13*ต้นทุนและราคา!$C$14+P13*ต้นทุนและราคา!$C$15+Q13*ต้นทุนและราคา!$C$16+R13*ต้นทุนและราคา!$C$17+S13*ต้นทุนและราคา!$C$18+T13*ต้นทุนและราคา!$C$19+U13*ต้นทุนและราคา!$C$20+IF($C13="16 oz",ต้นทุนและราคา!$C$21,IF($C13="20 oz",ต้นทุนและราคา!$C$22,ต้นทุนและราคา!$C$23)),2)</f>
        <v>13.3</v>
      </c>
      <c r="X13" s="64" cm="1">
        <f t="array" ref="X13">IFERROR(INDEX(ต้นทุนและราคา!$C$26:$E$101,MATCH($B13,ต้นทุนและราคา!$A$26:$A$101,0),IF($C13="16 oz",1,IF($C13="20 oz",2,3))),"")</f>
        <v>50</v>
      </c>
      <c r="Y13" s="66">
        <f t="shared" si="1"/>
        <v>0.7340000000000001</v>
      </c>
      <c r="Z13" s="48" t="s">
        <v>897</v>
      </c>
    </row>
    <row r="14" spans="1:30" x14ac:dyDescent="0.25">
      <c r="A14" s="4" t="str">
        <f t="shared" si="0"/>
        <v>Latte|16 oz|50%</v>
      </c>
      <c r="B14" s="4" t="s">
        <v>68</v>
      </c>
      <c r="C14" s="4" t="s">
        <v>5</v>
      </c>
      <c r="D14" s="4" t="s">
        <v>7</v>
      </c>
      <c r="E14" s="63">
        <v>130</v>
      </c>
      <c r="F14" s="63">
        <v>0</v>
      </c>
      <c r="G14" s="63">
        <v>27.4</v>
      </c>
      <c r="H14" s="63">
        <v>20</v>
      </c>
      <c r="I14" s="63">
        <v>0</v>
      </c>
      <c r="J14" s="63">
        <v>30.6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240</v>
      </c>
      <c r="T14" s="63">
        <v>0</v>
      </c>
      <c r="U14" s="63">
        <v>0</v>
      </c>
      <c r="V14" s="65">
        <f t="shared" si="2"/>
        <v>208</v>
      </c>
      <c r="W14" s="8">
        <f>ROUND(E14*ต้นทุนและราคา!$C$4+F14*ต้นทุนและราคา!$C$5+G14*ต้นทุนและราคา!$C$6+H14*ต้นทุนและราคา!$C$7+I14*ต้นทุนและราคา!$C$8+J14*ต้นทุนและราคา!$C$9+K14*ต้นทุนและราคา!$C$10+L14*ต้นทุนและราคา!$C$11+M14*ต้นทุนและราคา!$C$12+N14*ต้นทุนและราคา!$C$13+O14*ต้นทุนและราคา!$C$14+P14*ต้นทุนและราคา!$C$15+Q14*ต้นทุนและราคา!$C$16+R14*ต้นทุนและราคา!$C$17+S14*ต้นทุนและราคา!$C$18+T14*ต้นทุนและราคา!$C$19+U14*ต้นทุนและราคา!$C$20+IF($C14="16 oz",ต้นทุนและราคา!$C$21,IF($C14="20 oz",ต้นทุนและราคา!$C$22,ต้นทุนและราคา!$C$23)),2)</f>
        <v>13.27</v>
      </c>
      <c r="X14" s="64" cm="1">
        <f t="array" ref="X14">IFERROR(INDEX(ต้นทุนและราคา!$C$26:$E$101,MATCH($B14,ต้นทุนและราคา!$A$26:$A$101,0),IF($C14="16 oz",1,IF($C14="20 oz",2,3))),"")</f>
        <v>50</v>
      </c>
      <c r="Y14" s="66">
        <f t="shared" si="1"/>
        <v>0.73460000000000003</v>
      </c>
      <c r="Z14" s="48" t="s">
        <v>897</v>
      </c>
    </row>
    <row r="15" spans="1:30" x14ac:dyDescent="0.25">
      <c r="A15" s="4" t="str">
        <f t="shared" si="0"/>
        <v>Latte|16 oz|75%</v>
      </c>
      <c r="B15" s="4" t="s">
        <v>68</v>
      </c>
      <c r="C15" s="4" t="s">
        <v>5</v>
      </c>
      <c r="D15" s="4" t="s">
        <v>65</v>
      </c>
      <c r="E15" s="63">
        <v>130</v>
      </c>
      <c r="F15" s="63">
        <v>0</v>
      </c>
      <c r="G15" s="63">
        <v>24.4</v>
      </c>
      <c r="H15" s="63">
        <v>20</v>
      </c>
      <c r="I15" s="63">
        <v>0</v>
      </c>
      <c r="J15" s="63">
        <v>37.6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240</v>
      </c>
      <c r="T15" s="63">
        <v>0</v>
      </c>
      <c r="U15" s="63">
        <v>0</v>
      </c>
      <c r="V15" s="65">
        <f t="shared" si="2"/>
        <v>212</v>
      </c>
      <c r="W15" s="8">
        <f>ROUND(E15*ต้นทุนและราคา!$C$4+F15*ต้นทุนและราคา!$C$5+G15*ต้นทุนและราคา!$C$6+H15*ต้นทุนและราคา!$C$7+I15*ต้นทุนและราคา!$C$8+J15*ต้นทุนและราคา!$C$9+K15*ต้นทุนและราคา!$C$10+L15*ต้นทุนและราคา!$C$11+M15*ต้นทุนและราคา!$C$12+N15*ต้นทุนและราคา!$C$13+O15*ต้นทุนและราคา!$C$14+P15*ต้นทุนและราคา!$C$15+Q15*ต้นทุนและราคา!$C$16+R15*ต้นทุนและราคา!$C$17+S15*ต้นทุนและราคา!$C$18+T15*ต้นทุนและราคา!$C$19+U15*ต้นทุนและราคา!$C$20+IF($C15="16 oz",ต้นทุนและราคา!$C$21,IF($C15="20 oz",ต้นทุนและราคา!$C$22,ต้นทุนและราคา!$C$23)),2)</f>
        <v>13.24</v>
      </c>
      <c r="X15" s="64" cm="1">
        <f t="array" ref="X15">IFERROR(INDEX(ต้นทุนและราคา!$C$26:$E$101,MATCH($B15,ต้นทุนและราคา!$A$26:$A$101,0),IF($C15="16 oz",1,IF($C15="20 oz",2,3))),"")</f>
        <v>50</v>
      </c>
      <c r="Y15" s="66">
        <f t="shared" si="1"/>
        <v>0.73519999999999996</v>
      </c>
      <c r="Z15" s="48" t="s">
        <v>897</v>
      </c>
    </row>
    <row r="16" spans="1:30" x14ac:dyDescent="0.25">
      <c r="A16" s="4" t="str">
        <f t="shared" si="0"/>
        <v>Latte|16 oz|100%</v>
      </c>
      <c r="B16" s="4" t="s">
        <v>68</v>
      </c>
      <c r="C16" s="4" t="s">
        <v>5</v>
      </c>
      <c r="D16" s="4" t="s">
        <v>66</v>
      </c>
      <c r="E16" s="63">
        <v>130</v>
      </c>
      <c r="F16" s="63">
        <v>0</v>
      </c>
      <c r="G16" s="63">
        <v>21.4</v>
      </c>
      <c r="H16" s="63">
        <v>20</v>
      </c>
      <c r="I16" s="63">
        <v>0</v>
      </c>
      <c r="J16" s="63">
        <v>44.6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240</v>
      </c>
      <c r="T16" s="63">
        <v>0</v>
      </c>
      <c r="U16" s="63">
        <v>0</v>
      </c>
      <c r="V16" s="65">
        <f t="shared" si="2"/>
        <v>216</v>
      </c>
      <c r="W16" s="8">
        <f>ROUND(E16*ต้นทุนและราคา!$C$4+F16*ต้นทุนและราคา!$C$5+G16*ต้นทุนและราคา!$C$6+H16*ต้นทุนและราคา!$C$7+I16*ต้นทุนและราคา!$C$8+J16*ต้นทุนและราคา!$C$9+K16*ต้นทุนและราคา!$C$10+L16*ต้นทุนและราคา!$C$11+M16*ต้นทุนและราคา!$C$12+N16*ต้นทุนและราคา!$C$13+O16*ต้นทุนและราคา!$C$14+P16*ต้นทุนและราคา!$C$15+Q16*ต้นทุนและราคา!$C$16+R16*ต้นทุนและราคา!$C$17+S16*ต้นทุนและราคา!$C$18+T16*ต้นทุนและราคา!$C$19+U16*ต้นทุนและราคา!$C$20+IF($C16="16 oz",ต้นทุนและราคา!$C$21,IF($C16="20 oz",ต้นทุนและราคา!$C$22,ต้นทุนและราคา!$C$23)),2)</f>
        <v>13.22</v>
      </c>
      <c r="X16" s="64" cm="1">
        <f t="array" ref="X16">IFERROR(INDEX(ต้นทุนและราคา!$C$26:$E$101,MATCH($B16,ต้นทุนและราคา!$A$26:$A$101,0),IF($C16="16 oz",1,IF($C16="20 oz",2,3))),"")</f>
        <v>50</v>
      </c>
      <c r="Y16" s="66">
        <f t="shared" si="1"/>
        <v>0.73560000000000003</v>
      </c>
      <c r="Z16" s="48" t="s">
        <v>897</v>
      </c>
    </row>
    <row r="17" spans="1:26" x14ac:dyDescent="0.25">
      <c r="A17" s="4" t="str">
        <f t="shared" si="0"/>
        <v>Latte|22 oz|0%</v>
      </c>
      <c r="B17" s="4" t="s">
        <v>68</v>
      </c>
      <c r="C17" s="4" t="s">
        <v>67</v>
      </c>
      <c r="D17" s="4" t="s">
        <v>63</v>
      </c>
      <c r="E17" s="63">
        <v>179</v>
      </c>
      <c r="F17" s="63">
        <v>0</v>
      </c>
      <c r="G17" s="63">
        <v>69</v>
      </c>
      <c r="H17" s="63">
        <v>27.5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330</v>
      </c>
      <c r="T17" s="63">
        <v>0</v>
      </c>
      <c r="U17" s="63">
        <v>0</v>
      </c>
      <c r="V17" s="65">
        <f t="shared" si="2"/>
        <v>275.5</v>
      </c>
      <c r="W17" s="8">
        <f>ROUND(E17*ต้นทุนและราคา!$C$4+F17*ต้นทุนและราคา!$C$5+G17*ต้นทุนและราคา!$C$6+H17*ต้นทุนและราคา!$C$7+I17*ต้นทุนและราคา!$C$8+J17*ต้นทุนและราคา!$C$9+K17*ต้นทุนและราคา!$C$10+L17*ต้นทุนและราคา!$C$11+M17*ต้นทุนและราคา!$C$12+N17*ต้นทุนและราคา!$C$13+O17*ต้นทุนและราคา!$C$14+P17*ต้นทุนและราคา!$C$15+Q17*ต้นทุนและราคา!$C$16+R17*ต้นทุนและราคา!$C$17+S17*ต้นทุนและราคา!$C$18+T17*ต้นทุนและราคา!$C$19+U17*ต้นทุนและราคา!$C$20+IF($C17="16 oz",ต้นทุนและราคา!$C$21,IF($C17="20 oz",ต้นทุนและราคา!$C$22,ต้นทุนและราคา!$C$23)),2)</f>
        <v>18.350000000000001</v>
      </c>
      <c r="X17" s="64" cm="1">
        <f t="array" ref="X17">IFERROR(INDEX(ต้นทุนและราคา!$C$26:$E$101,MATCH($B17,ต้นทุนและราคา!$A$26:$A$101,0),IF($C17="16 oz",1,IF($C17="20 oz",2,3))),"")</f>
        <v>60</v>
      </c>
      <c r="Y17" s="66">
        <f t="shared" si="1"/>
        <v>0.6941666666666666</v>
      </c>
      <c r="Z17" s="48" t="s">
        <v>896</v>
      </c>
    </row>
    <row r="18" spans="1:26" x14ac:dyDescent="0.25">
      <c r="A18" s="4" t="str">
        <f t="shared" si="0"/>
        <v>Latte|22 oz|25%</v>
      </c>
      <c r="B18" s="4" t="s">
        <v>68</v>
      </c>
      <c r="C18" s="4" t="s">
        <v>67</v>
      </c>
      <c r="D18" s="4" t="s">
        <v>64</v>
      </c>
      <c r="E18" s="63">
        <v>179</v>
      </c>
      <c r="F18" s="63">
        <v>0</v>
      </c>
      <c r="G18" s="63">
        <v>41.6</v>
      </c>
      <c r="H18" s="63">
        <v>27.5</v>
      </c>
      <c r="I18" s="63">
        <v>0</v>
      </c>
      <c r="J18" s="63">
        <v>32.4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330</v>
      </c>
      <c r="T18" s="63">
        <v>0</v>
      </c>
      <c r="U18" s="63">
        <v>0</v>
      </c>
      <c r="V18" s="65">
        <f t="shared" si="2"/>
        <v>280.5</v>
      </c>
      <c r="W18" s="8">
        <f>ROUND(E18*ต้นทุนและราคา!$C$4+F18*ต้นทุนและราคา!$C$5+G18*ต้นทุนและราคา!$C$6+H18*ต้นทุนและราคา!$C$7+I18*ต้นทุนและราคา!$C$8+J18*ต้นทุนและราคา!$C$9+K18*ต้นทุนและราคา!$C$10+L18*ต้นทุนและราคา!$C$11+M18*ต้นทุนและราคา!$C$12+N18*ต้นทุนและราคา!$C$13+O18*ต้นทุนและราคา!$C$14+P18*ต้นทุนและราคา!$C$15+Q18*ต้นทุนและราคา!$C$16+R18*ต้นทุนและราคา!$C$17+S18*ต้นทุนและราคา!$C$18+T18*ต้นทุนและราคา!$C$19+U18*ต้นทุนและราคา!$C$20+IF($C18="16 oz",ต้นทุนและราคา!$C$21,IF($C18="20 oz",ต้นทุนและราคา!$C$22,ต้นทุนและราคา!$C$23)),2)</f>
        <v>17.579999999999998</v>
      </c>
      <c r="X18" s="64" cm="1">
        <f t="array" ref="X18">IFERROR(INDEX(ต้นทุนและราคา!$C$26:$E$101,MATCH($B18,ต้นทุนและราคา!$A$26:$A$101,0),IF($C18="16 oz",1,IF($C18="20 oz",2,3))),"")</f>
        <v>60</v>
      </c>
      <c r="Y18" s="66">
        <f t="shared" si="1"/>
        <v>0.70700000000000007</v>
      </c>
      <c r="Z18" s="48" t="s">
        <v>897</v>
      </c>
    </row>
    <row r="19" spans="1:26" x14ac:dyDescent="0.25">
      <c r="A19" s="4" t="str">
        <f t="shared" si="0"/>
        <v>Latte|22 oz|50%</v>
      </c>
      <c r="B19" s="4" t="s">
        <v>68</v>
      </c>
      <c r="C19" s="4" t="s">
        <v>67</v>
      </c>
      <c r="D19" s="4" t="s">
        <v>7</v>
      </c>
      <c r="E19" s="63">
        <v>179</v>
      </c>
      <c r="F19" s="63">
        <v>0</v>
      </c>
      <c r="G19" s="63">
        <v>37.6</v>
      </c>
      <c r="H19" s="63">
        <v>27.5</v>
      </c>
      <c r="I19" s="63">
        <v>0</v>
      </c>
      <c r="J19" s="63">
        <v>41.9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330</v>
      </c>
      <c r="T19" s="63">
        <v>0</v>
      </c>
      <c r="U19" s="63">
        <v>0</v>
      </c>
      <c r="V19" s="65">
        <f t="shared" si="2"/>
        <v>286</v>
      </c>
      <c r="W19" s="8">
        <f>ROUND(E19*ต้นทุนและราคา!$C$4+F19*ต้นทุนและราคา!$C$5+G19*ต้นทุนและราคา!$C$6+H19*ต้นทุนและราคา!$C$7+I19*ต้นทุนและราคา!$C$8+J19*ต้นทุนและราคา!$C$9+K19*ต้นทุนและราคา!$C$10+L19*ต้นทุนและราคา!$C$11+M19*ต้นทุนและราคา!$C$12+N19*ต้นทุนและราคา!$C$13+O19*ต้นทุนและราคา!$C$14+P19*ต้นทุนและราคา!$C$15+Q19*ต้นทุนและราคา!$C$16+R19*ต้นทุนและราคา!$C$17+S19*ต้นทุนและราคา!$C$18+T19*ต้นทุนและราคา!$C$19+U19*ต้นทุนและราคา!$C$20+IF($C19="16 oz",ต้นทุนและราคา!$C$21,IF($C19="20 oz",ต้นทุนและราคา!$C$22,ต้นทุนและราคา!$C$23)),2)</f>
        <v>17.54</v>
      </c>
      <c r="X19" s="64" cm="1">
        <f t="array" ref="X19">IFERROR(INDEX(ต้นทุนและราคา!$C$26:$E$101,MATCH($B19,ต้นทุนและราคา!$A$26:$A$101,0),IF($C19="16 oz",1,IF($C19="20 oz",2,3))),"")</f>
        <v>60</v>
      </c>
      <c r="Y19" s="66">
        <f t="shared" si="1"/>
        <v>0.70766666666666667</v>
      </c>
      <c r="Z19" s="48" t="s">
        <v>897</v>
      </c>
    </row>
    <row r="20" spans="1:26" x14ac:dyDescent="0.25">
      <c r="A20" s="4" t="str">
        <f t="shared" si="0"/>
        <v>Latte|22 oz|75%</v>
      </c>
      <c r="B20" s="4" t="s">
        <v>68</v>
      </c>
      <c r="C20" s="4" t="s">
        <v>67</v>
      </c>
      <c r="D20" s="4" t="s">
        <v>65</v>
      </c>
      <c r="E20" s="63">
        <v>179</v>
      </c>
      <c r="F20" s="63">
        <v>0</v>
      </c>
      <c r="G20" s="63">
        <v>33.6</v>
      </c>
      <c r="H20" s="63">
        <v>27.5</v>
      </c>
      <c r="I20" s="63">
        <v>0</v>
      </c>
      <c r="J20" s="63">
        <v>51.9</v>
      </c>
      <c r="K20" s="63">
        <v>0</v>
      </c>
      <c r="L20" s="63">
        <v>0</v>
      </c>
      <c r="M20" s="63">
        <v>0</v>
      </c>
      <c r="N20" s="63">
        <v>0</v>
      </c>
      <c r="O20" s="63">
        <v>0</v>
      </c>
      <c r="P20" s="63">
        <v>0</v>
      </c>
      <c r="Q20" s="63">
        <v>0</v>
      </c>
      <c r="R20" s="63">
        <v>0</v>
      </c>
      <c r="S20" s="63">
        <v>330</v>
      </c>
      <c r="T20" s="63">
        <v>0</v>
      </c>
      <c r="U20" s="63">
        <v>0</v>
      </c>
      <c r="V20" s="65">
        <f t="shared" si="2"/>
        <v>292</v>
      </c>
      <c r="W20" s="8">
        <f>ROUND(E20*ต้นทุนและราคา!$C$4+F20*ต้นทุนและราคา!$C$5+G20*ต้นทุนและราคา!$C$6+H20*ต้นทุนและราคา!$C$7+I20*ต้นทุนและราคา!$C$8+J20*ต้นทุนและราคา!$C$9+K20*ต้นทุนและราคา!$C$10+L20*ต้นทุนและราคา!$C$11+M20*ต้นทุนและราคา!$C$12+N20*ต้นทุนและราคา!$C$13+O20*ต้นทุนและราคา!$C$14+P20*ต้นทุนและราคา!$C$15+Q20*ต้นทุนและราคา!$C$16+R20*ต้นทุนและราคา!$C$17+S20*ต้นทุนและราคา!$C$18+T20*ต้นทุนและราคา!$C$19+U20*ต้นทุนและราคา!$C$20+IF($C20="16 oz",ต้นทุนและราคา!$C$21,IF($C20="20 oz",ต้นทุนและราคา!$C$22,ต้นทุนและราคา!$C$23)),2)</f>
        <v>17.52</v>
      </c>
      <c r="X20" s="64" cm="1">
        <f t="array" ref="X20">IFERROR(INDEX(ต้นทุนและราคา!$C$26:$E$101,MATCH($B20,ต้นทุนและราคา!$A$26:$A$101,0),IF($C20="16 oz",1,IF($C20="20 oz",2,3))),"")</f>
        <v>60</v>
      </c>
      <c r="Y20" s="66">
        <f t="shared" si="1"/>
        <v>0.70800000000000007</v>
      </c>
      <c r="Z20" s="48" t="s">
        <v>897</v>
      </c>
    </row>
    <row r="21" spans="1:26" x14ac:dyDescent="0.25">
      <c r="A21" s="4" t="str">
        <f t="shared" si="0"/>
        <v>Latte|22 oz|100%</v>
      </c>
      <c r="B21" s="4" t="s">
        <v>68</v>
      </c>
      <c r="C21" s="4" t="s">
        <v>67</v>
      </c>
      <c r="D21" s="4" t="s">
        <v>66</v>
      </c>
      <c r="E21" s="63">
        <v>179</v>
      </c>
      <c r="F21" s="63">
        <v>0</v>
      </c>
      <c r="G21" s="63">
        <v>29.1</v>
      </c>
      <c r="H21" s="63">
        <v>27.5</v>
      </c>
      <c r="I21" s="63">
        <v>0</v>
      </c>
      <c r="J21" s="63">
        <v>61.4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330</v>
      </c>
      <c r="T21" s="63">
        <v>0</v>
      </c>
      <c r="U21" s="63">
        <v>0</v>
      </c>
      <c r="V21" s="65">
        <f t="shared" si="2"/>
        <v>297</v>
      </c>
      <c r="W21" s="8">
        <f>ROUND(E21*ต้นทุนและราคา!$C$4+F21*ต้นทุนและราคา!$C$5+G21*ต้นทุนและราคา!$C$6+H21*ต้นทุนและราคา!$C$7+I21*ต้นทุนและราคา!$C$8+J21*ต้นทุนและราคา!$C$9+K21*ต้นทุนและราคา!$C$10+L21*ต้นทุนและราคา!$C$11+M21*ต้นทุนและราคา!$C$12+N21*ต้นทุนและราคา!$C$13+O21*ต้นทุนและราคา!$C$14+P21*ต้นทุนและราคา!$C$15+Q21*ต้นทุนและราคา!$C$16+R21*ต้นทุนและราคา!$C$17+S21*ต้นทุนและราคา!$C$18+T21*ต้นทุนและราคา!$C$19+U21*ต้นทุนและราคา!$C$20+IF($C21="16 oz",ต้นทุนและราคา!$C$21,IF($C21="20 oz",ต้นทุนและราคา!$C$22,ต้นทุนและราคา!$C$23)),2)</f>
        <v>17.46</v>
      </c>
      <c r="X21" s="64" cm="1">
        <f t="array" ref="X21">IFERROR(INDEX(ต้นทุนและราคา!$C$26:$E$101,MATCH($B21,ต้นทุนและราคา!$A$26:$A$101,0),IF($C21="16 oz",1,IF($C21="20 oz",2,3))),"")</f>
        <v>60</v>
      </c>
      <c r="Y21" s="66">
        <f t="shared" si="1"/>
        <v>0.70899999999999996</v>
      </c>
      <c r="Z21" s="48" t="s">
        <v>897</v>
      </c>
    </row>
    <row r="22" spans="1:26" x14ac:dyDescent="0.25">
      <c r="A22" s="4" t="str">
        <f t="shared" si="0"/>
        <v>Cream Cheese|16 oz|0%</v>
      </c>
      <c r="B22" s="4" t="s">
        <v>69</v>
      </c>
      <c r="C22" s="4" t="s">
        <v>5</v>
      </c>
      <c r="D22" s="4" t="s">
        <v>63</v>
      </c>
      <c r="E22" s="63">
        <v>120</v>
      </c>
      <c r="F22" s="63">
        <v>0</v>
      </c>
      <c r="G22" s="63">
        <v>0</v>
      </c>
      <c r="H22" s="63">
        <v>30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60</v>
      </c>
      <c r="S22" s="63">
        <v>200</v>
      </c>
      <c r="T22" s="63">
        <v>0</v>
      </c>
      <c r="U22" s="63">
        <v>0</v>
      </c>
      <c r="V22" s="65">
        <f t="shared" si="2"/>
        <v>150</v>
      </c>
      <c r="W22" s="8">
        <f>ROUND(E22*ต้นทุนและราคา!$C$4+F22*ต้นทุนและราคา!$C$5+G22*ต้นทุนและราคา!$C$6+H22*ต้นทุนและราคา!$C$7+I22*ต้นทุนและราคา!$C$8+J22*ต้นทุนและราคา!$C$9+K22*ต้นทุนและราคา!$C$10+L22*ต้นทุนและราคา!$C$11+M22*ต้นทุนและราคา!$C$12+N22*ต้นทุนและราคา!$C$13+O22*ต้นทุนและราคา!$C$14+P22*ต้นทุนและราคา!$C$15+Q22*ต้นทุนและราคา!$C$16+R22*ต้นทุนและราคา!$C$17+S22*ต้นทุนและราคา!$C$18+T22*ต้นทุนและราคา!$C$19+U22*ต้นทุนและราคา!$C$20+IF($C22="16 oz",ต้นทุนและราคา!$C$21,IF($C22="20 oz",ต้นทุนและราคา!$C$22,ต้นทุนและราคา!$C$23)),2)</f>
        <v>20.93</v>
      </c>
      <c r="X22" s="64" cm="1">
        <f t="array" ref="X22">IFERROR(INDEX(ต้นทุนและราคา!$C$26:$E$101,MATCH($B22,ต้นทุนและราคา!$A$26:$A$101,0),IF($C22="16 oz",1,IF($C22="20 oz",2,3))),"")</f>
        <v>65</v>
      </c>
      <c r="Y22" s="66">
        <f t="shared" si="1"/>
        <v>0.67800000000000005</v>
      </c>
      <c r="Z22" s="48" t="s">
        <v>898</v>
      </c>
    </row>
    <row r="23" spans="1:26" x14ac:dyDescent="0.25">
      <c r="A23" s="4" t="str">
        <f t="shared" si="0"/>
        <v>Cream Cheese|16 oz|25%</v>
      </c>
      <c r="B23" s="4" t="s">
        <v>69</v>
      </c>
      <c r="C23" s="4" t="s">
        <v>5</v>
      </c>
      <c r="D23" s="4" t="s">
        <v>64</v>
      </c>
      <c r="E23" s="63">
        <v>120</v>
      </c>
      <c r="F23" s="63">
        <v>0</v>
      </c>
      <c r="G23" s="63">
        <v>0</v>
      </c>
      <c r="H23" s="63">
        <v>30</v>
      </c>
      <c r="I23" s="63">
        <v>7</v>
      </c>
      <c r="J23" s="63">
        <v>15.4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60</v>
      </c>
      <c r="S23" s="63">
        <v>200</v>
      </c>
      <c r="T23" s="63">
        <v>0</v>
      </c>
      <c r="U23" s="63">
        <v>0</v>
      </c>
      <c r="V23" s="65">
        <f t="shared" si="2"/>
        <v>172.4</v>
      </c>
      <c r="W23" s="8">
        <f>ROUND(E23*ต้นทุนและราคา!$C$4+F23*ต้นทุนและราคา!$C$5+G23*ต้นทุนและราคา!$C$6+H23*ต้นทุนและราคา!$C$7+I23*ต้นทุนและราคา!$C$8+J23*ต้นทุนและราคา!$C$9+K23*ต้นทุนและราคา!$C$10+L23*ต้นทุนและราคา!$C$11+M23*ต้นทุนและราคา!$C$12+N23*ต้นทุนและราคา!$C$13+O23*ต้นทุนและราคา!$C$14+P23*ต้นทุนและราคา!$C$15+Q23*ต้นทุนและราคา!$C$16+R23*ต้นทุนและราคา!$C$17+S23*ต้นทุนและราคา!$C$18+T23*ต้นทุนและราคา!$C$19+U23*ต้นทุนและราคา!$C$20+IF($C23="16 oz",ต้นทุนและราคา!$C$21,IF($C23="20 oz",ต้นทุนและราคา!$C$22,ต้นทุนและราคา!$C$23)),2)</f>
        <v>21.67</v>
      </c>
      <c r="X23" s="64" cm="1">
        <f t="array" ref="X23">IFERROR(INDEX(ต้นทุนและราคา!$C$26:$E$101,MATCH($B23,ต้นทุนและราคา!$A$26:$A$101,0),IF($C23="16 oz",1,IF($C23="20 oz",2,3))),"")</f>
        <v>65</v>
      </c>
      <c r="Y23" s="66">
        <f t="shared" si="1"/>
        <v>0.66661538461538461</v>
      </c>
      <c r="Z23" s="48" t="s">
        <v>899</v>
      </c>
    </row>
    <row r="24" spans="1:26" x14ac:dyDescent="0.25">
      <c r="A24" s="4" t="str">
        <f t="shared" si="0"/>
        <v>Cream Cheese|16 oz|50%</v>
      </c>
      <c r="B24" s="4" t="s">
        <v>69</v>
      </c>
      <c r="C24" s="4" t="s">
        <v>5</v>
      </c>
      <c r="D24" s="4" t="s">
        <v>7</v>
      </c>
      <c r="E24" s="63">
        <v>120</v>
      </c>
      <c r="F24" s="63">
        <v>0</v>
      </c>
      <c r="G24" s="63">
        <v>0</v>
      </c>
      <c r="H24" s="63">
        <v>30</v>
      </c>
      <c r="I24" s="63">
        <v>14</v>
      </c>
      <c r="J24" s="63">
        <v>15.4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60</v>
      </c>
      <c r="S24" s="63">
        <v>200</v>
      </c>
      <c r="T24" s="63">
        <v>0</v>
      </c>
      <c r="U24" s="63">
        <v>0</v>
      </c>
      <c r="V24" s="65">
        <f t="shared" si="2"/>
        <v>179.4</v>
      </c>
      <c r="W24" s="8">
        <f>ROUND(E24*ต้นทุนและราคา!$C$4+F24*ต้นทุนและราคา!$C$5+G24*ต้นทุนและราคา!$C$6+H24*ต้นทุนและราคา!$C$7+I24*ต้นทุนและราคา!$C$8+J24*ต้นทุนและราคา!$C$9+K24*ต้นทุนและราคา!$C$10+L24*ต้นทุนและราคา!$C$11+M24*ต้นทุนและราคา!$C$12+N24*ต้นทุนและราคา!$C$13+O24*ต้นทุนและราคา!$C$14+P24*ต้นทุนและราคา!$C$15+Q24*ต้นทุนและราคา!$C$16+R24*ต้นทุนและราคา!$C$17+S24*ต้นทุนและราคา!$C$18+T24*ต้นทุนและราคา!$C$19+U24*ต้นทุนและราคา!$C$20+IF($C24="16 oz",ต้นทุนและราคา!$C$21,IF($C24="20 oz",ต้นทุนและราคา!$C$22,ต้นทุนและราคา!$C$23)),2)</f>
        <v>22.15</v>
      </c>
      <c r="X24" s="64" cm="1">
        <f t="array" ref="X24">IFERROR(INDEX(ต้นทุนและราคา!$C$26:$E$101,MATCH($B24,ต้นทุนและราคา!$A$26:$A$101,0),IF($C24="16 oz",1,IF($C24="20 oz",2,3))),"")</f>
        <v>65</v>
      </c>
      <c r="Y24" s="66">
        <f t="shared" si="1"/>
        <v>0.65923076923076929</v>
      </c>
      <c r="Z24" s="48" t="s">
        <v>899</v>
      </c>
    </row>
    <row r="25" spans="1:26" x14ac:dyDescent="0.25">
      <c r="A25" s="4" t="str">
        <f t="shared" si="0"/>
        <v>Cream Cheese|16 oz|75%</v>
      </c>
      <c r="B25" s="4" t="s">
        <v>69</v>
      </c>
      <c r="C25" s="4" t="s">
        <v>5</v>
      </c>
      <c r="D25" s="4" t="s">
        <v>65</v>
      </c>
      <c r="E25" s="63">
        <v>120</v>
      </c>
      <c r="F25" s="63">
        <v>0</v>
      </c>
      <c r="G25" s="63">
        <v>0</v>
      </c>
      <c r="H25" s="63">
        <v>30</v>
      </c>
      <c r="I25" s="63">
        <v>21</v>
      </c>
      <c r="J25" s="63">
        <v>15.4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60</v>
      </c>
      <c r="S25" s="63">
        <v>200</v>
      </c>
      <c r="T25" s="63">
        <v>0</v>
      </c>
      <c r="U25" s="63">
        <v>0</v>
      </c>
      <c r="V25" s="65">
        <f t="shared" si="2"/>
        <v>186.4</v>
      </c>
      <c r="W25" s="8">
        <f>ROUND(E25*ต้นทุนและราคา!$C$4+F25*ต้นทุนและราคา!$C$5+G25*ต้นทุนและราคา!$C$6+H25*ต้นทุนและราคา!$C$7+I25*ต้นทุนและราคา!$C$8+J25*ต้นทุนและราคา!$C$9+K25*ต้นทุนและราคา!$C$10+L25*ต้นทุนและราคา!$C$11+M25*ต้นทุนและราคา!$C$12+N25*ต้นทุนและราคา!$C$13+O25*ต้นทุนและราคา!$C$14+P25*ต้นทุนและราคา!$C$15+Q25*ต้นทุนและราคา!$C$16+R25*ต้นทุนและราคา!$C$17+S25*ต้นทุนและราคา!$C$18+T25*ต้นทุนและราคา!$C$19+U25*ต้นทุนและราคา!$C$20+IF($C25="16 oz",ต้นทุนและราคา!$C$21,IF($C25="20 oz",ต้นทุนและราคา!$C$22,ต้นทุนและราคา!$C$23)),2)</f>
        <v>22.64</v>
      </c>
      <c r="X25" s="64" cm="1">
        <f t="array" ref="X25">IFERROR(INDEX(ต้นทุนและราคา!$C$26:$E$101,MATCH($B25,ต้นทุนและราคา!$A$26:$A$101,0),IF($C25="16 oz",1,IF($C25="20 oz",2,3))),"")</f>
        <v>65</v>
      </c>
      <c r="Y25" s="66">
        <f t="shared" si="1"/>
        <v>0.65169230769230768</v>
      </c>
      <c r="Z25" s="48" t="s">
        <v>899</v>
      </c>
    </row>
    <row r="26" spans="1:26" x14ac:dyDescent="0.25">
      <c r="A26" s="4" t="str">
        <f t="shared" si="0"/>
        <v>Cream Cheese|16 oz|100%</v>
      </c>
      <c r="B26" s="4" t="s">
        <v>69</v>
      </c>
      <c r="C26" s="4" t="s">
        <v>5</v>
      </c>
      <c r="D26" s="4" t="s">
        <v>66</v>
      </c>
      <c r="E26" s="63">
        <v>120</v>
      </c>
      <c r="F26" s="63">
        <v>0</v>
      </c>
      <c r="G26" s="63">
        <v>0</v>
      </c>
      <c r="H26" s="63">
        <v>30</v>
      </c>
      <c r="I26" s="63">
        <v>28</v>
      </c>
      <c r="J26" s="63">
        <v>15.4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60</v>
      </c>
      <c r="S26" s="63">
        <v>200</v>
      </c>
      <c r="T26" s="63">
        <v>0</v>
      </c>
      <c r="U26" s="63">
        <v>0</v>
      </c>
      <c r="V26" s="65">
        <f t="shared" si="2"/>
        <v>193.4</v>
      </c>
      <c r="W26" s="8">
        <f>ROUND(E26*ต้นทุนและราคา!$C$4+F26*ต้นทุนและราคา!$C$5+G26*ต้นทุนและราคา!$C$6+H26*ต้นทุนและราคา!$C$7+I26*ต้นทุนและราคา!$C$8+J26*ต้นทุนและราคา!$C$9+K26*ต้นทุนและราคา!$C$10+L26*ต้นทุนและราคา!$C$11+M26*ต้นทุนและราคา!$C$12+N26*ต้นทุนและราคา!$C$13+O26*ต้นทุนและราคา!$C$14+P26*ต้นทุนและราคา!$C$15+Q26*ต้นทุนและราคา!$C$16+R26*ต้นทุนและราคา!$C$17+S26*ต้นทุนและราคา!$C$18+T26*ต้นทุนและราคา!$C$19+U26*ต้นทุนและราคา!$C$20+IF($C26="16 oz",ต้นทุนและราคา!$C$21,IF($C26="20 oz",ต้นทุนและราคา!$C$22,ต้นทุนและราคา!$C$23)),2)</f>
        <v>23.12</v>
      </c>
      <c r="X26" s="64" cm="1">
        <f t="array" ref="X26">IFERROR(INDEX(ต้นทุนและราคา!$C$26:$E$101,MATCH($B26,ต้นทุนและราคา!$A$26:$A$101,0),IF($C26="16 oz",1,IF($C26="20 oz",2,3))),"")</f>
        <v>65</v>
      </c>
      <c r="Y26" s="66">
        <f t="shared" si="1"/>
        <v>0.64430769230769225</v>
      </c>
      <c r="Z26" s="48" t="s">
        <v>899</v>
      </c>
    </row>
    <row r="27" spans="1:26" x14ac:dyDescent="0.25">
      <c r="A27" s="4" t="str">
        <f t="shared" si="0"/>
        <v>Cream Cheese|22 oz|0%</v>
      </c>
      <c r="B27" s="4" t="s">
        <v>69</v>
      </c>
      <c r="C27" s="4" t="s">
        <v>67</v>
      </c>
      <c r="D27" s="4" t="s">
        <v>63</v>
      </c>
      <c r="E27" s="63">
        <v>165</v>
      </c>
      <c r="F27" s="63">
        <v>0</v>
      </c>
      <c r="G27" s="63">
        <v>0</v>
      </c>
      <c r="H27" s="63">
        <v>41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82.5</v>
      </c>
      <c r="S27" s="63">
        <v>270</v>
      </c>
      <c r="T27" s="63">
        <v>0</v>
      </c>
      <c r="U27" s="63">
        <v>0</v>
      </c>
      <c r="V27" s="65">
        <f t="shared" si="2"/>
        <v>206</v>
      </c>
      <c r="W27" s="8">
        <f>ROUND(E27*ต้นทุนและราคา!$C$4+F27*ต้นทุนและราคา!$C$5+G27*ต้นทุนและราคา!$C$6+H27*ต้นทุนและราคา!$C$7+I27*ต้นทุนและราคา!$C$8+J27*ต้นทุนและราคา!$C$9+K27*ต้นทุนและราคา!$C$10+L27*ต้นทุนและราคา!$C$11+M27*ต้นทุนและราคา!$C$12+N27*ต้นทุนและราคา!$C$13+O27*ต้นทุนและราคา!$C$14+P27*ต้นทุนและราคา!$C$15+Q27*ต้นทุนและราคา!$C$16+R27*ต้นทุนและราคา!$C$17+S27*ต้นทุนและราคา!$C$18+T27*ต้นทุนและราคา!$C$19+U27*ต้นทุนและราคา!$C$20+IF($C27="16 oz",ต้นทุนและราคา!$C$21,IF($C27="20 oz",ต้นทุนและราคา!$C$22,ต้นทุนและราคา!$C$23)),2)</f>
        <v>27.98</v>
      </c>
      <c r="X27" s="64" cm="1">
        <f t="array" ref="X27">IFERROR(INDEX(ต้นทุนและราคา!$C$26:$E$101,MATCH($B27,ต้นทุนและราคา!$A$26:$A$101,0),IF($C27="16 oz",1,IF($C27="20 oz",2,3))),"")</f>
        <v>79</v>
      </c>
      <c r="Y27" s="66">
        <f t="shared" si="1"/>
        <v>0.64582278481012656</v>
      </c>
      <c r="Z27" s="48" t="s">
        <v>898</v>
      </c>
    </row>
    <row r="28" spans="1:26" x14ac:dyDescent="0.25">
      <c r="A28" s="4" t="str">
        <f t="shared" si="0"/>
        <v>Cream Cheese|22 oz|25%</v>
      </c>
      <c r="B28" s="4" t="s">
        <v>69</v>
      </c>
      <c r="C28" s="4" t="s">
        <v>67</v>
      </c>
      <c r="D28" s="4" t="s">
        <v>64</v>
      </c>
      <c r="E28" s="63">
        <v>165</v>
      </c>
      <c r="F28" s="63">
        <v>0</v>
      </c>
      <c r="G28" s="63">
        <v>0</v>
      </c>
      <c r="H28" s="63">
        <v>41</v>
      </c>
      <c r="I28" s="63">
        <v>9.5</v>
      </c>
      <c r="J28" s="63">
        <v>21.1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82.5</v>
      </c>
      <c r="S28" s="63">
        <v>270</v>
      </c>
      <c r="T28" s="63">
        <v>0</v>
      </c>
      <c r="U28" s="63">
        <v>0</v>
      </c>
      <c r="V28" s="65">
        <f t="shared" si="2"/>
        <v>236.6</v>
      </c>
      <c r="W28" s="8">
        <f>ROUND(E28*ต้นทุนและราคา!$C$4+F28*ต้นทุนและราคา!$C$5+G28*ต้นทุนและราคา!$C$6+H28*ต้นทุนและราคา!$C$7+I28*ต้นทุนและราคา!$C$8+J28*ต้นทุนและราคา!$C$9+K28*ต้นทุนและราคา!$C$10+L28*ต้นทุนและราคา!$C$11+M28*ต้นทุนและราคา!$C$12+N28*ต้นทุนและราคา!$C$13+O28*ต้นทุนและราคา!$C$14+P28*ต้นทุนและราคา!$C$15+Q28*ต้นทุนและราคา!$C$16+R28*ต้นทุนและราคา!$C$17+S28*ต้นทุนและราคา!$C$18+T28*ต้นทุนและราคา!$C$19+U28*ต้นทุนและราคา!$C$20+IF($C28="16 oz",ต้นทุนและราคา!$C$21,IF($C28="20 oz",ต้นทุนและราคา!$C$22,ต้นทุนและราคา!$C$23)),2)</f>
        <v>29</v>
      </c>
      <c r="X28" s="64" cm="1">
        <f t="array" ref="X28">IFERROR(INDEX(ต้นทุนและราคา!$C$26:$E$101,MATCH($B28,ต้นทุนและราคา!$A$26:$A$101,0),IF($C28="16 oz",1,IF($C28="20 oz",2,3))),"")</f>
        <v>79</v>
      </c>
      <c r="Y28" s="66">
        <f t="shared" si="1"/>
        <v>0.63291139240506333</v>
      </c>
      <c r="Z28" s="48" t="s">
        <v>899</v>
      </c>
    </row>
    <row r="29" spans="1:26" x14ac:dyDescent="0.25">
      <c r="A29" s="4" t="str">
        <f t="shared" si="0"/>
        <v>Cream Cheese|22 oz|50%</v>
      </c>
      <c r="B29" s="4" t="s">
        <v>69</v>
      </c>
      <c r="C29" s="4" t="s">
        <v>67</v>
      </c>
      <c r="D29" s="4" t="s">
        <v>7</v>
      </c>
      <c r="E29" s="63">
        <v>165</v>
      </c>
      <c r="F29" s="63">
        <v>0</v>
      </c>
      <c r="G29" s="63">
        <v>0</v>
      </c>
      <c r="H29" s="63">
        <v>41</v>
      </c>
      <c r="I29" s="63">
        <v>19</v>
      </c>
      <c r="J29" s="63">
        <v>21.1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82.5</v>
      </c>
      <c r="S29" s="63">
        <v>270</v>
      </c>
      <c r="T29" s="63">
        <v>0</v>
      </c>
      <c r="U29" s="63">
        <v>0</v>
      </c>
      <c r="V29" s="65">
        <f t="shared" si="2"/>
        <v>246.1</v>
      </c>
      <c r="W29" s="8">
        <f>ROUND(E29*ต้นทุนและราคา!$C$4+F29*ต้นทุนและราคา!$C$5+G29*ต้นทุนและราคา!$C$6+H29*ต้นทุนและราคา!$C$7+I29*ต้นทุนและราคา!$C$8+J29*ต้นทุนและราคา!$C$9+K29*ต้นทุนและราคา!$C$10+L29*ต้นทุนและราคา!$C$11+M29*ต้นทุนและราคา!$C$12+N29*ต้นทุนและราคา!$C$13+O29*ต้นทุนและราคา!$C$14+P29*ต้นทุนและราคา!$C$15+Q29*ต้นทุนและราคา!$C$16+R29*ต้นทุนและราคา!$C$17+S29*ต้นทุนและราคา!$C$18+T29*ต้นทุนและราคา!$C$19+U29*ต้นทุนและราคา!$C$20+IF($C29="16 oz",ต้นทุนและราคา!$C$21,IF($C29="20 oz",ต้นทุนและราคา!$C$22,ต้นทุนและราคา!$C$23)),2)</f>
        <v>29.65</v>
      </c>
      <c r="X29" s="64" cm="1">
        <f t="array" ref="X29">IFERROR(INDEX(ต้นทุนและราคา!$C$26:$E$101,MATCH($B29,ต้นทุนและราคา!$A$26:$A$101,0),IF($C29="16 oz",1,IF($C29="20 oz",2,3))),"")</f>
        <v>79</v>
      </c>
      <c r="Y29" s="66">
        <f t="shared" si="1"/>
        <v>0.62468354430379747</v>
      </c>
      <c r="Z29" s="48" t="s">
        <v>899</v>
      </c>
    </row>
    <row r="30" spans="1:26" x14ac:dyDescent="0.25">
      <c r="A30" s="4" t="str">
        <f t="shared" si="0"/>
        <v>Cream Cheese|22 oz|75%</v>
      </c>
      <c r="B30" s="4" t="s">
        <v>69</v>
      </c>
      <c r="C30" s="4" t="s">
        <v>67</v>
      </c>
      <c r="D30" s="4" t="s">
        <v>65</v>
      </c>
      <c r="E30" s="63">
        <v>165</v>
      </c>
      <c r="F30" s="63">
        <v>0</v>
      </c>
      <c r="G30" s="63">
        <v>0</v>
      </c>
      <c r="H30" s="63">
        <v>41</v>
      </c>
      <c r="I30" s="63">
        <v>29</v>
      </c>
      <c r="J30" s="63">
        <v>21.1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82.5</v>
      </c>
      <c r="S30" s="63">
        <v>270</v>
      </c>
      <c r="T30" s="63">
        <v>0</v>
      </c>
      <c r="U30" s="63">
        <v>0</v>
      </c>
      <c r="V30" s="65">
        <f t="shared" si="2"/>
        <v>256.10000000000002</v>
      </c>
      <c r="W30" s="8">
        <f>ROUND(E30*ต้นทุนและราคา!$C$4+F30*ต้นทุนและราคา!$C$5+G30*ต้นทุนและราคา!$C$6+H30*ต้นทุนและราคา!$C$7+I30*ต้นทุนและราคา!$C$8+J30*ต้นทุนและราคา!$C$9+K30*ต้นทุนและราคา!$C$10+L30*ต้นทุนและราคา!$C$11+M30*ต้นทุนและราคา!$C$12+N30*ต้นทุนและราคา!$C$13+O30*ต้นทุนและราคา!$C$14+P30*ต้นทุนและราคา!$C$15+Q30*ต้นทุนและราคา!$C$16+R30*ต้นทุนและราคา!$C$17+S30*ต้นทุนและราคา!$C$18+T30*ต้นทุนและราคา!$C$19+U30*ต้นทุนและราคา!$C$20+IF($C30="16 oz",ต้นทุนและราคา!$C$21,IF($C30="20 oz",ต้นทุนและราคา!$C$22,ต้นทุนและราคา!$C$23)),2)</f>
        <v>30.35</v>
      </c>
      <c r="X30" s="64" cm="1">
        <f t="array" ref="X30">IFERROR(INDEX(ต้นทุนและราคา!$C$26:$E$101,MATCH($B30,ต้นทุนและราคา!$A$26:$A$101,0),IF($C30="16 oz",1,IF($C30="20 oz",2,3))),"")</f>
        <v>79</v>
      </c>
      <c r="Y30" s="66">
        <f t="shared" si="1"/>
        <v>0.61582278481012653</v>
      </c>
      <c r="Z30" s="48" t="s">
        <v>899</v>
      </c>
    </row>
    <row r="31" spans="1:26" x14ac:dyDescent="0.25">
      <c r="A31" s="4" t="str">
        <f t="shared" si="0"/>
        <v>Cream Cheese|22 oz|100%</v>
      </c>
      <c r="B31" s="4" t="s">
        <v>69</v>
      </c>
      <c r="C31" s="4" t="s">
        <v>67</v>
      </c>
      <c r="D31" s="4" t="s">
        <v>66</v>
      </c>
      <c r="E31" s="63">
        <v>165</v>
      </c>
      <c r="F31" s="63">
        <v>0</v>
      </c>
      <c r="G31" s="63">
        <v>0</v>
      </c>
      <c r="H31" s="63">
        <v>41</v>
      </c>
      <c r="I31" s="63">
        <v>38.5</v>
      </c>
      <c r="J31" s="63">
        <v>21.1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82.5</v>
      </c>
      <c r="S31" s="63">
        <v>270</v>
      </c>
      <c r="T31" s="63">
        <v>0</v>
      </c>
      <c r="U31" s="63">
        <v>0</v>
      </c>
      <c r="V31" s="65">
        <f t="shared" si="2"/>
        <v>265.60000000000002</v>
      </c>
      <c r="W31" s="8">
        <f>ROUND(E31*ต้นทุนและราคา!$C$4+F31*ต้นทุนและราคา!$C$5+G31*ต้นทุนและราคา!$C$6+H31*ต้นทุนและราคา!$C$7+I31*ต้นทุนและราคา!$C$8+J31*ต้นทุนและราคา!$C$9+K31*ต้นทุนและราคา!$C$10+L31*ต้นทุนและราคา!$C$11+M31*ต้นทุนและราคา!$C$12+N31*ต้นทุนและราคา!$C$13+O31*ต้นทุนและราคา!$C$14+P31*ต้นทุนและราคา!$C$15+Q31*ต้นทุนและราคา!$C$16+R31*ต้นทุนและราคา!$C$17+S31*ต้นทุนและราคา!$C$18+T31*ต้นทุนและราคา!$C$19+U31*ต้นทุนและราคา!$C$20+IF($C31="16 oz",ต้นทุนและราคา!$C$21,IF($C31="20 oz",ต้นทุนและราคา!$C$22,ต้นทุนและราคา!$C$23)),2)</f>
        <v>31.01</v>
      </c>
      <c r="X31" s="64" cm="1">
        <f t="array" ref="X31">IFERROR(INDEX(ต้นทุนและราคา!$C$26:$E$101,MATCH($B31,ต้นทุนและราคา!$A$26:$A$101,0),IF($C31="16 oz",1,IF($C31="20 oz",2,3))),"")</f>
        <v>79</v>
      </c>
      <c r="Y31" s="66">
        <f t="shared" si="1"/>
        <v>0.60746835443037972</v>
      </c>
      <c r="Z31" s="48" t="s">
        <v>899</v>
      </c>
    </row>
    <row r="32" spans="1:26" x14ac:dyDescent="0.25">
      <c r="A32" s="4" t="str">
        <f t="shared" si="0"/>
        <v>Whip Cheese|16 oz|0%</v>
      </c>
      <c r="B32" s="4" t="s">
        <v>70</v>
      </c>
      <c r="C32" s="4" t="s">
        <v>5</v>
      </c>
      <c r="D32" s="4" t="s">
        <v>63</v>
      </c>
      <c r="E32" s="63">
        <v>115</v>
      </c>
      <c r="F32" s="63">
        <v>0</v>
      </c>
      <c r="G32" s="63">
        <v>50</v>
      </c>
      <c r="H32" s="63">
        <v>15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50</v>
      </c>
      <c r="S32" s="63">
        <v>200</v>
      </c>
      <c r="T32" s="63">
        <v>0</v>
      </c>
      <c r="U32" s="63">
        <v>0</v>
      </c>
      <c r="V32" s="65">
        <f t="shared" si="2"/>
        <v>180</v>
      </c>
      <c r="W32" s="8">
        <f>ROUND(E32*ต้นทุนและราคา!$C$4+F32*ต้นทุนและราคา!$C$5+G32*ต้นทุนและราคา!$C$6+H32*ต้นทุนและราคา!$C$7+I32*ต้นทุนและราคา!$C$8+J32*ต้นทุนและราคา!$C$9+K32*ต้นทุนและราคา!$C$10+L32*ต้นทุนและราคา!$C$11+M32*ต้นทุนและราคา!$C$12+N32*ต้นทุนและราคา!$C$13+O32*ต้นทุนและราคา!$C$14+P32*ต้นทุนและราคา!$C$15+Q32*ต้นทุนและราคา!$C$16+R32*ต้นทุนและราคา!$C$17+S32*ต้นทุนและราคา!$C$18+T32*ต้นทุนและราคา!$C$19+U32*ต้นทุนและราคา!$C$20+IF($C32="16 oz",ต้นทุนและราคา!$C$21,IF($C32="20 oz",ต้นทุนและราคา!$C$22,ต้นทุนและราคา!$C$23)),2)</f>
        <v>20.53</v>
      </c>
      <c r="X32" s="64" cm="1">
        <f t="array" ref="X32">IFERROR(INDEX(ต้นทุนและราคา!$C$26:$E$101,MATCH($B32,ต้นทุนและราคา!$A$26:$A$101,0),IF($C32="16 oz",1,IF($C32="20 oz",2,3))),"")</f>
        <v>65</v>
      </c>
      <c r="Y32" s="66">
        <f t="shared" si="1"/>
        <v>0.68415384615384611</v>
      </c>
      <c r="Z32" s="48" t="s">
        <v>900</v>
      </c>
    </row>
    <row r="33" spans="1:26" x14ac:dyDescent="0.25">
      <c r="A33" s="4" t="str">
        <f t="shared" si="0"/>
        <v>Whip Cheese|16 oz|25%</v>
      </c>
      <c r="B33" s="4" t="s">
        <v>70</v>
      </c>
      <c r="C33" s="4" t="s">
        <v>5</v>
      </c>
      <c r="D33" s="4" t="s">
        <v>64</v>
      </c>
      <c r="E33" s="63">
        <v>115</v>
      </c>
      <c r="F33" s="63">
        <v>0</v>
      </c>
      <c r="G33" s="63">
        <v>50</v>
      </c>
      <c r="H33" s="63">
        <v>15</v>
      </c>
      <c r="I33" s="63">
        <v>0</v>
      </c>
      <c r="J33" s="63">
        <v>19.7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50</v>
      </c>
      <c r="S33" s="63">
        <v>200</v>
      </c>
      <c r="T33" s="63">
        <v>0</v>
      </c>
      <c r="U33" s="63">
        <v>0</v>
      </c>
      <c r="V33" s="65">
        <f t="shared" si="2"/>
        <v>199.7</v>
      </c>
      <c r="W33" s="8">
        <f>ROUND(E33*ต้นทุนและราคา!$C$4+F33*ต้นทุนและราคา!$C$5+G33*ต้นทุนและราคา!$C$6+H33*ต้นทุนและราคา!$C$7+I33*ต้นทุนและราคา!$C$8+J33*ต้นทุนและราคา!$C$9+K33*ต้นทุนและราคา!$C$10+L33*ต้นทุนและราคา!$C$11+M33*ต้นทุนและราคา!$C$12+N33*ต้นทุนและราคา!$C$13+O33*ต้นทุนและราคา!$C$14+P33*ต้นทุนและราคา!$C$15+Q33*ต้นทุนและราคา!$C$16+R33*ต้นทุนและราคา!$C$17+S33*ต้นทุนและราคา!$C$18+T33*ต้นทุนและราคา!$C$19+U33*ต้นทุนและราคา!$C$20+IF($C33="16 oz",ต้นทุนและราคา!$C$21,IF($C33="20 oz",ต้นทุนและราคา!$C$22,ต้นทุนและราคา!$C$23)),2)</f>
        <v>20.86</v>
      </c>
      <c r="X33" s="64" cm="1">
        <f t="array" ref="X33">IFERROR(INDEX(ต้นทุนและราคา!$C$26:$E$101,MATCH($B33,ต้นทุนและราคา!$A$26:$A$101,0),IF($C33="16 oz",1,IF($C33="20 oz",2,3))),"")</f>
        <v>65</v>
      </c>
      <c r="Y33" s="66">
        <f t="shared" si="1"/>
        <v>0.67907692307692313</v>
      </c>
      <c r="Z33" s="48" t="s">
        <v>901</v>
      </c>
    </row>
    <row r="34" spans="1:26" x14ac:dyDescent="0.25">
      <c r="A34" s="4" t="str">
        <f t="shared" ref="A34:A65" si="3">IF($B34="","",$B34&amp;"|"&amp;$C34&amp;"|"&amp;$D34)</f>
        <v>Whip Cheese|16 oz|50%</v>
      </c>
      <c r="B34" s="4" t="s">
        <v>70</v>
      </c>
      <c r="C34" s="4" t="s">
        <v>5</v>
      </c>
      <c r="D34" s="4" t="s">
        <v>7</v>
      </c>
      <c r="E34" s="63">
        <v>115</v>
      </c>
      <c r="F34" s="63">
        <v>0</v>
      </c>
      <c r="G34" s="63">
        <v>50</v>
      </c>
      <c r="H34" s="63">
        <v>15</v>
      </c>
      <c r="I34" s="63">
        <v>0</v>
      </c>
      <c r="J34" s="63">
        <v>24.7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50</v>
      </c>
      <c r="S34" s="63">
        <v>200</v>
      </c>
      <c r="T34" s="63">
        <v>0</v>
      </c>
      <c r="U34" s="63">
        <v>0</v>
      </c>
      <c r="V34" s="65">
        <f t="shared" si="2"/>
        <v>204.7</v>
      </c>
      <c r="W34" s="8">
        <f>ROUND(E34*ต้นทุนและราคา!$C$4+F34*ต้นทุนและราคา!$C$5+G34*ต้นทุนและราคา!$C$6+H34*ต้นทุนและราคา!$C$7+I34*ต้นทุนและราคา!$C$8+J34*ต้นทุนและราคา!$C$9+K34*ต้นทุนและราคา!$C$10+L34*ต้นทุนและราคา!$C$11+M34*ต้นทุนและราคา!$C$12+N34*ต้นทุนและราคา!$C$13+O34*ต้นทุนและราคา!$C$14+P34*ต้นทุนและราคา!$C$15+Q34*ต้นทุนและราคา!$C$16+R34*ต้นทุนและราคา!$C$17+S34*ต้นทุนและราคา!$C$18+T34*ต้นทุนและราคา!$C$19+U34*ต้นทุนและราคา!$C$20+IF($C34="16 oz",ต้นทุนและราคา!$C$21,IF($C34="20 oz",ต้นทุนและราคา!$C$22,ต้นทุนและราคา!$C$23)),2)</f>
        <v>20.94</v>
      </c>
      <c r="X34" s="64" cm="1">
        <f t="array" ref="X34">IFERROR(INDEX(ต้นทุนและราคา!$C$26:$E$101,MATCH($B34,ต้นทุนและราคา!$A$26:$A$101,0),IF($C34="16 oz",1,IF($C34="20 oz",2,3))),"")</f>
        <v>65</v>
      </c>
      <c r="Y34" s="66">
        <f t="shared" ref="Y34:Y65" si="4">IFERROR(($X34-$W34)/$X34,"")</f>
        <v>0.67784615384615388</v>
      </c>
      <c r="Z34" s="48" t="s">
        <v>901</v>
      </c>
    </row>
    <row r="35" spans="1:26" x14ac:dyDescent="0.25">
      <c r="A35" s="4" t="str">
        <f t="shared" si="3"/>
        <v>Whip Cheese|16 oz|75%</v>
      </c>
      <c r="B35" s="4" t="s">
        <v>70</v>
      </c>
      <c r="C35" s="4" t="s">
        <v>5</v>
      </c>
      <c r="D35" s="4" t="s">
        <v>65</v>
      </c>
      <c r="E35" s="63">
        <v>115</v>
      </c>
      <c r="F35" s="63">
        <v>0</v>
      </c>
      <c r="G35" s="63">
        <v>50</v>
      </c>
      <c r="H35" s="63">
        <v>15</v>
      </c>
      <c r="I35" s="63">
        <v>0</v>
      </c>
      <c r="J35" s="63">
        <v>29.7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50</v>
      </c>
      <c r="S35" s="63">
        <v>200</v>
      </c>
      <c r="T35" s="63">
        <v>0</v>
      </c>
      <c r="U35" s="63">
        <v>0</v>
      </c>
      <c r="V35" s="65">
        <f t="shared" si="2"/>
        <v>209.7</v>
      </c>
      <c r="W35" s="8">
        <f>ROUND(E35*ต้นทุนและราคา!$C$4+F35*ต้นทุนและราคา!$C$5+G35*ต้นทุนและราคา!$C$6+H35*ต้นทุนและราคา!$C$7+I35*ต้นทุนและราคา!$C$8+J35*ต้นทุนและราคา!$C$9+K35*ต้นทุนและราคา!$C$10+L35*ต้นทุนและราคา!$C$11+M35*ต้นทุนและราคา!$C$12+N35*ต้นทุนและราคา!$C$13+O35*ต้นทุนและราคา!$C$14+P35*ต้นทุนและราคา!$C$15+Q35*ต้นทุนและราคา!$C$16+R35*ต้นทุนและราคา!$C$17+S35*ต้นทุนและราคา!$C$18+T35*ต้นทุนและราคา!$C$19+U35*ต้นทุนและราคา!$C$20+IF($C35="16 oz",ต้นทุนและราคา!$C$21,IF($C35="20 oz",ต้นทุนและราคา!$C$22,ต้นทุนและราคา!$C$23)),2)</f>
        <v>21.03</v>
      </c>
      <c r="X35" s="64" cm="1">
        <f t="array" ref="X35">IFERROR(INDEX(ต้นทุนและราคา!$C$26:$E$101,MATCH($B35,ต้นทุนและราคา!$A$26:$A$101,0),IF($C35="16 oz",1,IF($C35="20 oz",2,3))),"")</f>
        <v>65</v>
      </c>
      <c r="Y35" s="66">
        <f t="shared" si="4"/>
        <v>0.67646153846153845</v>
      </c>
      <c r="Z35" s="48" t="s">
        <v>901</v>
      </c>
    </row>
    <row r="36" spans="1:26" x14ac:dyDescent="0.25">
      <c r="A36" s="4" t="str">
        <f t="shared" si="3"/>
        <v>Whip Cheese|16 oz|100%</v>
      </c>
      <c r="B36" s="4" t="s">
        <v>70</v>
      </c>
      <c r="C36" s="4" t="s">
        <v>5</v>
      </c>
      <c r="D36" s="4" t="s">
        <v>66</v>
      </c>
      <c r="E36" s="63">
        <v>115</v>
      </c>
      <c r="F36" s="63">
        <v>0</v>
      </c>
      <c r="G36" s="63">
        <v>50</v>
      </c>
      <c r="H36" s="63">
        <v>15</v>
      </c>
      <c r="I36" s="63">
        <v>0</v>
      </c>
      <c r="J36" s="63">
        <v>34.700000000000003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50</v>
      </c>
      <c r="S36" s="63">
        <v>200</v>
      </c>
      <c r="T36" s="63">
        <v>0</v>
      </c>
      <c r="U36" s="63">
        <v>0</v>
      </c>
      <c r="V36" s="65">
        <f t="shared" si="2"/>
        <v>214.7</v>
      </c>
      <c r="W36" s="8">
        <f>ROUND(E36*ต้นทุนและราคา!$C$4+F36*ต้นทุนและราคา!$C$5+G36*ต้นทุนและราคา!$C$6+H36*ต้นทุนและราคา!$C$7+I36*ต้นทุนและราคา!$C$8+J36*ต้นทุนและราคา!$C$9+K36*ต้นทุนและราคา!$C$10+L36*ต้นทุนและราคา!$C$11+M36*ต้นทุนและราคา!$C$12+N36*ต้นทุนและราคา!$C$13+O36*ต้นทุนและราคา!$C$14+P36*ต้นทุนและราคา!$C$15+Q36*ต้นทุนและราคา!$C$16+R36*ต้นทุนและราคา!$C$17+S36*ต้นทุนและราคา!$C$18+T36*ต้นทุนและราคา!$C$19+U36*ต้นทุนและราคา!$C$20+IF($C36="16 oz",ต้นทุนและราคา!$C$21,IF($C36="20 oz",ต้นทุนและราคา!$C$22,ต้นทุนและราคา!$C$23)),2)</f>
        <v>21.11</v>
      </c>
      <c r="X36" s="64" cm="1">
        <f t="array" ref="X36">IFERROR(INDEX(ต้นทุนและราคา!$C$26:$E$101,MATCH($B36,ต้นทุนและราคา!$A$26:$A$101,0),IF($C36="16 oz",1,IF($C36="20 oz",2,3))),"")</f>
        <v>65</v>
      </c>
      <c r="Y36" s="66">
        <f t="shared" si="4"/>
        <v>0.67523076923076919</v>
      </c>
      <c r="Z36" s="48" t="s">
        <v>901</v>
      </c>
    </row>
    <row r="37" spans="1:26" x14ac:dyDescent="0.25">
      <c r="A37" s="4" t="str">
        <f t="shared" si="3"/>
        <v>Whip Cheese|22 oz|0%</v>
      </c>
      <c r="B37" s="4" t="s">
        <v>70</v>
      </c>
      <c r="C37" s="4" t="s">
        <v>67</v>
      </c>
      <c r="D37" s="4" t="s">
        <v>63</v>
      </c>
      <c r="E37" s="63">
        <v>158</v>
      </c>
      <c r="F37" s="63">
        <v>0</v>
      </c>
      <c r="G37" s="63">
        <v>69</v>
      </c>
      <c r="H37" s="63">
        <v>20.5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69</v>
      </c>
      <c r="S37" s="63">
        <v>270</v>
      </c>
      <c r="T37" s="63">
        <v>0</v>
      </c>
      <c r="U37" s="63">
        <v>0</v>
      </c>
      <c r="V37" s="65">
        <f t="shared" si="2"/>
        <v>247.5</v>
      </c>
      <c r="W37" s="8">
        <f>ROUND(E37*ต้นทุนและราคา!$C$4+F37*ต้นทุนและราคา!$C$5+G37*ต้นทุนและราคา!$C$6+H37*ต้นทุนและราคา!$C$7+I37*ต้นทุนและราคา!$C$8+J37*ต้นทุนและราคา!$C$9+K37*ต้นทุนและราคา!$C$10+L37*ต้นทุนและราคา!$C$11+M37*ต้นทุนและราคา!$C$12+N37*ต้นทุนและราคา!$C$13+O37*ต้นทุนและราคา!$C$14+P37*ต้นทุนและราคา!$C$15+Q37*ต้นทุนและราคา!$C$16+R37*ต้นทุนและราคา!$C$17+S37*ต้นทุนและราคา!$C$18+T37*ต้นทุนและราคา!$C$19+U37*ต้นทุนและราคา!$C$20+IF($C37="16 oz",ต้นทุนและราคา!$C$21,IF($C37="20 oz",ต้นทุนและราคา!$C$22,ต้นทุนและราคา!$C$23)),2)</f>
        <v>27.5</v>
      </c>
      <c r="X37" s="64" cm="1">
        <f t="array" ref="X37">IFERROR(INDEX(ต้นทุนและราคา!$C$26:$E$101,MATCH($B37,ต้นทุนและราคา!$A$26:$A$101,0),IF($C37="16 oz",1,IF($C37="20 oz",2,3))),"")</f>
        <v>75</v>
      </c>
      <c r="Y37" s="66">
        <f t="shared" si="4"/>
        <v>0.6333333333333333</v>
      </c>
      <c r="Z37" s="48" t="s">
        <v>900</v>
      </c>
    </row>
    <row r="38" spans="1:26" x14ac:dyDescent="0.25">
      <c r="A38" s="4" t="str">
        <f t="shared" si="3"/>
        <v>Whip Cheese|22 oz|25%</v>
      </c>
      <c r="B38" s="4" t="s">
        <v>70</v>
      </c>
      <c r="C38" s="4" t="s">
        <v>67</v>
      </c>
      <c r="D38" s="4" t="s">
        <v>64</v>
      </c>
      <c r="E38" s="63">
        <v>158</v>
      </c>
      <c r="F38" s="63">
        <v>0</v>
      </c>
      <c r="G38" s="63">
        <v>69</v>
      </c>
      <c r="H38" s="63">
        <v>20.5</v>
      </c>
      <c r="I38" s="63">
        <v>0</v>
      </c>
      <c r="J38" s="63">
        <v>27.2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69</v>
      </c>
      <c r="S38" s="63">
        <v>270</v>
      </c>
      <c r="T38" s="63">
        <v>0</v>
      </c>
      <c r="U38" s="63">
        <v>0</v>
      </c>
      <c r="V38" s="65">
        <f t="shared" si="2"/>
        <v>274.7</v>
      </c>
      <c r="W38" s="8">
        <f>ROUND(E38*ต้นทุนและราคา!$C$4+F38*ต้นทุนและราคา!$C$5+G38*ต้นทุนและราคา!$C$6+H38*ต้นทุนและราคา!$C$7+I38*ต้นทุนและราคา!$C$8+J38*ต้นทุนและราคา!$C$9+K38*ต้นทุนและราคา!$C$10+L38*ต้นทุนและราคา!$C$11+M38*ต้นทุนและราคา!$C$12+N38*ต้นทุนและราคา!$C$13+O38*ต้นทุนและราคา!$C$14+P38*ต้นทุนและราคา!$C$15+Q38*ต้นทุนและราคา!$C$16+R38*ต้นทุนและราคา!$C$17+S38*ต้นทุนและราคา!$C$18+T38*ต้นทุนและราคา!$C$19+U38*ต้นทุนและราคา!$C$20+IF($C38="16 oz",ต้นทุนและราคา!$C$21,IF($C38="20 oz",ต้นทุนและราคา!$C$22,ต้นทุนและราคา!$C$23)),2)</f>
        <v>27.96</v>
      </c>
      <c r="X38" s="64" cm="1">
        <f t="array" ref="X38">IFERROR(INDEX(ต้นทุนและราคา!$C$26:$E$101,MATCH($B38,ต้นทุนและราคา!$A$26:$A$101,0),IF($C38="16 oz",1,IF($C38="20 oz",2,3))),"")</f>
        <v>75</v>
      </c>
      <c r="Y38" s="66">
        <f t="shared" si="4"/>
        <v>0.62719999999999998</v>
      </c>
      <c r="Z38" s="48" t="s">
        <v>901</v>
      </c>
    </row>
    <row r="39" spans="1:26" x14ac:dyDescent="0.25">
      <c r="A39" s="4" t="str">
        <f t="shared" si="3"/>
        <v>Whip Cheese|22 oz|50%</v>
      </c>
      <c r="B39" s="4" t="s">
        <v>70</v>
      </c>
      <c r="C39" s="4" t="s">
        <v>67</v>
      </c>
      <c r="D39" s="4" t="s">
        <v>7</v>
      </c>
      <c r="E39" s="63">
        <v>158</v>
      </c>
      <c r="F39" s="63">
        <v>0</v>
      </c>
      <c r="G39" s="63">
        <v>69</v>
      </c>
      <c r="H39" s="63">
        <v>20.5</v>
      </c>
      <c r="I39" s="63">
        <v>0</v>
      </c>
      <c r="J39" s="63">
        <v>34.200000000000003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69</v>
      </c>
      <c r="S39" s="63">
        <v>270</v>
      </c>
      <c r="T39" s="63">
        <v>0</v>
      </c>
      <c r="U39" s="63">
        <v>0</v>
      </c>
      <c r="V39" s="65">
        <f t="shared" si="2"/>
        <v>281.7</v>
      </c>
      <c r="W39" s="8">
        <f>ROUND(E39*ต้นทุนและราคา!$C$4+F39*ต้นทุนและราคา!$C$5+G39*ต้นทุนและราคา!$C$6+H39*ต้นทุนและราคา!$C$7+I39*ต้นทุนและราคา!$C$8+J39*ต้นทุนและราคา!$C$9+K39*ต้นทุนและราคา!$C$10+L39*ต้นทุนและราคา!$C$11+M39*ต้นทุนและราคา!$C$12+N39*ต้นทุนและราคา!$C$13+O39*ต้นทุนและราคา!$C$14+P39*ต้นทุนและราคา!$C$15+Q39*ต้นทุนและราคา!$C$16+R39*ต้นทุนและราคา!$C$17+S39*ต้นทุนและราคา!$C$18+T39*ต้นทุนและราคา!$C$19+U39*ต้นทุนและราคา!$C$20+IF($C39="16 oz",ต้นทุนและราคา!$C$21,IF($C39="20 oz",ต้นทุนและราคา!$C$22,ต้นทุนและราคา!$C$23)),2)</f>
        <v>28.07</v>
      </c>
      <c r="X39" s="64" cm="1">
        <f t="array" ref="X39">IFERROR(INDEX(ต้นทุนและราคา!$C$26:$E$101,MATCH($B39,ต้นทุนและราคา!$A$26:$A$101,0),IF($C39="16 oz",1,IF($C39="20 oz",2,3))),"")</f>
        <v>75</v>
      </c>
      <c r="Y39" s="66">
        <f t="shared" si="4"/>
        <v>0.62573333333333336</v>
      </c>
      <c r="Z39" s="48" t="s">
        <v>901</v>
      </c>
    </row>
    <row r="40" spans="1:26" x14ac:dyDescent="0.25">
      <c r="A40" s="4" t="str">
        <f t="shared" si="3"/>
        <v>Whip Cheese|22 oz|75%</v>
      </c>
      <c r="B40" s="4" t="s">
        <v>70</v>
      </c>
      <c r="C40" s="4" t="s">
        <v>67</v>
      </c>
      <c r="D40" s="4" t="s">
        <v>65</v>
      </c>
      <c r="E40" s="63">
        <v>158</v>
      </c>
      <c r="F40" s="63">
        <v>0</v>
      </c>
      <c r="G40" s="63">
        <v>69</v>
      </c>
      <c r="H40" s="63">
        <v>20.5</v>
      </c>
      <c r="I40" s="63">
        <v>0</v>
      </c>
      <c r="J40" s="63">
        <v>40.700000000000003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69</v>
      </c>
      <c r="S40" s="63">
        <v>270</v>
      </c>
      <c r="T40" s="63">
        <v>0</v>
      </c>
      <c r="U40" s="63">
        <v>0</v>
      </c>
      <c r="V40" s="65">
        <f t="shared" si="2"/>
        <v>288.2</v>
      </c>
      <c r="W40" s="8">
        <f>ROUND(E40*ต้นทุนและราคา!$C$4+F40*ต้นทุนและราคา!$C$5+G40*ต้นทุนและราคา!$C$6+H40*ต้นทุนและราคา!$C$7+I40*ต้นทุนและราคา!$C$8+J40*ต้นทุนและราคา!$C$9+K40*ต้นทุนและราคา!$C$10+L40*ต้นทุนและราคา!$C$11+M40*ต้นทุนและราคา!$C$12+N40*ต้นทุนและราคา!$C$13+O40*ต้นทุนและราคา!$C$14+P40*ต้นทุนและราคา!$C$15+Q40*ต้นทุนและราคา!$C$16+R40*ต้นทุนและราคา!$C$17+S40*ต้นทุนและราคา!$C$18+T40*ต้นทุนและราคา!$C$19+U40*ต้นทุนและราคา!$C$20+IF($C40="16 oz",ต้นทุนและราคา!$C$21,IF($C40="20 oz",ต้นทุนและราคา!$C$22,ต้นทุนและราคา!$C$23)),2)</f>
        <v>28.18</v>
      </c>
      <c r="X40" s="64" cm="1">
        <f t="array" ref="X40">IFERROR(INDEX(ต้นทุนและราคา!$C$26:$E$101,MATCH($B40,ต้นทุนและราคา!$A$26:$A$101,0),IF($C40="16 oz",1,IF($C40="20 oz",2,3))),"")</f>
        <v>75</v>
      </c>
      <c r="Y40" s="66">
        <f t="shared" si="4"/>
        <v>0.62426666666666664</v>
      </c>
      <c r="Z40" s="48" t="s">
        <v>901</v>
      </c>
    </row>
    <row r="41" spans="1:26" x14ac:dyDescent="0.25">
      <c r="A41" s="4" t="str">
        <f t="shared" si="3"/>
        <v>Whip Cheese|22 oz|100%</v>
      </c>
      <c r="B41" s="4" t="s">
        <v>70</v>
      </c>
      <c r="C41" s="4" t="s">
        <v>67</v>
      </c>
      <c r="D41" s="4" t="s">
        <v>66</v>
      </c>
      <c r="E41" s="63">
        <v>158</v>
      </c>
      <c r="F41" s="63">
        <v>0</v>
      </c>
      <c r="G41" s="63">
        <v>69</v>
      </c>
      <c r="H41" s="63">
        <v>20.5</v>
      </c>
      <c r="I41" s="63">
        <v>0</v>
      </c>
      <c r="J41" s="63">
        <v>47.7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69</v>
      </c>
      <c r="S41" s="63">
        <v>270</v>
      </c>
      <c r="T41" s="63">
        <v>0</v>
      </c>
      <c r="U41" s="63">
        <v>0</v>
      </c>
      <c r="V41" s="65">
        <f t="shared" si="2"/>
        <v>295.2</v>
      </c>
      <c r="W41" s="8">
        <f>ROUND(E41*ต้นทุนและราคา!$C$4+F41*ต้นทุนและราคา!$C$5+G41*ต้นทุนและราคา!$C$6+H41*ต้นทุนและราคา!$C$7+I41*ต้นทุนและราคา!$C$8+J41*ต้นทุนและราคา!$C$9+K41*ต้นทุนและราคา!$C$10+L41*ต้นทุนและราคา!$C$11+M41*ต้นทุนและราคา!$C$12+N41*ต้นทุนและราคา!$C$13+O41*ต้นทุนและราคา!$C$14+P41*ต้นทุนและราคา!$C$15+Q41*ต้นทุนและราคา!$C$16+R41*ต้นทุนและราคา!$C$17+S41*ต้นทุนและราคา!$C$18+T41*ต้นทุนและราคา!$C$19+U41*ต้นทุนและราคา!$C$20+IF($C41="16 oz",ต้นทุนและราคา!$C$21,IF($C41="20 oz",ต้นทุนและราคา!$C$22,ต้นทุนและราคา!$C$23)),2)</f>
        <v>28.3</v>
      </c>
      <c r="X41" s="64" cm="1">
        <f t="array" ref="X41">IFERROR(INDEX(ต้นทุนและราคา!$C$26:$E$101,MATCH($B41,ต้นทุนและราคา!$A$26:$A$101,0),IF($C41="16 oz",1,IF($C41="20 oz",2,3))),"")</f>
        <v>75</v>
      </c>
      <c r="Y41" s="66">
        <f t="shared" si="4"/>
        <v>0.6226666666666667</v>
      </c>
      <c r="Z41" s="48" t="s">
        <v>901</v>
      </c>
    </row>
    <row r="42" spans="1:26" x14ac:dyDescent="0.25">
      <c r="A42" s="4" t="str">
        <f t="shared" si="3"/>
        <v>Orange Latte|16 oz|0%</v>
      </c>
      <c r="B42" s="4" t="s">
        <v>71</v>
      </c>
      <c r="C42" s="4" t="s">
        <v>5</v>
      </c>
      <c r="D42" s="4" t="s">
        <v>63</v>
      </c>
      <c r="E42" s="63">
        <v>75</v>
      </c>
      <c r="F42" s="63">
        <v>0</v>
      </c>
      <c r="G42" s="63">
        <v>22</v>
      </c>
      <c r="H42" s="63">
        <v>18</v>
      </c>
      <c r="I42" s="63">
        <v>0</v>
      </c>
      <c r="J42" s="63">
        <v>0</v>
      </c>
      <c r="K42" s="63">
        <v>0</v>
      </c>
      <c r="L42" s="63">
        <v>0</v>
      </c>
      <c r="M42" s="63">
        <v>80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240</v>
      </c>
      <c r="T42" s="63">
        <v>0</v>
      </c>
      <c r="U42" s="63">
        <v>0</v>
      </c>
      <c r="V42" s="65">
        <f t="shared" si="2"/>
        <v>195</v>
      </c>
      <c r="W42" s="8">
        <f>ROUND(E42*ต้นทุนและราคา!$C$4+F42*ต้นทุนและราคา!$C$5+G42*ต้นทุนและราคา!$C$6+H42*ต้นทุนและราคา!$C$7+I42*ต้นทุนและราคา!$C$8+J42*ต้นทุนและราคา!$C$9+K42*ต้นทุนและราคา!$C$10+L42*ต้นทุนและราคา!$C$11+M42*ต้นทุนและราคา!$C$12+N42*ต้นทุนและราคา!$C$13+O42*ต้นทุนและราคา!$C$14+P42*ต้นทุนและราคา!$C$15+Q42*ต้นทุนและราคา!$C$16+R42*ต้นทุนและราคา!$C$17+S42*ต้นทุนและราคา!$C$18+T42*ต้นทุนและราคา!$C$19+U42*ต้นทุนและราคา!$C$20+IF($C42="16 oz",ต้นทุนและราคา!$C$21,IF($C42="20 oz",ต้นทุนและราคา!$C$22,ต้นทุนและราคา!$C$23)),2)</f>
        <v>15.65</v>
      </c>
      <c r="X42" s="64" cm="1">
        <f t="array" ref="X42">IFERROR(INDEX(ต้นทุนและราคา!$C$26:$E$101,MATCH($B42,ต้นทุนและราคา!$A$26:$A$101,0),IF($C42="16 oz",1,IF($C42="20 oz",2,3))),"")</f>
        <v>55</v>
      </c>
      <c r="Y42" s="66">
        <f t="shared" si="4"/>
        <v>0.71545454545454545</v>
      </c>
      <c r="Z42" s="48" t="s">
        <v>902</v>
      </c>
    </row>
    <row r="43" spans="1:26" x14ac:dyDescent="0.25">
      <c r="A43" s="4" t="str">
        <f t="shared" si="3"/>
        <v>Orange Latte|16 oz|25%</v>
      </c>
      <c r="B43" s="4" t="s">
        <v>71</v>
      </c>
      <c r="C43" s="4" t="s">
        <v>5</v>
      </c>
      <c r="D43" s="4" t="s">
        <v>64</v>
      </c>
      <c r="E43" s="63">
        <v>75</v>
      </c>
      <c r="F43" s="63">
        <v>0</v>
      </c>
      <c r="G43" s="63">
        <v>22</v>
      </c>
      <c r="H43" s="63">
        <v>18</v>
      </c>
      <c r="I43" s="63">
        <v>5</v>
      </c>
      <c r="J43" s="63">
        <v>9.6</v>
      </c>
      <c r="K43" s="63">
        <v>0</v>
      </c>
      <c r="L43" s="63">
        <v>0</v>
      </c>
      <c r="M43" s="63">
        <v>80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240</v>
      </c>
      <c r="T43" s="63">
        <v>0</v>
      </c>
      <c r="U43" s="63">
        <v>0</v>
      </c>
      <c r="V43" s="65">
        <f t="shared" si="2"/>
        <v>209.6</v>
      </c>
      <c r="W43" s="8">
        <f>ROUND(E43*ต้นทุนและราคา!$C$4+F43*ต้นทุนและราคา!$C$5+G43*ต้นทุนและราคา!$C$6+H43*ต้นทุนและราคา!$C$7+I43*ต้นทุนและราคา!$C$8+J43*ต้นทุนและราคา!$C$9+K43*ต้นทุนและราคา!$C$10+L43*ต้นทุนและราคา!$C$11+M43*ต้นทุนและราคา!$C$12+N43*ต้นทุนและราคา!$C$13+O43*ต้นทุนและราคา!$C$14+P43*ต้นทุนและราคา!$C$15+Q43*ต้นทุนและราคา!$C$16+R43*ต้นทุนและราคา!$C$17+S43*ต้นทุนและราคา!$C$18+T43*ต้นทุนและราคา!$C$19+U43*ต้นทุนและราคา!$C$20+IF($C43="16 oz",ต้นทุนและราคา!$C$21,IF($C43="20 oz",ต้นทุนและราคา!$C$22,ต้นทุนและราคา!$C$23)),2)</f>
        <v>16.16</v>
      </c>
      <c r="X43" s="64" cm="1">
        <f t="array" ref="X43">IFERROR(INDEX(ต้นทุนและราคา!$C$26:$E$101,MATCH($B43,ต้นทุนและราคา!$A$26:$A$101,0),IF($C43="16 oz",1,IF($C43="20 oz",2,3))),"")</f>
        <v>55</v>
      </c>
      <c r="Y43" s="66">
        <f t="shared" si="4"/>
        <v>0.70618181818181824</v>
      </c>
      <c r="Z43" s="48" t="s">
        <v>903</v>
      </c>
    </row>
    <row r="44" spans="1:26" x14ac:dyDescent="0.25">
      <c r="A44" s="4" t="str">
        <f t="shared" si="3"/>
        <v>Orange Latte|16 oz|50%</v>
      </c>
      <c r="B44" s="4" t="s">
        <v>71</v>
      </c>
      <c r="C44" s="4" t="s">
        <v>5</v>
      </c>
      <c r="D44" s="4" t="s">
        <v>7</v>
      </c>
      <c r="E44" s="63">
        <v>75</v>
      </c>
      <c r="F44" s="63">
        <v>0</v>
      </c>
      <c r="G44" s="63">
        <v>22</v>
      </c>
      <c r="H44" s="63">
        <v>18</v>
      </c>
      <c r="I44" s="63">
        <v>10</v>
      </c>
      <c r="J44" s="63">
        <v>9.6</v>
      </c>
      <c r="K44" s="63">
        <v>0</v>
      </c>
      <c r="L44" s="63">
        <v>0</v>
      </c>
      <c r="M44" s="63">
        <v>80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240</v>
      </c>
      <c r="T44" s="63">
        <v>0</v>
      </c>
      <c r="U44" s="63">
        <v>0</v>
      </c>
      <c r="V44" s="65">
        <f t="shared" si="2"/>
        <v>214.6</v>
      </c>
      <c r="W44" s="8">
        <f>ROUND(E44*ต้นทุนและราคา!$C$4+F44*ต้นทุนและราคา!$C$5+G44*ต้นทุนและราคา!$C$6+H44*ต้นทุนและราคา!$C$7+I44*ต้นทุนและราคา!$C$8+J44*ต้นทุนและราคา!$C$9+K44*ต้นทุนและราคา!$C$10+L44*ต้นทุนและราคา!$C$11+M44*ต้นทุนและราคา!$C$12+N44*ต้นทุนและราคา!$C$13+O44*ต้นทุนและราคา!$C$14+P44*ต้นทุนและราคา!$C$15+Q44*ต้นทุนและราคา!$C$16+R44*ต้นทุนและราคา!$C$17+S44*ต้นทุนและราคา!$C$18+T44*ต้นทุนและราคา!$C$19+U44*ต้นทุนและราคา!$C$20+IF($C44="16 oz",ต้นทุนและราคา!$C$21,IF($C44="20 oz",ต้นทุนและราคา!$C$22,ต้นทุนและราคา!$C$23)),2)</f>
        <v>16.5</v>
      </c>
      <c r="X44" s="64" cm="1">
        <f t="array" ref="X44">IFERROR(INDEX(ต้นทุนและราคา!$C$26:$E$101,MATCH($B44,ต้นทุนและราคา!$A$26:$A$101,0),IF($C44="16 oz",1,IF($C44="20 oz",2,3))),"")</f>
        <v>55</v>
      </c>
      <c r="Y44" s="66">
        <f t="shared" si="4"/>
        <v>0.7</v>
      </c>
      <c r="Z44" s="48" t="s">
        <v>903</v>
      </c>
    </row>
    <row r="45" spans="1:26" x14ac:dyDescent="0.25">
      <c r="A45" s="4" t="str">
        <f t="shared" si="3"/>
        <v>Orange Latte|16 oz|75%</v>
      </c>
      <c r="B45" s="4" t="s">
        <v>71</v>
      </c>
      <c r="C45" s="4" t="s">
        <v>5</v>
      </c>
      <c r="D45" s="4" t="s">
        <v>65</v>
      </c>
      <c r="E45" s="63">
        <v>75</v>
      </c>
      <c r="F45" s="63">
        <v>0</v>
      </c>
      <c r="G45" s="63">
        <v>22</v>
      </c>
      <c r="H45" s="63">
        <v>18</v>
      </c>
      <c r="I45" s="63">
        <v>15</v>
      </c>
      <c r="J45" s="63">
        <v>9.6</v>
      </c>
      <c r="K45" s="63">
        <v>0</v>
      </c>
      <c r="L45" s="63">
        <v>0</v>
      </c>
      <c r="M45" s="63">
        <v>80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240</v>
      </c>
      <c r="T45" s="63">
        <v>0</v>
      </c>
      <c r="U45" s="63">
        <v>0</v>
      </c>
      <c r="V45" s="65">
        <f t="shared" si="2"/>
        <v>219.6</v>
      </c>
      <c r="W45" s="8">
        <f>ROUND(E45*ต้นทุนและราคา!$C$4+F45*ต้นทุนและราคา!$C$5+G45*ต้นทุนและราคา!$C$6+H45*ต้นทุนและราคา!$C$7+I45*ต้นทุนและราคา!$C$8+J45*ต้นทุนและราคา!$C$9+K45*ต้นทุนและราคา!$C$10+L45*ต้นทุนและราคา!$C$11+M45*ต้นทุนและราคา!$C$12+N45*ต้นทุนและราคา!$C$13+O45*ต้นทุนและราคา!$C$14+P45*ต้นทุนและราคา!$C$15+Q45*ต้นทุนและราคา!$C$16+R45*ต้นทุนและราคา!$C$17+S45*ต้นทุนและราคา!$C$18+T45*ต้นทุนและราคา!$C$19+U45*ต้นทุนและราคา!$C$20+IF($C45="16 oz",ต้นทุนและราคา!$C$21,IF($C45="20 oz",ต้นทุนและราคา!$C$22,ต้นทุนและราคา!$C$23)),2)</f>
        <v>16.850000000000001</v>
      </c>
      <c r="X45" s="64" cm="1">
        <f t="array" ref="X45">IFERROR(INDEX(ต้นทุนและราคา!$C$26:$E$101,MATCH($B45,ต้นทุนและราคา!$A$26:$A$101,0),IF($C45="16 oz",1,IF($C45="20 oz",2,3))),"")</f>
        <v>55</v>
      </c>
      <c r="Y45" s="66">
        <f t="shared" si="4"/>
        <v>0.69363636363636361</v>
      </c>
      <c r="Z45" s="48" t="s">
        <v>903</v>
      </c>
    </row>
    <row r="46" spans="1:26" x14ac:dyDescent="0.25">
      <c r="A46" s="4" t="str">
        <f t="shared" si="3"/>
        <v>Orange Latte|16 oz|100%</v>
      </c>
      <c r="B46" s="4" t="s">
        <v>71</v>
      </c>
      <c r="C46" s="4" t="s">
        <v>5</v>
      </c>
      <c r="D46" s="4" t="s">
        <v>66</v>
      </c>
      <c r="E46" s="63">
        <v>75</v>
      </c>
      <c r="F46" s="63">
        <v>0</v>
      </c>
      <c r="G46" s="63">
        <v>22</v>
      </c>
      <c r="H46" s="63">
        <v>18</v>
      </c>
      <c r="I46" s="63">
        <v>20</v>
      </c>
      <c r="J46" s="63">
        <v>9.6</v>
      </c>
      <c r="K46" s="63">
        <v>0</v>
      </c>
      <c r="L46" s="63">
        <v>0</v>
      </c>
      <c r="M46" s="63">
        <v>80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240</v>
      </c>
      <c r="T46" s="63">
        <v>0</v>
      </c>
      <c r="U46" s="63">
        <v>0</v>
      </c>
      <c r="V46" s="65">
        <f t="shared" si="2"/>
        <v>224.6</v>
      </c>
      <c r="W46" s="8">
        <f>ROUND(E46*ต้นทุนและราคา!$C$4+F46*ต้นทุนและราคา!$C$5+G46*ต้นทุนและราคา!$C$6+H46*ต้นทุนและราคา!$C$7+I46*ต้นทุนและราคา!$C$8+J46*ต้นทุนและราคา!$C$9+K46*ต้นทุนและราคา!$C$10+L46*ต้นทุนและราคา!$C$11+M46*ต้นทุนและราคา!$C$12+N46*ต้นทุนและราคา!$C$13+O46*ต้นทุนและราคา!$C$14+P46*ต้นทุนและราคา!$C$15+Q46*ต้นทุนและราคา!$C$16+R46*ต้นทุนและราคา!$C$17+S46*ต้นทุนและราคา!$C$18+T46*ต้นทุนและราคา!$C$19+U46*ต้นทุนและราคา!$C$20+IF($C46="16 oz",ต้นทุนและราคา!$C$21,IF($C46="20 oz",ต้นทุนและราคา!$C$22,ต้นทุนและราคา!$C$23)),2)</f>
        <v>17.2</v>
      </c>
      <c r="X46" s="64" cm="1">
        <f t="array" ref="X46">IFERROR(INDEX(ต้นทุนและราคา!$C$26:$E$101,MATCH($B46,ต้นทุนและราคา!$A$26:$A$101,0),IF($C46="16 oz",1,IF($C46="20 oz",2,3))),"")</f>
        <v>55</v>
      </c>
      <c r="Y46" s="66">
        <f t="shared" si="4"/>
        <v>0.68727272727272726</v>
      </c>
      <c r="Z46" s="48" t="s">
        <v>903</v>
      </c>
    </row>
    <row r="47" spans="1:26" x14ac:dyDescent="0.25">
      <c r="A47" s="4" t="str">
        <f t="shared" si="3"/>
        <v>Orange Latte|22 oz|0%</v>
      </c>
      <c r="B47" s="4" t="s">
        <v>71</v>
      </c>
      <c r="C47" s="4" t="s">
        <v>67</v>
      </c>
      <c r="D47" s="4" t="s">
        <v>63</v>
      </c>
      <c r="E47" s="63">
        <v>103</v>
      </c>
      <c r="F47" s="63">
        <v>0</v>
      </c>
      <c r="G47" s="63">
        <v>30</v>
      </c>
      <c r="H47" s="63">
        <v>25</v>
      </c>
      <c r="I47" s="63">
        <v>0</v>
      </c>
      <c r="J47" s="63">
        <v>0</v>
      </c>
      <c r="K47" s="63">
        <v>0</v>
      </c>
      <c r="L47" s="63">
        <v>0</v>
      </c>
      <c r="M47" s="63">
        <v>110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330</v>
      </c>
      <c r="T47" s="63">
        <v>0</v>
      </c>
      <c r="U47" s="63">
        <v>0</v>
      </c>
      <c r="V47" s="65">
        <f t="shared" si="2"/>
        <v>268</v>
      </c>
      <c r="W47" s="8">
        <f>ROUND(E47*ต้นทุนและราคา!$C$4+F47*ต้นทุนและราคา!$C$5+G47*ต้นทุนและราคา!$C$6+H47*ต้นทุนและราคา!$C$7+I47*ต้นทุนและราคา!$C$8+J47*ต้นทุนและราคา!$C$9+K47*ต้นทุนและราคา!$C$10+L47*ต้นทุนและราคา!$C$11+M47*ต้นทุนและราคา!$C$12+N47*ต้นทุนและราคา!$C$13+O47*ต้นทุนและราคา!$C$14+P47*ต้นทุนและราคา!$C$15+Q47*ต้นทุนและราคา!$C$16+R47*ต้นทุนและราคา!$C$17+S47*ต้นทุนและราคา!$C$18+T47*ต้นทุนและราคา!$C$19+U47*ต้นทุนและราคา!$C$20+IF($C47="16 oz",ต้นทุนและราคา!$C$21,IF($C47="20 oz",ต้นทุนและราคา!$C$22,ต้นทุนและราคา!$C$23)),2)</f>
        <v>20.82</v>
      </c>
      <c r="X47" s="64" cm="1">
        <f t="array" ref="X47">IFERROR(INDEX(ต้นทุนและราคา!$C$26:$E$101,MATCH($B47,ต้นทุนและราคา!$A$26:$A$101,0),IF($C47="16 oz",1,IF($C47="20 oz",2,3))),"")</f>
        <v>65</v>
      </c>
      <c r="Y47" s="66">
        <f t="shared" si="4"/>
        <v>0.67969230769230771</v>
      </c>
      <c r="Z47" s="48" t="s">
        <v>902</v>
      </c>
    </row>
    <row r="48" spans="1:26" x14ac:dyDescent="0.25">
      <c r="A48" s="4" t="str">
        <f t="shared" si="3"/>
        <v>Orange Latte|22 oz|25%</v>
      </c>
      <c r="B48" s="4" t="s">
        <v>71</v>
      </c>
      <c r="C48" s="4" t="s">
        <v>67</v>
      </c>
      <c r="D48" s="4" t="s">
        <v>64</v>
      </c>
      <c r="E48" s="63">
        <v>103</v>
      </c>
      <c r="F48" s="63">
        <v>0</v>
      </c>
      <c r="G48" s="63">
        <v>30</v>
      </c>
      <c r="H48" s="63">
        <v>25</v>
      </c>
      <c r="I48" s="63">
        <v>7</v>
      </c>
      <c r="J48" s="63">
        <v>13.2</v>
      </c>
      <c r="K48" s="63">
        <v>0</v>
      </c>
      <c r="L48" s="63">
        <v>0</v>
      </c>
      <c r="M48" s="63">
        <v>110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330</v>
      </c>
      <c r="T48" s="63">
        <v>0</v>
      </c>
      <c r="U48" s="63">
        <v>0</v>
      </c>
      <c r="V48" s="65">
        <f t="shared" si="2"/>
        <v>288.2</v>
      </c>
      <c r="W48" s="8">
        <f>ROUND(E48*ต้นทุนและราคา!$C$4+F48*ต้นทุนและราคา!$C$5+G48*ต้นทุนและราคา!$C$6+H48*ต้นทุนและราคา!$C$7+I48*ต้นทุนและราคา!$C$8+J48*ต้นทุนและราคา!$C$9+K48*ต้นทุนและราคา!$C$10+L48*ต้นทุนและราคา!$C$11+M48*ต้นทุนและราคา!$C$12+N48*ต้นทุนและราคา!$C$13+O48*ต้นทุนและราคา!$C$14+P48*ต้นทุนและราคา!$C$15+Q48*ต้นทุนและราคา!$C$16+R48*ต้นทุนและราคา!$C$17+S48*ต้นทุนและราคา!$C$18+T48*ต้นทุนและราคา!$C$19+U48*ต้นทุนและราคา!$C$20+IF($C48="16 oz",ต้นทุนและราคา!$C$21,IF($C48="20 oz",ต้นทุนและราคา!$C$22,ต้นทุนและราคา!$C$23)),2)</f>
        <v>21.53</v>
      </c>
      <c r="X48" s="64" cm="1">
        <f t="array" ref="X48">IFERROR(INDEX(ต้นทุนและราคา!$C$26:$E$101,MATCH($B48,ต้นทุนและราคา!$A$26:$A$101,0),IF($C48="16 oz",1,IF($C48="20 oz",2,3))),"")</f>
        <v>65</v>
      </c>
      <c r="Y48" s="66">
        <f t="shared" si="4"/>
        <v>0.66876923076923078</v>
      </c>
      <c r="Z48" s="48" t="s">
        <v>903</v>
      </c>
    </row>
    <row r="49" spans="1:26" x14ac:dyDescent="0.25">
      <c r="A49" s="4" t="str">
        <f t="shared" si="3"/>
        <v>Orange Latte|22 oz|50%</v>
      </c>
      <c r="B49" s="4" t="s">
        <v>71</v>
      </c>
      <c r="C49" s="4" t="s">
        <v>67</v>
      </c>
      <c r="D49" s="4" t="s">
        <v>7</v>
      </c>
      <c r="E49" s="63">
        <v>103</v>
      </c>
      <c r="F49" s="63">
        <v>0</v>
      </c>
      <c r="G49" s="63">
        <v>30</v>
      </c>
      <c r="H49" s="63">
        <v>25</v>
      </c>
      <c r="I49" s="63">
        <v>14</v>
      </c>
      <c r="J49" s="63">
        <v>13.2</v>
      </c>
      <c r="K49" s="63">
        <v>0</v>
      </c>
      <c r="L49" s="63">
        <v>0</v>
      </c>
      <c r="M49" s="63">
        <v>110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330</v>
      </c>
      <c r="T49" s="63">
        <v>0</v>
      </c>
      <c r="U49" s="63">
        <v>0</v>
      </c>
      <c r="V49" s="65">
        <f t="shared" si="2"/>
        <v>295.2</v>
      </c>
      <c r="W49" s="8">
        <f>ROUND(E49*ต้นทุนและราคา!$C$4+F49*ต้นทุนและราคา!$C$5+G49*ต้นทุนและราคา!$C$6+H49*ต้นทุนและราคา!$C$7+I49*ต้นทุนและราคา!$C$8+J49*ต้นทุนและราคา!$C$9+K49*ต้นทุนและราคา!$C$10+L49*ต้นทุนและราคา!$C$11+M49*ต้นทุนและราคา!$C$12+N49*ต้นทุนและราคา!$C$13+O49*ต้นทุนและราคา!$C$14+P49*ต้นทุนและราคา!$C$15+Q49*ต้นทุนและราคา!$C$16+R49*ต้นทุนและราคา!$C$17+S49*ต้นทุนและราคา!$C$18+T49*ต้นทุนและราคา!$C$19+U49*ต้นทุนและราคา!$C$20+IF($C49="16 oz",ต้นทุนและราคา!$C$21,IF($C49="20 oz",ต้นทุนและราคา!$C$22,ต้นทุนและราคา!$C$23)),2)</f>
        <v>22.01</v>
      </c>
      <c r="X49" s="64" cm="1">
        <f t="array" ref="X49">IFERROR(INDEX(ต้นทุนและราคา!$C$26:$E$101,MATCH($B49,ต้นทุนและราคา!$A$26:$A$101,0),IF($C49="16 oz",1,IF($C49="20 oz",2,3))),"")</f>
        <v>65</v>
      </c>
      <c r="Y49" s="66">
        <f t="shared" si="4"/>
        <v>0.66138461538461535</v>
      </c>
      <c r="Z49" s="48" t="s">
        <v>903</v>
      </c>
    </row>
    <row r="50" spans="1:26" x14ac:dyDescent="0.25">
      <c r="A50" s="4" t="str">
        <f t="shared" si="3"/>
        <v>Orange Latte|22 oz|75%</v>
      </c>
      <c r="B50" s="4" t="s">
        <v>71</v>
      </c>
      <c r="C50" s="4" t="s">
        <v>67</v>
      </c>
      <c r="D50" s="4" t="s">
        <v>65</v>
      </c>
      <c r="E50" s="63">
        <v>103</v>
      </c>
      <c r="F50" s="63">
        <v>0</v>
      </c>
      <c r="G50" s="63">
        <v>30</v>
      </c>
      <c r="H50" s="63">
        <v>25</v>
      </c>
      <c r="I50" s="63">
        <v>20.5</v>
      </c>
      <c r="J50" s="63">
        <v>13.2</v>
      </c>
      <c r="K50" s="63">
        <v>0</v>
      </c>
      <c r="L50" s="63">
        <v>0</v>
      </c>
      <c r="M50" s="63">
        <v>110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330</v>
      </c>
      <c r="T50" s="63">
        <v>0</v>
      </c>
      <c r="U50" s="63">
        <v>0</v>
      </c>
      <c r="V50" s="65">
        <f t="shared" si="2"/>
        <v>301.7</v>
      </c>
      <c r="W50" s="8">
        <f>ROUND(E50*ต้นทุนและราคา!$C$4+F50*ต้นทุนและราคา!$C$5+G50*ต้นทุนและราคา!$C$6+H50*ต้นทุนและราคา!$C$7+I50*ต้นทุนและราคา!$C$8+J50*ต้นทุนและราคา!$C$9+K50*ต้นทุนและราคา!$C$10+L50*ต้นทุนและราคา!$C$11+M50*ต้นทุนและราคา!$C$12+N50*ต้นทุนและราคา!$C$13+O50*ต้นทุนและราคา!$C$14+P50*ต้นทุนและราคา!$C$15+Q50*ต้นทุนและราคา!$C$16+R50*ต้นทุนและราคา!$C$17+S50*ต้นทุนและราคา!$C$18+T50*ต้นทุนและราคา!$C$19+U50*ต้นทุนและราคา!$C$20+IF($C50="16 oz",ต้นทุนและราคา!$C$21,IF($C50="20 oz",ต้นทุนและราคา!$C$22,ต้นทุนและราคา!$C$23)),2)</f>
        <v>22.46</v>
      </c>
      <c r="X50" s="64" cm="1">
        <f t="array" ref="X50">IFERROR(INDEX(ต้นทุนและราคา!$C$26:$E$101,MATCH($B50,ต้นทุนและราคา!$A$26:$A$101,0),IF($C50="16 oz",1,IF($C50="20 oz",2,3))),"")</f>
        <v>65</v>
      </c>
      <c r="Y50" s="66">
        <f t="shared" si="4"/>
        <v>0.65446153846153843</v>
      </c>
      <c r="Z50" s="48" t="s">
        <v>903</v>
      </c>
    </row>
    <row r="51" spans="1:26" x14ac:dyDescent="0.25">
      <c r="A51" s="4" t="str">
        <f t="shared" si="3"/>
        <v>Orange Latte|22 oz|100%</v>
      </c>
      <c r="B51" s="4" t="s">
        <v>71</v>
      </c>
      <c r="C51" s="4" t="s">
        <v>67</v>
      </c>
      <c r="D51" s="4" t="s">
        <v>66</v>
      </c>
      <c r="E51" s="63">
        <v>103</v>
      </c>
      <c r="F51" s="63">
        <v>0</v>
      </c>
      <c r="G51" s="63">
        <v>30</v>
      </c>
      <c r="H51" s="63">
        <v>25</v>
      </c>
      <c r="I51" s="63">
        <v>27.5</v>
      </c>
      <c r="J51" s="63">
        <v>13.2</v>
      </c>
      <c r="K51" s="63">
        <v>0</v>
      </c>
      <c r="L51" s="63">
        <v>0</v>
      </c>
      <c r="M51" s="63">
        <v>110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330</v>
      </c>
      <c r="T51" s="63">
        <v>0</v>
      </c>
      <c r="U51" s="63">
        <v>0</v>
      </c>
      <c r="V51" s="65">
        <f t="shared" si="2"/>
        <v>308.7</v>
      </c>
      <c r="W51" s="8">
        <f>ROUND(E51*ต้นทุนและราคา!$C$4+F51*ต้นทุนและราคา!$C$5+G51*ต้นทุนและราคา!$C$6+H51*ต้นทุนและราคา!$C$7+I51*ต้นทุนและราคา!$C$8+J51*ต้นทุนและราคา!$C$9+K51*ต้นทุนและราคา!$C$10+L51*ต้นทุนและราคา!$C$11+M51*ต้นทุนและราคา!$C$12+N51*ต้นทุนและราคา!$C$13+O51*ต้นทุนและราคา!$C$14+P51*ต้นทุนและราคา!$C$15+Q51*ต้นทุนและราคา!$C$16+R51*ต้นทุนและราคา!$C$17+S51*ต้นทุนและราคา!$C$18+T51*ต้นทุนและราคา!$C$19+U51*ต้นทุนและราคา!$C$20+IF($C51="16 oz",ต้นทุนและราคา!$C$21,IF($C51="20 oz",ต้นทุนและราคา!$C$22,ต้นทุนและราคา!$C$23)),2)</f>
        <v>22.95</v>
      </c>
      <c r="X51" s="64" cm="1">
        <f t="array" ref="X51">IFERROR(INDEX(ต้นทุนและราคา!$C$26:$E$101,MATCH($B51,ต้นทุนและราคา!$A$26:$A$101,0),IF($C51="16 oz",1,IF($C51="20 oz",2,3))),"")</f>
        <v>65</v>
      </c>
      <c r="Y51" s="66">
        <f t="shared" si="4"/>
        <v>0.64692307692307693</v>
      </c>
      <c r="Z51" s="48" t="s">
        <v>903</v>
      </c>
    </row>
    <row r="52" spans="1:26" x14ac:dyDescent="0.25">
      <c r="A52" s="4" t="str">
        <f t="shared" si="3"/>
        <v>Cocoa|16 oz|0%</v>
      </c>
      <c r="B52" s="4" t="s">
        <v>72</v>
      </c>
      <c r="C52" s="4" t="s">
        <v>5</v>
      </c>
      <c r="D52" s="4" t="s">
        <v>63</v>
      </c>
      <c r="E52" s="63">
        <v>125</v>
      </c>
      <c r="F52" s="63">
        <v>0</v>
      </c>
      <c r="G52" s="63">
        <v>35</v>
      </c>
      <c r="H52" s="63">
        <v>25</v>
      </c>
      <c r="I52" s="63">
        <v>0</v>
      </c>
      <c r="J52" s="63">
        <v>0</v>
      </c>
      <c r="K52" s="63">
        <v>0</v>
      </c>
      <c r="L52" s="63">
        <v>6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240</v>
      </c>
      <c r="T52" s="63">
        <v>0</v>
      </c>
      <c r="U52" s="63">
        <v>0</v>
      </c>
      <c r="V52" s="65">
        <f t="shared" si="2"/>
        <v>185</v>
      </c>
      <c r="W52" s="8">
        <f>ROUND(E52*ต้นทุนและราคา!$C$4+F52*ต้นทุนและราคา!$C$5+G52*ต้นทุนและราคา!$C$6+H52*ต้นทุนและราคา!$C$7+I52*ต้นทุนและราคา!$C$8+J52*ต้นทุนและราคา!$C$9+K52*ต้นทุนและราคา!$C$10+L52*ต้นทุนและราคา!$C$11+M52*ต้นทุนและราคา!$C$12+N52*ต้นทุนและราคา!$C$13+O52*ต้นทุนและราคา!$C$14+P52*ต้นทุนและราคา!$C$15+Q52*ต้นทุนและราคา!$C$16+R52*ต้นทุนและราคา!$C$17+S52*ต้นทุนและราคา!$C$18+T52*ต้นทุนและราคา!$C$19+U52*ต้นทุนและราคา!$C$20+IF($C52="16 oz",ต้นทุนและราคา!$C$21,IF($C52="20 oz",ต้นทุนและราคา!$C$22,ต้นทุนและราคา!$C$23)),2)</f>
        <v>16.989999999999998</v>
      </c>
      <c r="X52" s="64" cm="1">
        <f t="array" ref="X52">IFERROR(INDEX(ต้นทุนและราคา!$C$26:$E$101,MATCH($B52,ต้นทุนและราคา!$A$26:$A$101,0),IF($C52="16 oz",1,IF($C52="20 oz",2,3))),"")</f>
        <v>55</v>
      </c>
      <c r="Y52" s="66">
        <f t="shared" si="4"/>
        <v>0.6910909090909092</v>
      </c>
      <c r="Z52" s="48" t="s">
        <v>904</v>
      </c>
    </row>
    <row r="53" spans="1:26" x14ac:dyDescent="0.25">
      <c r="A53" s="4" t="str">
        <f t="shared" si="3"/>
        <v>Cocoa|16 oz|25%</v>
      </c>
      <c r="B53" s="4" t="s">
        <v>72</v>
      </c>
      <c r="C53" s="4" t="s">
        <v>5</v>
      </c>
      <c r="D53" s="4" t="s">
        <v>64</v>
      </c>
      <c r="E53" s="63">
        <v>125</v>
      </c>
      <c r="F53" s="63">
        <v>0</v>
      </c>
      <c r="G53" s="63">
        <v>35</v>
      </c>
      <c r="H53" s="63">
        <v>25</v>
      </c>
      <c r="I53" s="63">
        <v>6</v>
      </c>
      <c r="J53" s="63">
        <v>16</v>
      </c>
      <c r="K53" s="63">
        <v>0</v>
      </c>
      <c r="L53" s="63">
        <v>6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240</v>
      </c>
      <c r="T53" s="63">
        <v>0</v>
      </c>
      <c r="U53" s="63">
        <v>0</v>
      </c>
      <c r="V53" s="65">
        <f t="shared" si="2"/>
        <v>207</v>
      </c>
      <c r="W53" s="8">
        <f>ROUND(E53*ต้นทุนและราคา!$C$4+F53*ต้นทุนและราคา!$C$5+G53*ต้นทุนและราคา!$C$6+H53*ต้นทุนและราคา!$C$7+I53*ต้นทุนและราคา!$C$8+J53*ต้นทุนและราคา!$C$9+K53*ต้นทุนและราคา!$C$10+L53*ต้นทุนและราคา!$C$11+M53*ต้นทุนและราคา!$C$12+N53*ต้นทุนและราคา!$C$13+O53*ต้นทุนและราคา!$C$14+P53*ต้นทุนและราคา!$C$15+Q53*ต้นทุนและราคา!$C$16+R53*ต้นทุนและราคา!$C$17+S53*ต้นทุนและราคา!$C$18+T53*ต้นทุนและราคา!$C$19+U53*ต้นทุนและราคา!$C$20+IF($C53="16 oz",ต้นทุนและราคา!$C$21,IF($C53="20 oz",ต้นทุนและราคา!$C$22,ต้นทุนและราคา!$C$23)),2)</f>
        <v>17.68</v>
      </c>
      <c r="X53" s="64" cm="1">
        <f t="array" ref="X53">IFERROR(INDEX(ต้นทุนและราคา!$C$26:$E$101,MATCH($B53,ต้นทุนและราคา!$A$26:$A$101,0),IF($C53="16 oz",1,IF($C53="20 oz",2,3))),"")</f>
        <v>55</v>
      </c>
      <c r="Y53" s="66">
        <f t="shared" si="4"/>
        <v>0.67854545454545456</v>
      </c>
      <c r="Z53" s="48" t="s">
        <v>905</v>
      </c>
    </row>
    <row r="54" spans="1:26" x14ac:dyDescent="0.25">
      <c r="A54" s="4" t="str">
        <f t="shared" si="3"/>
        <v>Cocoa|16 oz|50%</v>
      </c>
      <c r="B54" s="4" t="s">
        <v>72</v>
      </c>
      <c r="C54" s="4" t="s">
        <v>5</v>
      </c>
      <c r="D54" s="4" t="s">
        <v>7</v>
      </c>
      <c r="E54" s="63">
        <v>125</v>
      </c>
      <c r="F54" s="63">
        <v>0</v>
      </c>
      <c r="G54" s="63">
        <v>35</v>
      </c>
      <c r="H54" s="63">
        <v>25</v>
      </c>
      <c r="I54" s="63">
        <v>12</v>
      </c>
      <c r="J54" s="63">
        <v>16</v>
      </c>
      <c r="K54" s="63">
        <v>0</v>
      </c>
      <c r="L54" s="63">
        <v>6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240</v>
      </c>
      <c r="T54" s="63">
        <v>0</v>
      </c>
      <c r="U54" s="63">
        <v>0</v>
      </c>
      <c r="V54" s="65">
        <f t="shared" si="2"/>
        <v>213</v>
      </c>
      <c r="W54" s="8">
        <f>ROUND(E54*ต้นทุนและราคา!$C$4+F54*ต้นทุนและราคา!$C$5+G54*ต้นทุนและราคา!$C$6+H54*ต้นทุนและราคา!$C$7+I54*ต้นทุนและราคา!$C$8+J54*ต้นทุนและราคา!$C$9+K54*ต้นทุนและราคา!$C$10+L54*ต้นทุนและราคา!$C$11+M54*ต้นทุนและราคา!$C$12+N54*ต้นทุนและราคา!$C$13+O54*ต้นทุนและราคา!$C$14+P54*ต้นทุนและราคา!$C$15+Q54*ต้นทุนและราคา!$C$16+R54*ต้นทุนและราคา!$C$17+S54*ต้นทุนและราคา!$C$18+T54*ต้นทุนและราคา!$C$19+U54*ต้นทุนและราคา!$C$20+IF($C54="16 oz",ต้นทุนและราคา!$C$21,IF($C54="20 oz",ต้นทุนและราคา!$C$22,ต้นทุนและราคา!$C$23)),2)</f>
        <v>18.09</v>
      </c>
      <c r="X54" s="64" cm="1">
        <f t="array" ref="X54">IFERROR(INDEX(ต้นทุนและราคา!$C$26:$E$101,MATCH($B54,ต้นทุนและราคา!$A$26:$A$101,0),IF($C54="16 oz",1,IF($C54="20 oz",2,3))),"")</f>
        <v>55</v>
      </c>
      <c r="Y54" s="66">
        <f t="shared" si="4"/>
        <v>0.67109090909090907</v>
      </c>
      <c r="Z54" s="48" t="s">
        <v>905</v>
      </c>
    </row>
    <row r="55" spans="1:26" x14ac:dyDescent="0.25">
      <c r="A55" s="4" t="str">
        <f t="shared" si="3"/>
        <v>Cocoa|16 oz|75%</v>
      </c>
      <c r="B55" s="4" t="s">
        <v>72</v>
      </c>
      <c r="C55" s="4" t="s">
        <v>5</v>
      </c>
      <c r="D55" s="4" t="s">
        <v>65</v>
      </c>
      <c r="E55" s="63">
        <v>125</v>
      </c>
      <c r="F55" s="63">
        <v>0</v>
      </c>
      <c r="G55" s="63">
        <v>35</v>
      </c>
      <c r="H55" s="63">
        <v>25</v>
      </c>
      <c r="I55" s="63">
        <v>18</v>
      </c>
      <c r="J55" s="63">
        <v>16</v>
      </c>
      <c r="K55" s="63">
        <v>0</v>
      </c>
      <c r="L55" s="63">
        <v>6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240</v>
      </c>
      <c r="T55" s="63">
        <v>0</v>
      </c>
      <c r="U55" s="63">
        <v>0</v>
      </c>
      <c r="V55" s="65">
        <f t="shared" si="2"/>
        <v>219</v>
      </c>
      <c r="W55" s="8">
        <f>ROUND(E55*ต้นทุนและราคา!$C$4+F55*ต้นทุนและราคา!$C$5+G55*ต้นทุนและราคา!$C$6+H55*ต้นทุนและราคา!$C$7+I55*ต้นทุนและราคา!$C$8+J55*ต้นทุนและราคา!$C$9+K55*ต้นทุนและราคา!$C$10+L55*ต้นทุนและราคา!$C$11+M55*ต้นทุนและราคา!$C$12+N55*ต้นทุนและราคา!$C$13+O55*ต้นทุนและราคา!$C$14+P55*ต้นทุนและราคา!$C$15+Q55*ต้นทุนและราคา!$C$16+R55*ต้นทุนและราคา!$C$17+S55*ต้นทุนและราคา!$C$18+T55*ต้นทุนและราคา!$C$19+U55*ต้นทุนและราคา!$C$20+IF($C55="16 oz",ต้นทุนและราคา!$C$21,IF($C55="20 oz",ต้นทุนและราคา!$C$22,ต้นทุนและราคา!$C$23)),2)</f>
        <v>18.510000000000002</v>
      </c>
      <c r="X55" s="64" cm="1">
        <f t="array" ref="X55">IFERROR(INDEX(ต้นทุนและราคา!$C$26:$E$101,MATCH($B55,ต้นทุนและราคา!$A$26:$A$101,0),IF($C55="16 oz",1,IF($C55="20 oz",2,3))),"")</f>
        <v>55</v>
      </c>
      <c r="Y55" s="66">
        <f t="shared" si="4"/>
        <v>0.66345454545454541</v>
      </c>
      <c r="Z55" s="48" t="s">
        <v>905</v>
      </c>
    </row>
    <row r="56" spans="1:26" x14ac:dyDescent="0.25">
      <c r="A56" s="4" t="str">
        <f t="shared" si="3"/>
        <v>Cocoa|16 oz|100%</v>
      </c>
      <c r="B56" s="4" t="s">
        <v>72</v>
      </c>
      <c r="C56" s="4" t="s">
        <v>5</v>
      </c>
      <c r="D56" s="4" t="s">
        <v>66</v>
      </c>
      <c r="E56" s="63">
        <v>125</v>
      </c>
      <c r="F56" s="63">
        <v>0</v>
      </c>
      <c r="G56" s="63">
        <v>35</v>
      </c>
      <c r="H56" s="63">
        <v>25</v>
      </c>
      <c r="I56" s="63">
        <v>24</v>
      </c>
      <c r="J56" s="63">
        <v>16</v>
      </c>
      <c r="K56" s="63">
        <v>0</v>
      </c>
      <c r="L56" s="63">
        <v>6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240</v>
      </c>
      <c r="T56" s="63">
        <v>0</v>
      </c>
      <c r="U56" s="63">
        <v>0</v>
      </c>
      <c r="V56" s="65">
        <f t="shared" si="2"/>
        <v>225</v>
      </c>
      <c r="W56" s="8">
        <f>ROUND(E56*ต้นทุนและราคา!$C$4+F56*ต้นทุนและราคา!$C$5+G56*ต้นทุนและราคา!$C$6+H56*ต้นทุนและราคา!$C$7+I56*ต้นทุนและราคา!$C$8+J56*ต้นทุนและราคา!$C$9+K56*ต้นทุนและราคา!$C$10+L56*ต้นทุนและราคา!$C$11+M56*ต้นทุนและราคา!$C$12+N56*ต้นทุนและราคา!$C$13+O56*ต้นทุนและราคา!$C$14+P56*ต้นทุนและราคา!$C$15+Q56*ต้นทุนและราคา!$C$16+R56*ต้นทุนและราคา!$C$17+S56*ต้นทุนและราคา!$C$18+T56*ต้นทุนและราคา!$C$19+U56*ต้นทุนและราคา!$C$20+IF($C56="16 oz",ต้นทุนและราคา!$C$21,IF($C56="20 oz",ต้นทุนและราคา!$C$22,ต้นทุนและราคา!$C$23)),2)</f>
        <v>18.920000000000002</v>
      </c>
      <c r="X56" s="64" cm="1">
        <f t="array" ref="X56">IFERROR(INDEX(ต้นทุนและราคา!$C$26:$E$101,MATCH($B56,ต้นทุนและราคา!$A$26:$A$101,0),IF($C56="16 oz",1,IF($C56="20 oz",2,3))),"")</f>
        <v>55</v>
      </c>
      <c r="Y56" s="66">
        <f t="shared" si="4"/>
        <v>0.65599999999999992</v>
      </c>
      <c r="Z56" s="48" t="s">
        <v>905</v>
      </c>
    </row>
    <row r="57" spans="1:26" x14ac:dyDescent="0.25">
      <c r="A57" s="4" t="str">
        <f t="shared" si="3"/>
        <v>Cocoa|22 oz|0%</v>
      </c>
      <c r="B57" s="4" t="s">
        <v>72</v>
      </c>
      <c r="C57" s="4" t="s">
        <v>67</v>
      </c>
      <c r="D57" s="4" t="s">
        <v>63</v>
      </c>
      <c r="E57" s="63">
        <v>172</v>
      </c>
      <c r="F57" s="63">
        <v>0</v>
      </c>
      <c r="G57" s="63">
        <v>48</v>
      </c>
      <c r="H57" s="63">
        <v>34.5</v>
      </c>
      <c r="I57" s="63">
        <v>0</v>
      </c>
      <c r="J57" s="63">
        <v>0</v>
      </c>
      <c r="K57" s="63">
        <v>0</v>
      </c>
      <c r="L57" s="63">
        <v>8</v>
      </c>
      <c r="M57" s="63">
        <v>0</v>
      </c>
      <c r="N57" s="63">
        <v>0</v>
      </c>
      <c r="O57" s="63">
        <v>0</v>
      </c>
      <c r="P57" s="63">
        <v>0</v>
      </c>
      <c r="Q57" s="63">
        <v>0</v>
      </c>
      <c r="R57" s="63">
        <v>0</v>
      </c>
      <c r="S57" s="63">
        <v>330</v>
      </c>
      <c r="T57" s="63">
        <v>0</v>
      </c>
      <c r="U57" s="63">
        <v>0</v>
      </c>
      <c r="V57" s="65">
        <f t="shared" si="2"/>
        <v>254.5</v>
      </c>
      <c r="W57" s="8">
        <f>ROUND(E57*ต้นทุนและราคา!$C$4+F57*ต้นทุนและราคา!$C$5+G57*ต้นทุนและราคา!$C$6+H57*ต้นทุนและราคา!$C$7+I57*ต้นทุนและราคา!$C$8+J57*ต้นทุนและราคา!$C$9+K57*ต้นทุนและราคา!$C$10+L57*ต้นทุนและราคา!$C$11+M57*ต้นทุนและราคา!$C$12+N57*ต้นทุนและราคา!$C$13+O57*ต้นทุนและราคา!$C$14+P57*ต้นทุนและราคา!$C$15+Q57*ต้นทุนและราคา!$C$16+R57*ต้นทุนและราคา!$C$17+S57*ต้นทุนและราคา!$C$18+T57*ต้นทุนและราคา!$C$19+U57*ต้นทุนและราคา!$C$20+IF($C57="16 oz",ต้นทุนและราคา!$C$21,IF($C57="20 oz",ต้นทุนและราคา!$C$22,ต้นทุนและราคา!$C$23)),2)</f>
        <v>22.52</v>
      </c>
      <c r="X57" s="64" cm="1">
        <f t="array" ref="X57">IFERROR(INDEX(ต้นทุนและราคา!$C$26:$E$101,MATCH($B57,ต้นทุนและราคา!$A$26:$A$101,0),IF($C57="16 oz",1,IF($C57="20 oz",2,3))),"")</f>
        <v>65</v>
      </c>
      <c r="Y57" s="66">
        <f t="shared" si="4"/>
        <v>0.65353846153846162</v>
      </c>
      <c r="Z57" s="48" t="s">
        <v>904</v>
      </c>
    </row>
    <row r="58" spans="1:26" x14ac:dyDescent="0.25">
      <c r="A58" s="4" t="str">
        <f t="shared" si="3"/>
        <v>Cocoa|22 oz|25%</v>
      </c>
      <c r="B58" s="4" t="s">
        <v>72</v>
      </c>
      <c r="C58" s="4" t="s">
        <v>67</v>
      </c>
      <c r="D58" s="4" t="s">
        <v>64</v>
      </c>
      <c r="E58" s="63">
        <v>172</v>
      </c>
      <c r="F58" s="63">
        <v>0</v>
      </c>
      <c r="G58" s="63">
        <v>48</v>
      </c>
      <c r="H58" s="63">
        <v>34.5</v>
      </c>
      <c r="I58" s="63">
        <v>8</v>
      </c>
      <c r="J58" s="63">
        <v>22</v>
      </c>
      <c r="K58" s="63">
        <v>0</v>
      </c>
      <c r="L58" s="63">
        <v>8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330</v>
      </c>
      <c r="T58" s="63">
        <v>0</v>
      </c>
      <c r="U58" s="63">
        <v>0</v>
      </c>
      <c r="V58" s="65">
        <f t="shared" si="2"/>
        <v>284.5</v>
      </c>
      <c r="W58" s="8">
        <f>ROUND(E58*ต้นทุนและราคา!$C$4+F58*ต้นทุนและราคา!$C$5+G58*ต้นทุนและราคา!$C$6+H58*ต้นทุนและราคา!$C$7+I58*ต้นทุนและราคา!$C$8+J58*ต้นทุนและราคา!$C$9+K58*ต้นทุนและราคา!$C$10+L58*ต้นทุนและราคา!$C$11+M58*ต้นทุนและราคา!$C$12+N58*ต้นทุนและราคา!$C$13+O58*ต้นทุนและราคา!$C$14+P58*ต้นทุนและราคา!$C$15+Q58*ต้นทุนและราคา!$C$16+R58*ต้นทุนและราคา!$C$17+S58*ต้นทุนและราคา!$C$18+T58*ต้นทุนและราคา!$C$19+U58*ต้นทุนและราคา!$C$20+IF($C58="16 oz",ต้นทุนและราคา!$C$21,IF($C58="20 oz",ต้นทุนและราคา!$C$22,ต้นทุนและราคา!$C$23)),2)</f>
        <v>23.44</v>
      </c>
      <c r="X58" s="64" cm="1">
        <f t="array" ref="X58">IFERROR(INDEX(ต้นทุนและราคา!$C$26:$E$101,MATCH($B58,ต้นทุนและราคา!$A$26:$A$101,0),IF($C58="16 oz",1,IF($C58="20 oz",2,3))),"")</f>
        <v>65</v>
      </c>
      <c r="Y58" s="66">
        <f t="shared" si="4"/>
        <v>0.63938461538461544</v>
      </c>
      <c r="Z58" s="48" t="s">
        <v>905</v>
      </c>
    </row>
    <row r="59" spans="1:26" x14ac:dyDescent="0.25">
      <c r="A59" s="4" t="str">
        <f t="shared" si="3"/>
        <v>Cocoa|22 oz|50%</v>
      </c>
      <c r="B59" s="4" t="s">
        <v>72</v>
      </c>
      <c r="C59" s="4" t="s">
        <v>67</v>
      </c>
      <c r="D59" s="4" t="s">
        <v>7</v>
      </c>
      <c r="E59" s="63">
        <v>172</v>
      </c>
      <c r="F59" s="63">
        <v>0</v>
      </c>
      <c r="G59" s="63">
        <v>48</v>
      </c>
      <c r="H59" s="63">
        <v>34.5</v>
      </c>
      <c r="I59" s="63">
        <v>16.5</v>
      </c>
      <c r="J59" s="63">
        <v>22</v>
      </c>
      <c r="K59" s="63">
        <v>0</v>
      </c>
      <c r="L59" s="63">
        <v>8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330</v>
      </c>
      <c r="T59" s="63">
        <v>0</v>
      </c>
      <c r="U59" s="63">
        <v>0</v>
      </c>
      <c r="V59" s="65">
        <f t="shared" si="2"/>
        <v>293</v>
      </c>
      <c r="W59" s="8">
        <f>ROUND(E59*ต้นทุนและราคา!$C$4+F59*ต้นทุนและราคา!$C$5+G59*ต้นทุนและราคา!$C$6+H59*ต้นทุนและราคา!$C$7+I59*ต้นทุนและราคา!$C$8+J59*ต้นทุนและราคา!$C$9+K59*ต้นทุนและราคา!$C$10+L59*ต้นทุนและราคา!$C$11+M59*ต้นทุนและราคา!$C$12+N59*ต้นทุนและราคา!$C$13+O59*ต้นทุนและราคา!$C$14+P59*ต้นทุนและราคา!$C$15+Q59*ต้นทุนและราคา!$C$16+R59*ต้นทุนและราคา!$C$17+S59*ต้นทุนและราคา!$C$18+T59*ต้นทุนและราคา!$C$19+U59*ต้นทุนและราคา!$C$20+IF($C59="16 oz",ต้นทุนและราคา!$C$21,IF($C59="20 oz",ต้นทุนและราคา!$C$22,ต้นทุนและราคา!$C$23)),2)</f>
        <v>24.03</v>
      </c>
      <c r="X59" s="64" cm="1">
        <f t="array" ref="X59">IFERROR(INDEX(ต้นทุนและราคา!$C$26:$E$101,MATCH($B59,ต้นทุนและราคา!$A$26:$A$101,0),IF($C59="16 oz",1,IF($C59="20 oz",2,3))),"")</f>
        <v>65</v>
      </c>
      <c r="Y59" s="66">
        <f t="shared" si="4"/>
        <v>0.63030769230769224</v>
      </c>
      <c r="Z59" s="48" t="s">
        <v>905</v>
      </c>
    </row>
    <row r="60" spans="1:26" x14ac:dyDescent="0.25">
      <c r="A60" s="4" t="str">
        <f t="shared" si="3"/>
        <v>Cocoa|22 oz|75%</v>
      </c>
      <c r="B60" s="4" t="s">
        <v>72</v>
      </c>
      <c r="C60" s="4" t="s">
        <v>67</v>
      </c>
      <c r="D60" s="4" t="s">
        <v>65</v>
      </c>
      <c r="E60" s="63">
        <v>172</v>
      </c>
      <c r="F60" s="63">
        <v>0</v>
      </c>
      <c r="G60" s="63">
        <v>48</v>
      </c>
      <c r="H60" s="63">
        <v>34.5</v>
      </c>
      <c r="I60" s="63">
        <v>25</v>
      </c>
      <c r="J60" s="63">
        <v>22</v>
      </c>
      <c r="K60" s="63">
        <v>0</v>
      </c>
      <c r="L60" s="63">
        <v>8</v>
      </c>
      <c r="M60" s="63">
        <v>0</v>
      </c>
      <c r="N60" s="63">
        <v>0</v>
      </c>
      <c r="O60" s="63">
        <v>0</v>
      </c>
      <c r="P60" s="63">
        <v>0</v>
      </c>
      <c r="Q60" s="63">
        <v>0</v>
      </c>
      <c r="R60" s="63">
        <v>0</v>
      </c>
      <c r="S60" s="63">
        <v>330</v>
      </c>
      <c r="T60" s="63">
        <v>0</v>
      </c>
      <c r="U60" s="63">
        <v>0</v>
      </c>
      <c r="V60" s="65">
        <f t="shared" si="2"/>
        <v>301.5</v>
      </c>
      <c r="W60" s="8">
        <f>ROUND(E60*ต้นทุนและราคา!$C$4+F60*ต้นทุนและราคา!$C$5+G60*ต้นทุนและราคา!$C$6+H60*ต้นทุนและราคา!$C$7+I60*ต้นทุนและราคา!$C$8+J60*ต้นทุนและราคา!$C$9+K60*ต้นทุนและราคา!$C$10+L60*ต้นทุนและราคา!$C$11+M60*ต้นทุนและราคา!$C$12+N60*ต้นทุนและราคา!$C$13+O60*ต้นทุนและราคา!$C$14+P60*ต้นทุนและราคา!$C$15+Q60*ต้นทุนและราคา!$C$16+R60*ต้นทุนและราคา!$C$17+S60*ต้นทุนและราคา!$C$18+T60*ต้นทุนและราคา!$C$19+U60*ต้นทุนและราคา!$C$20+IF($C60="16 oz",ต้นทุนและราคา!$C$21,IF($C60="20 oz",ต้นทุนและราคา!$C$22,ต้นทุนและราคา!$C$23)),2)</f>
        <v>24.62</v>
      </c>
      <c r="X60" s="64" cm="1">
        <f t="array" ref="X60">IFERROR(INDEX(ต้นทุนและราคา!$C$26:$E$101,MATCH($B60,ต้นทุนและราคา!$A$26:$A$101,0),IF($C60="16 oz",1,IF($C60="20 oz",2,3))),"")</f>
        <v>65</v>
      </c>
      <c r="Y60" s="66">
        <f t="shared" si="4"/>
        <v>0.62123076923076914</v>
      </c>
      <c r="Z60" s="48" t="s">
        <v>905</v>
      </c>
    </row>
    <row r="61" spans="1:26" x14ac:dyDescent="0.25">
      <c r="A61" s="4" t="str">
        <f t="shared" si="3"/>
        <v>Cocoa|22 oz|100%</v>
      </c>
      <c r="B61" s="4" t="s">
        <v>72</v>
      </c>
      <c r="C61" s="4" t="s">
        <v>67</v>
      </c>
      <c r="D61" s="4" t="s">
        <v>66</v>
      </c>
      <c r="E61" s="63">
        <v>172</v>
      </c>
      <c r="F61" s="63">
        <v>0</v>
      </c>
      <c r="G61" s="63">
        <v>48</v>
      </c>
      <c r="H61" s="63">
        <v>34.5</v>
      </c>
      <c r="I61" s="63">
        <v>33</v>
      </c>
      <c r="J61" s="63">
        <v>22</v>
      </c>
      <c r="K61" s="63">
        <v>0</v>
      </c>
      <c r="L61" s="63">
        <v>8</v>
      </c>
      <c r="M61" s="63">
        <v>0</v>
      </c>
      <c r="N61" s="63">
        <v>0</v>
      </c>
      <c r="O61" s="63">
        <v>0</v>
      </c>
      <c r="P61" s="63">
        <v>0</v>
      </c>
      <c r="Q61" s="63">
        <v>0</v>
      </c>
      <c r="R61" s="63">
        <v>0</v>
      </c>
      <c r="S61" s="63">
        <v>330</v>
      </c>
      <c r="T61" s="63">
        <v>0</v>
      </c>
      <c r="U61" s="63">
        <v>0</v>
      </c>
      <c r="V61" s="65">
        <f t="shared" si="2"/>
        <v>309.5</v>
      </c>
      <c r="W61" s="8">
        <f>ROUND(E61*ต้นทุนและราคา!$C$4+F61*ต้นทุนและราคา!$C$5+G61*ต้นทุนและราคา!$C$6+H61*ต้นทุนและราคา!$C$7+I61*ต้นทุนและราคา!$C$8+J61*ต้นทุนและราคา!$C$9+K61*ต้นทุนและราคา!$C$10+L61*ต้นทุนและราคา!$C$11+M61*ต้นทุนและราคา!$C$12+N61*ต้นทุนและราคา!$C$13+O61*ต้นทุนและราคา!$C$14+P61*ต้นทุนและราคา!$C$15+Q61*ต้นทุนและราคา!$C$16+R61*ต้นทุนและราคา!$C$17+S61*ต้นทุนและราคา!$C$18+T61*ต้นทุนและราคา!$C$19+U61*ต้นทุนและราคา!$C$20+IF($C61="16 oz",ต้นทุนและราคา!$C$21,IF($C61="20 oz",ต้นทุนและราคา!$C$22,ต้นทุนและราคา!$C$23)),2)</f>
        <v>25.18</v>
      </c>
      <c r="X61" s="64" cm="1">
        <f t="array" ref="X61">IFERROR(INDEX(ต้นทุนและราคา!$C$26:$E$101,MATCH($B61,ต้นทุนและราคา!$A$26:$A$101,0),IF($C61="16 oz",1,IF($C61="20 oz",2,3))),"")</f>
        <v>65</v>
      </c>
      <c r="Y61" s="66">
        <f t="shared" si="4"/>
        <v>0.61261538461538467</v>
      </c>
      <c r="Z61" s="48" t="s">
        <v>905</v>
      </c>
    </row>
    <row r="62" spans="1:26" x14ac:dyDescent="0.25">
      <c r="A62" s="4" t="str">
        <f t="shared" si="3"/>
        <v>Thai Tea Frappe|16 oz|0%</v>
      </c>
      <c r="B62" s="4" t="s">
        <v>73</v>
      </c>
      <c r="C62" s="4" t="s">
        <v>5</v>
      </c>
      <c r="D62" s="4" t="s">
        <v>63</v>
      </c>
      <c r="E62" s="63">
        <v>90</v>
      </c>
      <c r="F62" s="63">
        <v>0</v>
      </c>
      <c r="G62" s="63">
        <v>70</v>
      </c>
      <c r="H62" s="63">
        <v>20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200</v>
      </c>
      <c r="T62" s="63">
        <v>0</v>
      </c>
      <c r="U62" s="63">
        <v>0</v>
      </c>
      <c r="V62" s="65">
        <f t="shared" si="2"/>
        <v>180</v>
      </c>
      <c r="W62" s="8">
        <f>ROUND(E62*ต้นทุนและราคา!$C$4+F62*ต้นทุนและราคา!$C$5+G62*ต้นทุนและราคา!$C$6+H62*ต้นทุนและราคา!$C$7+I62*ต้นทุนและราคา!$C$8+J62*ต้นทุนและราคา!$C$9+K62*ต้นทุนและราคา!$C$10+L62*ต้นทุนและราคา!$C$11+M62*ต้นทุนและราคา!$C$12+N62*ต้นทุนและราคา!$C$13+O62*ต้นทุนและราคา!$C$14+P62*ต้นทุนและราคา!$C$15+Q62*ต้นทุนและราคา!$C$16+R62*ต้นทุนและราคา!$C$17+S62*ต้นทุนและราคา!$C$18+T62*ต้นทุนและราคา!$C$19+U62*ต้นทุนและราคา!$C$20+IF($C62="16 oz",ต้นทุนและราคา!$C$21,IF($C62="20 oz",ต้นทุนและราคา!$C$22,ต้นทุนและราคา!$C$23)),2)</f>
        <v>13.44</v>
      </c>
      <c r="X62" s="64" cm="1">
        <f t="array" ref="X62">IFERROR(INDEX(ต้นทุนและราคา!$C$26:$E$101,MATCH($B62,ต้นทุนและราคา!$A$26:$A$101,0),IF($C62="16 oz",1,IF($C62="20 oz",2,3))),"")</f>
        <v>65</v>
      </c>
      <c r="Y62" s="66">
        <f t="shared" si="4"/>
        <v>0.79323076923076929</v>
      </c>
      <c r="Z62" s="48" t="s">
        <v>906</v>
      </c>
    </row>
    <row r="63" spans="1:26" x14ac:dyDescent="0.25">
      <c r="A63" s="4" t="str">
        <f t="shared" si="3"/>
        <v>Thai Tea Frappe|16 oz|25%</v>
      </c>
      <c r="B63" s="4" t="s">
        <v>73</v>
      </c>
      <c r="C63" s="4" t="s">
        <v>5</v>
      </c>
      <c r="D63" s="4" t="s">
        <v>64</v>
      </c>
      <c r="E63" s="63">
        <v>90</v>
      </c>
      <c r="F63" s="63">
        <v>0</v>
      </c>
      <c r="G63" s="63">
        <v>70</v>
      </c>
      <c r="H63" s="63">
        <v>20</v>
      </c>
      <c r="I63" s="63">
        <v>8</v>
      </c>
      <c r="J63" s="63">
        <v>11.5</v>
      </c>
      <c r="K63" s="63">
        <v>0</v>
      </c>
      <c r="L63" s="63">
        <v>0</v>
      </c>
      <c r="M63" s="63">
        <v>0</v>
      </c>
      <c r="N63" s="63">
        <v>0</v>
      </c>
      <c r="O63" s="63">
        <v>0</v>
      </c>
      <c r="P63" s="63">
        <v>0</v>
      </c>
      <c r="Q63" s="63">
        <v>0</v>
      </c>
      <c r="R63" s="63">
        <v>0</v>
      </c>
      <c r="S63" s="63">
        <v>200</v>
      </c>
      <c r="T63" s="63">
        <v>0</v>
      </c>
      <c r="U63" s="63">
        <v>0</v>
      </c>
      <c r="V63" s="65">
        <f t="shared" si="2"/>
        <v>199.5</v>
      </c>
      <c r="W63" s="8">
        <f>ROUND(E63*ต้นทุนและราคา!$C$4+F63*ต้นทุนและราคา!$C$5+G63*ต้นทุนและราคา!$C$6+H63*ต้นทุนและราคา!$C$7+I63*ต้นทุนและราคา!$C$8+J63*ต้นทุนและราคา!$C$9+K63*ต้นทุนและราคา!$C$10+L63*ต้นทุนและราคา!$C$11+M63*ต้นทุนและราคา!$C$12+N63*ต้นทุนและราคา!$C$13+O63*ต้นทุนและราคา!$C$14+P63*ต้นทุนและราคา!$C$15+Q63*ต้นทุนและราคา!$C$16+R63*ต้นทุนและราคา!$C$17+S63*ต้นทุนและราคา!$C$18+T63*ต้นทุนและราคา!$C$19+U63*ต้นทุนและราคา!$C$20+IF($C63="16 oz",ต้นทุนและราคา!$C$21,IF($C63="20 oz",ต้นทุนและราคา!$C$22,ต้นทุนและราคา!$C$23)),2)</f>
        <v>14.19</v>
      </c>
      <c r="X63" s="64" cm="1">
        <f t="array" ref="X63">IFERROR(INDEX(ต้นทุนและราคา!$C$26:$E$101,MATCH($B63,ต้นทุนและราคา!$A$26:$A$101,0),IF($C63="16 oz",1,IF($C63="20 oz",2,3))),"")</f>
        <v>65</v>
      </c>
      <c r="Y63" s="66">
        <f t="shared" si="4"/>
        <v>0.78169230769230769</v>
      </c>
      <c r="Z63" s="48" t="s">
        <v>907</v>
      </c>
    </row>
    <row r="64" spans="1:26" x14ac:dyDescent="0.25">
      <c r="A64" s="4" t="str">
        <f t="shared" si="3"/>
        <v>Thai Tea Frappe|16 oz|50%</v>
      </c>
      <c r="B64" s="4" t="s">
        <v>73</v>
      </c>
      <c r="C64" s="4" t="s">
        <v>5</v>
      </c>
      <c r="D64" s="4" t="s">
        <v>7</v>
      </c>
      <c r="E64" s="63">
        <v>90</v>
      </c>
      <c r="F64" s="63">
        <v>0</v>
      </c>
      <c r="G64" s="63">
        <v>70</v>
      </c>
      <c r="H64" s="63">
        <v>20</v>
      </c>
      <c r="I64" s="63">
        <v>16</v>
      </c>
      <c r="J64" s="63">
        <v>11.5</v>
      </c>
      <c r="K64" s="63">
        <v>0</v>
      </c>
      <c r="L64" s="63">
        <v>0</v>
      </c>
      <c r="M64" s="63">
        <v>0</v>
      </c>
      <c r="N64" s="63">
        <v>0</v>
      </c>
      <c r="O64" s="63">
        <v>0</v>
      </c>
      <c r="P64" s="63">
        <v>0</v>
      </c>
      <c r="Q64" s="63">
        <v>0</v>
      </c>
      <c r="R64" s="63">
        <v>0</v>
      </c>
      <c r="S64" s="63">
        <v>200</v>
      </c>
      <c r="T64" s="63">
        <v>0</v>
      </c>
      <c r="U64" s="63">
        <v>0</v>
      </c>
      <c r="V64" s="65">
        <f t="shared" si="2"/>
        <v>207.5</v>
      </c>
      <c r="W64" s="8">
        <f>ROUND(E64*ต้นทุนและราคา!$C$4+F64*ต้นทุนและราคา!$C$5+G64*ต้นทุนและราคา!$C$6+H64*ต้นทุนและราคา!$C$7+I64*ต้นทุนและราคา!$C$8+J64*ต้นทุนและราคา!$C$9+K64*ต้นทุนและราคา!$C$10+L64*ต้นทุนและราคา!$C$11+M64*ต้นทุนและราคา!$C$12+N64*ต้นทุนและราคา!$C$13+O64*ต้นทุนและราคา!$C$14+P64*ต้นทุนและราคา!$C$15+Q64*ต้นทุนและราคา!$C$16+R64*ต้นทุนและราคา!$C$17+S64*ต้นทุนและราคา!$C$18+T64*ต้นทุนและราคา!$C$19+U64*ต้นทุนและราคา!$C$20+IF($C64="16 oz",ต้นทุนและราคา!$C$21,IF($C64="20 oz",ต้นทุนและราคา!$C$22,ต้นทุนและราคา!$C$23)),2)</f>
        <v>14.74</v>
      </c>
      <c r="X64" s="64" cm="1">
        <f t="array" ref="X64">IFERROR(INDEX(ต้นทุนและราคา!$C$26:$E$101,MATCH($B64,ต้นทุนและราคา!$A$26:$A$101,0),IF($C64="16 oz",1,IF($C64="20 oz",2,3))),"")</f>
        <v>65</v>
      </c>
      <c r="Y64" s="66">
        <f t="shared" si="4"/>
        <v>0.77323076923076917</v>
      </c>
      <c r="Z64" s="48" t="s">
        <v>907</v>
      </c>
    </row>
    <row r="65" spans="1:26" x14ac:dyDescent="0.25">
      <c r="A65" s="4" t="str">
        <f t="shared" si="3"/>
        <v>Thai Tea Frappe|16 oz|75%</v>
      </c>
      <c r="B65" s="4" t="s">
        <v>73</v>
      </c>
      <c r="C65" s="4" t="s">
        <v>5</v>
      </c>
      <c r="D65" s="4" t="s">
        <v>65</v>
      </c>
      <c r="E65" s="63">
        <v>90</v>
      </c>
      <c r="F65" s="63">
        <v>0</v>
      </c>
      <c r="G65" s="63">
        <v>70</v>
      </c>
      <c r="H65" s="63">
        <v>20</v>
      </c>
      <c r="I65" s="63">
        <v>24</v>
      </c>
      <c r="J65" s="63">
        <v>11.5</v>
      </c>
      <c r="K65" s="63">
        <v>0</v>
      </c>
      <c r="L65" s="63">
        <v>0</v>
      </c>
      <c r="M65" s="63">
        <v>0</v>
      </c>
      <c r="N65" s="63">
        <v>0</v>
      </c>
      <c r="O65" s="63">
        <v>0</v>
      </c>
      <c r="P65" s="63">
        <v>0</v>
      </c>
      <c r="Q65" s="63">
        <v>0</v>
      </c>
      <c r="R65" s="63">
        <v>0</v>
      </c>
      <c r="S65" s="63">
        <v>200</v>
      </c>
      <c r="T65" s="63">
        <v>0</v>
      </c>
      <c r="U65" s="63">
        <v>0</v>
      </c>
      <c r="V65" s="65">
        <f t="shared" si="2"/>
        <v>215.5</v>
      </c>
      <c r="W65" s="8">
        <f>ROUND(E65*ต้นทุนและราคา!$C$4+F65*ต้นทุนและราคา!$C$5+G65*ต้นทุนและราคา!$C$6+H65*ต้นทุนและราคา!$C$7+I65*ต้นทุนและราคา!$C$8+J65*ต้นทุนและราคา!$C$9+K65*ต้นทุนและราคา!$C$10+L65*ต้นทุนและราคา!$C$11+M65*ต้นทุนและราคา!$C$12+N65*ต้นทุนและราคา!$C$13+O65*ต้นทุนและราคา!$C$14+P65*ต้นทุนและราคา!$C$15+Q65*ต้นทุนและราคา!$C$16+R65*ต้นทุนและราคา!$C$17+S65*ต้นทุนและราคา!$C$18+T65*ต้นทุนและราคา!$C$19+U65*ต้นทุนและราคา!$C$20+IF($C65="16 oz",ต้นทุนและราคา!$C$21,IF($C65="20 oz",ต้นทุนและราคา!$C$22,ต้นทุนและราคา!$C$23)),2)</f>
        <v>15.3</v>
      </c>
      <c r="X65" s="64" cm="1">
        <f t="array" ref="X65">IFERROR(INDEX(ต้นทุนและราคา!$C$26:$E$101,MATCH($B65,ต้นทุนและราคา!$A$26:$A$101,0),IF($C65="16 oz",1,IF($C65="20 oz",2,3))),"")</f>
        <v>65</v>
      </c>
      <c r="Y65" s="66">
        <f t="shared" si="4"/>
        <v>0.7646153846153847</v>
      </c>
      <c r="Z65" s="48" t="s">
        <v>907</v>
      </c>
    </row>
    <row r="66" spans="1:26" x14ac:dyDescent="0.25">
      <c r="A66" s="4" t="str">
        <f t="shared" ref="A66:A97" si="5">IF($B66="","",$B66&amp;"|"&amp;$C66&amp;"|"&amp;$D66)</f>
        <v>Thai Tea Frappe|16 oz|100%</v>
      </c>
      <c r="B66" s="4" t="s">
        <v>73</v>
      </c>
      <c r="C66" s="4" t="s">
        <v>5</v>
      </c>
      <c r="D66" s="4" t="s">
        <v>66</v>
      </c>
      <c r="E66" s="63">
        <v>90</v>
      </c>
      <c r="F66" s="63">
        <v>0</v>
      </c>
      <c r="G66" s="63">
        <v>70</v>
      </c>
      <c r="H66" s="63">
        <v>20</v>
      </c>
      <c r="I66" s="63">
        <v>32</v>
      </c>
      <c r="J66" s="63">
        <v>11.5</v>
      </c>
      <c r="K66" s="63">
        <v>0</v>
      </c>
      <c r="L66" s="63">
        <v>0</v>
      </c>
      <c r="M66" s="63">
        <v>0</v>
      </c>
      <c r="N66" s="63">
        <v>0</v>
      </c>
      <c r="O66" s="63">
        <v>0</v>
      </c>
      <c r="P66" s="63">
        <v>0</v>
      </c>
      <c r="Q66" s="63">
        <v>0</v>
      </c>
      <c r="R66" s="63">
        <v>0</v>
      </c>
      <c r="S66" s="63">
        <v>200</v>
      </c>
      <c r="T66" s="63">
        <v>0</v>
      </c>
      <c r="U66" s="63">
        <v>0</v>
      </c>
      <c r="V66" s="65">
        <f t="shared" si="2"/>
        <v>223.5</v>
      </c>
      <c r="W66" s="8">
        <f>ROUND(E66*ต้นทุนและราคา!$C$4+F66*ต้นทุนและราคา!$C$5+G66*ต้นทุนและราคา!$C$6+H66*ต้นทุนและราคา!$C$7+I66*ต้นทุนและราคา!$C$8+J66*ต้นทุนและราคา!$C$9+K66*ต้นทุนและราคา!$C$10+L66*ต้นทุนและราคา!$C$11+M66*ต้นทุนและราคา!$C$12+N66*ต้นทุนและราคา!$C$13+O66*ต้นทุนและราคา!$C$14+P66*ต้นทุนและราคา!$C$15+Q66*ต้นทุนและราคา!$C$16+R66*ต้นทุนและราคา!$C$17+S66*ต้นทุนและราคา!$C$18+T66*ต้นทุนและราคา!$C$19+U66*ต้นทุนและราคา!$C$20+IF($C66="16 oz",ต้นทุนและราคา!$C$21,IF($C66="20 oz",ต้นทุนและราคา!$C$22,ต้นทุนและราคา!$C$23)),2)</f>
        <v>15.85</v>
      </c>
      <c r="X66" s="64" cm="1">
        <f t="array" ref="X66">IFERROR(INDEX(ต้นทุนและราคา!$C$26:$E$101,MATCH($B66,ต้นทุนและราคา!$A$26:$A$101,0),IF($C66="16 oz",1,IF($C66="20 oz",2,3))),"")</f>
        <v>65</v>
      </c>
      <c r="Y66" s="66">
        <f t="shared" ref="Y66:Y97" si="6">IFERROR(($X66-$W66)/$X66,"")</f>
        <v>0.75615384615384618</v>
      </c>
      <c r="Z66" s="48" t="s">
        <v>907</v>
      </c>
    </row>
    <row r="67" spans="1:26" x14ac:dyDescent="0.25">
      <c r="A67" s="4" t="str">
        <f t="shared" si="5"/>
        <v>Thai Tea Frappe|22 oz|0%</v>
      </c>
      <c r="B67" s="4" t="s">
        <v>73</v>
      </c>
      <c r="C67" s="4" t="s">
        <v>67</v>
      </c>
      <c r="D67" s="4" t="s">
        <v>63</v>
      </c>
      <c r="E67" s="63">
        <v>124</v>
      </c>
      <c r="F67" s="63">
        <v>0</v>
      </c>
      <c r="G67" s="63">
        <v>96</v>
      </c>
      <c r="H67" s="63">
        <v>27.5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270</v>
      </c>
      <c r="T67" s="63">
        <v>0</v>
      </c>
      <c r="U67" s="63">
        <v>0</v>
      </c>
      <c r="V67" s="65">
        <f t="shared" ref="V67:V130" si="7">E67+F67+G67+H67+I67+J67+K67+M67+N67+P67+Q67+T67+U67</f>
        <v>247.5</v>
      </c>
      <c r="W67" s="8">
        <f>ROUND(E67*ต้นทุนและราคา!$C$4+F67*ต้นทุนและราคา!$C$5+G67*ต้นทุนและราคา!$C$6+H67*ต้นทุนและราคา!$C$7+I67*ต้นทุนและราคา!$C$8+J67*ต้นทุนและราคา!$C$9+K67*ต้นทุนและราคา!$C$10+L67*ต้นทุนและราคา!$C$11+M67*ต้นทุนและราคา!$C$12+N67*ต้นทุนและราคา!$C$13+O67*ต้นทุนและราคา!$C$14+P67*ต้นทุนและราคา!$C$15+Q67*ต้นทุนและราคา!$C$16+R67*ต้นทุนและราคา!$C$17+S67*ต้นทุนและราคา!$C$18+T67*ต้นทุนและราคา!$C$19+U67*ต้นทุนและราคา!$C$20+IF($C67="16 oz",ต้นทุนและราคา!$C$21,IF($C67="20 oz",ต้นทุนและราคา!$C$22,ต้นทุนและราคา!$C$23)),2)</f>
        <v>17.71</v>
      </c>
      <c r="X67" s="64" cm="1">
        <f t="array" ref="X67">IFERROR(INDEX(ต้นทุนและราคา!$C$26:$E$101,MATCH($B67,ต้นทุนและราคา!$A$26:$A$101,0),IF($C67="16 oz",1,IF($C67="20 oz",2,3))),"")</f>
        <v>75</v>
      </c>
      <c r="Y67" s="66">
        <f t="shared" si="6"/>
        <v>0.76386666666666669</v>
      </c>
      <c r="Z67" s="48" t="s">
        <v>906</v>
      </c>
    </row>
    <row r="68" spans="1:26" x14ac:dyDescent="0.25">
      <c r="A68" s="4" t="str">
        <f t="shared" si="5"/>
        <v>Thai Tea Frappe|22 oz|25%</v>
      </c>
      <c r="B68" s="4" t="s">
        <v>73</v>
      </c>
      <c r="C68" s="4" t="s">
        <v>67</v>
      </c>
      <c r="D68" s="4" t="s">
        <v>64</v>
      </c>
      <c r="E68" s="63">
        <v>124</v>
      </c>
      <c r="F68" s="63">
        <v>0</v>
      </c>
      <c r="G68" s="63">
        <v>96</v>
      </c>
      <c r="H68" s="63">
        <v>27.5</v>
      </c>
      <c r="I68" s="63">
        <v>11</v>
      </c>
      <c r="J68" s="63">
        <v>15.9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270</v>
      </c>
      <c r="T68" s="63">
        <v>0</v>
      </c>
      <c r="U68" s="63">
        <v>0</v>
      </c>
      <c r="V68" s="65">
        <f t="shared" si="7"/>
        <v>274.39999999999998</v>
      </c>
      <c r="W68" s="8">
        <f>ROUND(E68*ต้นทุนและราคา!$C$4+F68*ต้นทุนและราคา!$C$5+G68*ต้นทุนและราคา!$C$6+H68*ต้นทุนและราคา!$C$7+I68*ต้นทุนและราคา!$C$8+J68*ต้นทุนและราคา!$C$9+K68*ต้นทุนและราคา!$C$10+L68*ต้นทุนและราคา!$C$11+M68*ต้นทุนและราคา!$C$12+N68*ต้นทุนและราคา!$C$13+O68*ต้นทุนและราคา!$C$14+P68*ต้นทุนและราคา!$C$15+Q68*ต้นทุนและราคา!$C$16+R68*ต้นทุนและราคา!$C$17+S68*ต้นทุนและราคา!$C$18+T68*ต้นทุนและราคา!$C$19+U68*ต้นทุนและราคา!$C$20+IF($C68="16 oz",ต้นทุนและราคา!$C$21,IF($C68="20 oz",ต้นทุนและราคา!$C$22,ต้นทุนและราคา!$C$23)),2)</f>
        <v>18.73</v>
      </c>
      <c r="X68" s="64" cm="1">
        <f t="array" ref="X68">IFERROR(INDEX(ต้นทุนและราคา!$C$26:$E$101,MATCH($B68,ต้นทุนและราคา!$A$26:$A$101,0),IF($C68="16 oz",1,IF($C68="20 oz",2,3))),"")</f>
        <v>75</v>
      </c>
      <c r="Y68" s="66">
        <f t="shared" si="6"/>
        <v>0.75026666666666664</v>
      </c>
      <c r="Z68" s="48" t="s">
        <v>907</v>
      </c>
    </row>
    <row r="69" spans="1:26" x14ac:dyDescent="0.25">
      <c r="A69" s="4" t="str">
        <f t="shared" si="5"/>
        <v>Thai Tea Frappe|22 oz|50%</v>
      </c>
      <c r="B69" s="4" t="s">
        <v>73</v>
      </c>
      <c r="C69" s="4" t="s">
        <v>67</v>
      </c>
      <c r="D69" s="4" t="s">
        <v>7</v>
      </c>
      <c r="E69" s="63">
        <v>124</v>
      </c>
      <c r="F69" s="63">
        <v>0</v>
      </c>
      <c r="G69" s="63">
        <v>96</v>
      </c>
      <c r="H69" s="63">
        <v>27.5</v>
      </c>
      <c r="I69" s="63">
        <v>22</v>
      </c>
      <c r="J69" s="63">
        <v>15.9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270</v>
      </c>
      <c r="T69" s="63">
        <v>0</v>
      </c>
      <c r="U69" s="63">
        <v>0</v>
      </c>
      <c r="V69" s="65">
        <f t="shared" si="7"/>
        <v>285.39999999999998</v>
      </c>
      <c r="W69" s="8">
        <f>ROUND(E69*ต้นทุนและราคา!$C$4+F69*ต้นทุนและราคา!$C$5+G69*ต้นทุนและราคา!$C$6+H69*ต้นทุนและราคา!$C$7+I69*ต้นทุนและราคา!$C$8+J69*ต้นทุนและราคา!$C$9+K69*ต้นทุนและราคา!$C$10+L69*ต้นทุนและราคา!$C$11+M69*ต้นทุนและราคา!$C$12+N69*ต้นทุนและราคา!$C$13+O69*ต้นทุนและราคา!$C$14+P69*ต้นทุนและราคา!$C$15+Q69*ต้นทุนและราคา!$C$16+R69*ต้นทุนและราคา!$C$17+S69*ต้นทุนและราคา!$C$18+T69*ต้นทุนและราคา!$C$19+U69*ต้นทุนและราคา!$C$20+IF($C69="16 oz",ต้นทุนและราคา!$C$21,IF($C69="20 oz",ต้นทุนและราคา!$C$22,ต้นทุนและราคา!$C$23)),2)</f>
        <v>19.5</v>
      </c>
      <c r="X69" s="64" cm="1">
        <f t="array" ref="X69">IFERROR(INDEX(ต้นทุนและราคา!$C$26:$E$101,MATCH($B69,ต้นทุนและราคา!$A$26:$A$101,0),IF($C69="16 oz",1,IF($C69="20 oz",2,3))),"")</f>
        <v>75</v>
      </c>
      <c r="Y69" s="66">
        <f t="shared" si="6"/>
        <v>0.74</v>
      </c>
      <c r="Z69" s="48" t="s">
        <v>907</v>
      </c>
    </row>
    <row r="70" spans="1:26" x14ac:dyDescent="0.25">
      <c r="A70" s="4" t="str">
        <f t="shared" si="5"/>
        <v>Thai Tea Frappe|22 oz|75%</v>
      </c>
      <c r="B70" s="4" t="s">
        <v>73</v>
      </c>
      <c r="C70" s="4" t="s">
        <v>67</v>
      </c>
      <c r="D70" s="4" t="s">
        <v>65</v>
      </c>
      <c r="E70" s="63">
        <v>124</v>
      </c>
      <c r="F70" s="63">
        <v>0</v>
      </c>
      <c r="G70" s="63">
        <v>96</v>
      </c>
      <c r="H70" s="63">
        <v>27.5</v>
      </c>
      <c r="I70" s="63">
        <v>33</v>
      </c>
      <c r="J70" s="63">
        <v>15.9</v>
      </c>
      <c r="K70" s="63">
        <v>0</v>
      </c>
      <c r="L70" s="63">
        <v>0</v>
      </c>
      <c r="M70" s="63">
        <v>0</v>
      </c>
      <c r="N70" s="63">
        <v>0</v>
      </c>
      <c r="O70" s="63">
        <v>0</v>
      </c>
      <c r="P70" s="63">
        <v>0</v>
      </c>
      <c r="Q70" s="63">
        <v>0</v>
      </c>
      <c r="R70" s="63">
        <v>0</v>
      </c>
      <c r="S70" s="63">
        <v>270</v>
      </c>
      <c r="T70" s="63">
        <v>0</v>
      </c>
      <c r="U70" s="63">
        <v>0</v>
      </c>
      <c r="V70" s="65">
        <f t="shared" si="7"/>
        <v>296.39999999999998</v>
      </c>
      <c r="W70" s="8">
        <f>ROUND(E70*ต้นทุนและราคา!$C$4+F70*ต้นทุนและราคา!$C$5+G70*ต้นทุนและราคา!$C$6+H70*ต้นทุนและราคา!$C$7+I70*ต้นทุนและราคา!$C$8+J70*ต้นทุนและราคา!$C$9+K70*ต้นทุนและราคา!$C$10+L70*ต้นทุนและราคา!$C$11+M70*ต้นทุนและราคา!$C$12+N70*ต้นทุนและราคา!$C$13+O70*ต้นทุนและราคา!$C$14+P70*ต้นทุนและราคา!$C$15+Q70*ต้นทุนและราคา!$C$16+R70*ต้นทุนและราคา!$C$17+S70*ต้นทุนและราคา!$C$18+T70*ต้นทุนและราคา!$C$19+U70*ต้นทุนและราคา!$C$20+IF($C70="16 oz",ต้นทุนและราคา!$C$21,IF($C70="20 oz",ต้นทุนและราคา!$C$22,ต้นทุนและราคา!$C$23)),2)</f>
        <v>20.260000000000002</v>
      </c>
      <c r="X70" s="64" cm="1">
        <f t="array" ref="X70">IFERROR(INDEX(ต้นทุนและราคา!$C$26:$E$101,MATCH($B70,ต้นทุนและราคา!$A$26:$A$101,0),IF($C70="16 oz",1,IF($C70="20 oz",2,3))),"")</f>
        <v>75</v>
      </c>
      <c r="Y70" s="66">
        <f t="shared" si="6"/>
        <v>0.72986666666666655</v>
      </c>
      <c r="Z70" s="48" t="s">
        <v>907</v>
      </c>
    </row>
    <row r="71" spans="1:26" x14ac:dyDescent="0.25">
      <c r="A71" s="4" t="str">
        <f t="shared" si="5"/>
        <v>Thai Tea Frappe|22 oz|100%</v>
      </c>
      <c r="B71" s="4" t="s">
        <v>73</v>
      </c>
      <c r="C71" s="4" t="s">
        <v>67</v>
      </c>
      <c r="D71" s="4" t="s">
        <v>66</v>
      </c>
      <c r="E71" s="63">
        <v>124</v>
      </c>
      <c r="F71" s="63">
        <v>0</v>
      </c>
      <c r="G71" s="63">
        <v>96</v>
      </c>
      <c r="H71" s="63">
        <v>27.5</v>
      </c>
      <c r="I71" s="63">
        <v>44</v>
      </c>
      <c r="J71" s="63">
        <v>15.9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270</v>
      </c>
      <c r="T71" s="63">
        <v>0</v>
      </c>
      <c r="U71" s="63">
        <v>0</v>
      </c>
      <c r="V71" s="65">
        <f t="shared" si="7"/>
        <v>307.39999999999998</v>
      </c>
      <c r="W71" s="8">
        <f>ROUND(E71*ต้นทุนและราคา!$C$4+F71*ต้นทุนและราคา!$C$5+G71*ต้นทุนและราคา!$C$6+H71*ต้นทุนและราคา!$C$7+I71*ต้นทุนและราคา!$C$8+J71*ต้นทุนและราคา!$C$9+K71*ต้นทุนและราคา!$C$10+L71*ต้นทุนและราคา!$C$11+M71*ต้นทุนและราคา!$C$12+N71*ต้นทุนและราคา!$C$13+O71*ต้นทุนและราคา!$C$14+P71*ต้นทุนและราคา!$C$15+Q71*ต้นทุนและราคา!$C$16+R71*ต้นทุนและราคา!$C$17+S71*ต้นทุนและราคา!$C$18+T71*ต้นทุนและราคา!$C$19+U71*ต้นทุนและราคา!$C$20+IF($C71="16 oz",ต้นทุนและราคา!$C$21,IF($C71="20 oz",ต้นทุนและราคา!$C$22,ต้นทุนและราคา!$C$23)),2)</f>
        <v>21.02</v>
      </c>
      <c r="X71" s="64" cm="1">
        <f t="array" ref="X71">IFERROR(INDEX(ต้นทุนและราคา!$C$26:$E$101,MATCH($B71,ต้นทุนและราคา!$A$26:$A$101,0),IF($C71="16 oz",1,IF($C71="20 oz",2,3))),"")</f>
        <v>75</v>
      </c>
      <c r="Y71" s="66">
        <f t="shared" si="6"/>
        <v>0.71973333333333334</v>
      </c>
      <c r="Z71" s="48" t="s">
        <v>907</v>
      </c>
    </row>
    <row r="72" spans="1:26" x14ac:dyDescent="0.25">
      <c r="A72" s="4" t="str">
        <f t="shared" si="5"/>
        <v>Coconut Frappe|16 oz|0%</v>
      </c>
      <c r="B72" s="4" t="s">
        <v>74</v>
      </c>
      <c r="C72" s="4" t="s">
        <v>5</v>
      </c>
      <c r="D72" s="4" t="s">
        <v>63</v>
      </c>
      <c r="E72" s="63">
        <v>75</v>
      </c>
      <c r="F72" s="63">
        <v>0</v>
      </c>
      <c r="G72" s="63">
        <v>35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85</v>
      </c>
      <c r="O72" s="63">
        <v>0</v>
      </c>
      <c r="P72" s="63">
        <v>0</v>
      </c>
      <c r="Q72" s="63">
        <v>0</v>
      </c>
      <c r="R72" s="63">
        <v>0</v>
      </c>
      <c r="S72" s="63">
        <v>200</v>
      </c>
      <c r="T72" s="63">
        <v>0</v>
      </c>
      <c r="U72" s="63">
        <v>0</v>
      </c>
      <c r="V72" s="65">
        <f t="shared" si="7"/>
        <v>195</v>
      </c>
      <c r="W72" s="8">
        <f>ROUND(E72*ต้นทุนและราคา!$C$4+F72*ต้นทุนและราคา!$C$5+G72*ต้นทุนและราคา!$C$6+H72*ต้นทุนและราคา!$C$7+I72*ต้นทุนและราคา!$C$8+J72*ต้นทุนและราคา!$C$9+K72*ต้นทุนและราคา!$C$10+L72*ต้นทุนและราคา!$C$11+M72*ต้นทุนและราคา!$C$12+N72*ต้นทุนและราคา!$C$13+O72*ต้นทุนและราคา!$C$14+P72*ต้นทุนและราคา!$C$15+Q72*ต้นทุนและราคา!$C$16+R72*ต้นทุนและราคา!$C$17+S72*ต้นทุนและราคา!$C$18+T72*ต้นทุนและราคา!$C$19+U72*ต้นทุนและราคา!$C$20+IF($C72="16 oz",ต้นทุนและราคา!$C$21,IF($C72="20 oz",ต้นทุนและราคา!$C$22,ต้นทุนและราคา!$C$23)),2)</f>
        <v>16.23</v>
      </c>
      <c r="X72" s="64" cm="1">
        <f t="array" ref="X72">IFERROR(INDEX(ต้นทุนและราคา!$C$26:$E$101,MATCH($B72,ต้นทุนและราคา!$A$26:$A$101,0),IF($C72="16 oz",1,IF($C72="20 oz",2,3))),"")</f>
        <v>69</v>
      </c>
      <c r="Y72" s="66">
        <f t="shared" si="6"/>
        <v>0.76478260869565207</v>
      </c>
      <c r="Z72" s="48" t="s">
        <v>908</v>
      </c>
    </row>
    <row r="73" spans="1:26" x14ac:dyDescent="0.25">
      <c r="A73" s="4" t="str">
        <f t="shared" si="5"/>
        <v>Coconut Frappe|16 oz|25%</v>
      </c>
      <c r="B73" s="4" t="s">
        <v>74</v>
      </c>
      <c r="C73" s="4" t="s">
        <v>5</v>
      </c>
      <c r="D73" s="4" t="s">
        <v>64</v>
      </c>
      <c r="E73" s="63">
        <v>75</v>
      </c>
      <c r="F73" s="63">
        <v>0</v>
      </c>
      <c r="G73" s="63">
        <v>35</v>
      </c>
      <c r="H73" s="63">
        <v>0</v>
      </c>
      <c r="I73" s="63">
        <v>6</v>
      </c>
      <c r="J73" s="63">
        <v>9.6</v>
      </c>
      <c r="K73" s="63">
        <v>0</v>
      </c>
      <c r="L73" s="63">
        <v>0</v>
      </c>
      <c r="M73" s="63">
        <v>0</v>
      </c>
      <c r="N73" s="63">
        <v>85</v>
      </c>
      <c r="O73" s="63">
        <v>0</v>
      </c>
      <c r="P73" s="63">
        <v>0</v>
      </c>
      <c r="Q73" s="63">
        <v>0</v>
      </c>
      <c r="R73" s="63">
        <v>0</v>
      </c>
      <c r="S73" s="63">
        <v>200</v>
      </c>
      <c r="T73" s="63">
        <v>0</v>
      </c>
      <c r="U73" s="63">
        <v>0</v>
      </c>
      <c r="V73" s="65">
        <f t="shared" si="7"/>
        <v>210.6</v>
      </c>
      <c r="W73" s="8">
        <f>ROUND(E73*ต้นทุนและราคา!$C$4+F73*ต้นทุนและราคา!$C$5+G73*ต้นทุนและราคา!$C$6+H73*ต้นทุนและราคา!$C$7+I73*ต้นทุนและราคา!$C$8+J73*ต้นทุนและราคา!$C$9+K73*ต้นทุนและราคา!$C$10+L73*ต้นทุนและราคา!$C$11+M73*ต้นทุนและราคา!$C$12+N73*ต้นทุนและราคา!$C$13+O73*ต้นทุนและราคา!$C$14+P73*ต้นทุนและราคา!$C$15+Q73*ต้นทุนและราคา!$C$16+R73*ต้นทุนและราคา!$C$17+S73*ต้นทุนและราคา!$C$18+T73*ต้นทุนและราคา!$C$19+U73*ต้นทุนและราคา!$C$20+IF($C73="16 oz",ต้นทุนและราคา!$C$21,IF($C73="20 oz",ต้นทุนและราคา!$C$22,ต้นทุนและราคา!$C$23)),2)</f>
        <v>16.809999999999999</v>
      </c>
      <c r="X73" s="64" cm="1">
        <f t="array" ref="X73">IFERROR(INDEX(ต้นทุนและราคา!$C$26:$E$101,MATCH($B73,ต้นทุนและราคา!$A$26:$A$101,0),IF($C73="16 oz",1,IF($C73="20 oz",2,3))),"")</f>
        <v>69</v>
      </c>
      <c r="Y73" s="66">
        <f t="shared" si="6"/>
        <v>0.75637681159420289</v>
      </c>
      <c r="Z73" s="48" t="s">
        <v>909</v>
      </c>
    </row>
    <row r="74" spans="1:26" x14ac:dyDescent="0.25">
      <c r="A74" s="4" t="str">
        <f t="shared" si="5"/>
        <v>Coconut Frappe|16 oz|50%</v>
      </c>
      <c r="B74" s="4" t="s">
        <v>74</v>
      </c>
      <c r="C74" s="4" t="s">
        <v>5</v>
      </c>
      <c r="D74" s="4" t="s">
        <v>7</v>
      </c>
      <c r="E74" s="63">
        <v>75</v>
      </c>
      <c r="F74" s="63">
        <v>0</v>
      </c>
      <c r="G74" s="63">
        <v>35</v>
      </c>
      <c r="H74" s="63">
        <v>0</v>
      </c>
      <c r="I74" s="63">
        <v>12</v>
      </c>
      <c r="J74" s="63">
        <v>9.6</v>
      </c>
      <c r="K74" s="63">
        <v>0</v>
      </c>
      <c r="L74" s="63">
        <v>0</v>
      </c>
      <c r="M74" s="63">
        <v>0</v>
      </c>
      <c r="N74" s="63">
        <v>85</v>
      </c>
      <c r="O74" s="63">
        <v>0</v>
      </c>
      <c r="P74" s="63">
        <v>0</v>
      </c>
      <c r="Q74" s="63">
        <v>0</v>
      </c>
      <c r="R74" s="63">
        <v>0</v>
      </c>
      <c r="S74" s="63">
        <v>200</v>
      </c>
      <c r="T74" s="63">
        <v>0</v>
      </c>
      <c r="U74" s="63">
        <v>0</v>
      </c>
      <c r="V74" s="65">
        <f t="shared" si="7"/>
        <v>216.6</v>
      </c>
      <c r="W74" s="8">
        <f>ROUND(E74*ต้นทุนและราคา!$C$4+F74*ต้นทุนและราคา!$C$5+G74*ต้นทุนและราคา!$C$6+H74*ต้นทุนและราคา!$C$7+I74*ต้นทุนและราคา!$C$8+J74*ต้นทุนและราคา!$C$9+K74*ต้นทุนและราคา!$C$10+L74*ต้นทุนและราคา!$C$11+M74*ต้นทุนและราคา!$C$12+N74*ต้นทุนและราคา!$C$13+O74*ต้นทุนและราคา!$C$14+P74*ต้นทุนและราคา!$C$15+Q74*ต้นทุนและราคา!$C$16+R74*ต้นทุนและราคา!$C$17+S74*ต้นทุนและราคา!$C$18+T74*ต้นทุนและราคา!$C$19+U74*ต้นทุนและราคา!$C$20+IF($C74="16 oz",ต้นทุนและราคา!$C$21,IF($C74="20 oz",ต้นทุนและราคา!$C$22,ต้นทุนและราคา!$C$23)),2)</f>
        <v>17.22</v>
      </c>
      <c r="X74" s="64" cm="1">
        <f t="array" ref="X74">IFERROR(INDEX(ต้นทุนและราคา!$C$26:$E$101,MATCH($B74,ต้นทุนและราคา!$A$26:$A$101,0),IF($C74="16 oz",1,IF($C74="20 oz",2,3))),"")</f>
        <v>69</v>
      </c>
      <c r="Y74" s="66">
        <f t="shared" si="6"/>
        <v>0.75043478260869567</v>
      </c>
      <c r="Z74" s="48" t="s">
        <v>909</v>
      </c>
    </row>
    <row r="75" spans="1:26" x14ac:dyDescent="0.25">
      <c r="A75" s="4" t="str">
        <f t="shared" si="5"/>
        <v>Coconut Frappe|16 oz|75%</v>
      </c>
      <c r="B75" s="4" t="s">
        <v>74</v>
      </c>
      <c r="C75" s="4" t="s">
        <v>5</v>
      </c>
      <c r="D75" s="4" t="s">
        <v>65</v>
      </c>
      <c r="E75" s="63">
        <v>75</v>
      </c>
      <c r="F75" s="63">
        <v>0</v>
      </c>
      <c r="G75" s="63">
        <v>35</v>
      </c>
      <c r="H75" s="63">
        <v>0</v>
      </c>
      <c r="I75" s="63">
        <v>18</v>
      </c>
      <c r="J75" s="63">
        <v>9.6</v>
      </c>
      <c r="K75" s="63">
        <v>0</v>
      </c>
      <c r="L75" s="63">
        <v>0</v>
      </c>
      <c r="M75" s="63">
        <v>0</v>
      </c>
      <c r="N75" s="63">
        <v>85</v>
      </c>
      <c r="O75" s="63">
        <v>0</v>
      </c>
      <c r="P75" s="63">
        <v>0</v>
      </c>
      <c r="Q75" s="63">
        <v>0</v>
      </c>
      <c r="R75" s="63">
        <v>0</v>
      </c>
      <c r="S75" s="63">
        <v>200</v>
      </c>
      <c r="T75" s="63">
        <v>0</v>
      </c>
      <c r="U75" s="63">
        <v>0</v>
      </c>
      <c r="V75" s="65">
        <f t="shared" si="7"/>
        <v>222.6</v>
      </c>
      <c r="W75" s="8">
        <f>ROUND(E75*ต้นทุนและราคา!$C$4+F75*ต้นทุนและราคา!$C$5+G75*ต้นทุนและราคา!$C$6+H75*ต้นทุนและราคา!$C$7+I75*ต้นทุนและราคา!$C$8+J75*ต้นทุนและราคา!$C$9+K75*ต้นทุนและราคา!$C$10+L75*ต้นทุนและราคา!$C$11+M75*ต้นทุนและราคา!$C$12+N75*ต้นทุนและราคา!$C$13+O75*ต้นทุนและราคา!$C$14+P75*ต้นทุนและราคา!$C$15+Q75*ต้นทุนและราคา!$C$16+R75*ต้นทุนและราคา!$C$17+S75*ต้นทุนและราคา!$C$18+T75*ต้นทุนและราคา!$C$19+U75*ต้นทุนและราคา!$C$20+IF($C75="16 oz",ต้นทุนและราคา!$C$21,IF($C75="20 oz",ต้นทุนและราคา!$C$22,ต้นทุนและราคา!$C$23)),2)</f>
        <v>17.64</v>
      </c>
      <c r="X75" s="64" cm="1">
        <f t="array" ref="X75">IFERROR(INDEX(ต้นทุนและราคา!$C$26:$E$101,MATCH($B75,ต้นทุนและราคา!$A$26:$A$101,0),IF($C75="16 oz",1,IF($C75="20 oz",2,3))),"")</f>
        <v>69</v>
      </c>
      <c r="Y75" s="66">
        <f t="shared" si="6"/>
        <v>0.74434782608695649</v>
      </c>
      <c r="Z75" s="48" t="s">
        <v>909</v>
      </c>
    </row>
    <row r="76" spans="1:26" x14ac:dyDescent="0.25">
      <c r="A76" s="4" t="str">
        <f t="shared" si="5"/>
        <v>Coconut Frappe|16 oz|100%</v>
      </c>
      <c r="B76" s="4" t="s">
        <v>74</v>
      </c>
      <c r="C76" s="4" t="s">
        <v>5</v>
      </c>
      <c r="D76" s="4" t="s">
        <v>66</v>
      </c>
      <c r="E76" s="63">
        <v>75</v>
      </c>
      <c r="F76" s="63">
        <v>0</v>
      </c>
      <c r="G76" s="63">
        <v>35</v>
      </c>
      <c r="H76" s="63">
        <v>0</v>
      </c>
      <c r="I76" s="63">
        <v>24</v>
      </c>
      <c r="J76" s="63">
        <v>9.6</v>
      </c>
      <c r="K76" s="63">
        <v>0</v>
      </c>
      <c r="L76" s="63">
        <v>0</v>
      </c>
      <c r="M76" s="63">
        <v>0</v>
      </c>
      <c r="N76" s="63">
        <v>85</v>
      </c>
      <c r="O76" s="63">
        <v>0</v>
      </c>
      <c r="P76" s="63">
        <v>0</v>
      </c>
      <c r="Q76" s="63">
        <v>0</v>
      </c>
      <c r="R76" s="63">
        <v>0</v>
      </c>
      <c r="S76" s="63">
        <v>200</v>
      </c>
      <c r="T76" s="63">
        <v>0</v>
      </c>
      <c r="U76" s="63">
        <v>0</v>
      </c>
      <c r="V76" s="65">
        <f t="shared" si="7"/>
        <v>228.6</v>
      </c>
      <c r="W76" s="8">
        <f>ROUND(E76*ต้นทุนและราคา!$C$4+F76*ต้นทุนและราคา!$C$5+G76*ต้นทุนและราคา!$C$6+H76*ต้นทุนและราคา!$C$7+I76*ต้นทุนและราคา!$C$8+J76*ต้นทุนและราคา!$C$9+K76*ต้นทุนและราคา!$C$10+L76*ต้นทุนและราคา!$C$11+M76*ต้นทุนและราคา!$C$12+N76*ต้นทุนและราคา!$C$13+O76*ต้นทุนและราคา!$C$14+P76*ต้นทุนและราคา!$C$15+Q76*ต้นทุนและราคา!$C$16+R76*ต้นทุนและราคา!$C$17+S76*ต้นทุนและราคา!$C$18+T76*ต้นทุนและราคา!$C$19+U76*ต้นทุนและราคา!$C$20+IF($C76="16 oz",ต้นทุนและราคา!$C$21,IF($C76="20 oz",ต้นทุนและราคา!$C$22,ต้นทุนและราคา!$C$23)),2)</f>
        <v>18.05</v>
      </c>
      <c r="X76" s="64" cm="1">
        <f t="array" ref="X76">IFERROR(INDEX(ต้นทุนและราคา!$C$26:$E$101,MATCH($B76,ต้นทุนและราคา!$A$26:$A$101,0),IF($C76="16 oz",1,IF($C76="20 oz",2,3))),"")</f>
        <v>69</v>
      </c>
      <c r="Y76" s="66">
        <f t="shared" si="6"/>
        <v>0.73840579710144927</v>
      </c>
      <c r="Z76" s="48" t="s">
        <v>909</v>
      </c>
    </row>
    <row r="77" spans="1:26" x14ac:dyDescent="0.25">
      <c r="A77" s="4" t="str">
        <f t="shared" si="5"/>
        <v>Coconut Frappe|22 oz|0%</v>
      </c>
      <c r="B77" s="4" t="s">
        <v>74</v>
      </c>
      <c r="C77" s="4" t="s">
        <v>67</v>
      </c>
      <c r="D77" s="4" t="s">
        <v>63</v>
      </c>
      <c r="E77" s="63">
        <v>103</v>
      </c>
      <c r="F77" s="63">
        <v>0</v>
      </c>
      <c r="G77" s="63">
        <v>48</v>
      </c>
      <c r="H77" s="63">
        <v>0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117</v>
      </c>
      <c r="O77" s="63">
        <v>0</v>
      </c>
      <c r="P77" s="63">
        <v>0</v>
      </c>
      <c r="Q77" s="63">
        <v>0</v>
      </c>
      <c r="R77" s="63">
        <v>0</v>
      </c>
      <c r="S77" s="63">
        <v>270</v>
      </c>
      <c r="T77" s="63">
        <v>0</v>
      </c>
      <c r="U77" s="63">
        <v>0</v>
      </c>
      <c r="V77" s="65">
        <f t="shared" si="7"/>
        <v>268</v>
      </c>
      <c r="W77" s="8">
        <f>ROUND(E77*ต้นทุนและราคา!$C$4+F77*ต้นทุนและราคา!$C$5+G77*ต้นทุนและราคา!$C$6+H77*ต้นทุนและราคา!$C$7+I77*ต้นทุนและราคา!$C$8+J77*ต้นทุนและราคา!$C$9+K77*ต้นทุนและราคา!$C$10+L77*ต้นทุนและราคา!$C$11+M77*ต้นทุนและราคา!$C$12+N77*ต้นทุนและราคา!$C$13+O77*ต้นทุนและราคา!$C$14+P77*ต้นทุนและราคา!$C$15+Q77*ต้นทุนและราคา!$C$16+R77*ต้นทุนและราคา!$C$17+S77*ต้นทุนและราคา!$C$18+T77*ต้นทุนและราคา!$C$19+U77*ต้นทุนและราคา!$C$20+IF($C77="16 oz",ต้นทุนและราคา!$C$21,IF($C77="20 oz",ต้นทุนและราคา!$C$22,ต้นทุนและราคา!$C$23)),2)</f>
        <v>21.55</v>
      </c>
      <c r="X77" s="64" cm="1">
        <f t="array" ref="X77">IFERROR(INDEX(ต้นทุนและราคา!$C$26:$E$101,MATCH($B77,ต้นทุนและราคา!$A$26:$A$101,0),IF($C77="16 oz",1,IF($C77="20 oz",2,3))),"")</f>
        <v>79</v>
      </c>
      <c r="Y77" s="66">
        <f t="shared" si="6"/>
        <v>0.72721518987341771</v>
      </c>
      <c r="Z77" s="48" t="s">
        <v>908</v>
      </c>
    </row>
    <row r="78" spans="1:26" x14ac:dyDescent="0.25">
      <c r="A78" s="4" t="str">
        <f t="shared" si="5"/>
        <v>Coconut Frappe|22 oz|25%</v>
      </c>
      <c r="B78" s="4" t="s">
        <v>74</v>
      </c>
      <c r="C78" s="4" t="s">
        <v>67</v>
      </c>
      <c r="D78" s="4" t="s">
        <v>64</v>
      </c>
      <c r="E78" s="63">
        <v>103</v>
      </c>
      <c r="F78" s="63">
        <v>0</v>
      </c>
      <c r="G78" s="63">
        <v>48</v>
      </c>
      <c r="H78" s="63">
        <v>0</v>
      </c>
      <c r="I78" s="63">
        <v>8</v>
      </c>
      <c r="J78" s="63">
        <v>13.2</v>
      </c>
      <c r="K78" s="63">
        <v>0</v>
      </c>
      <c r="L78" s="63">
        <v>0</v>
      </c>
      <c r="M78" s="63">
        <v>0</v>
      </c>
      <c r="N78" s="63">
        <v>117</v>
      </c>
      <c r="O78" s="63">
        <v>0</v>
      </c>
      <c r="P78" s="63">
        <v>0</v>
      </c>
      <c r="Q78" s="63">
        <v>0</v>
      </c>
      <c r="R78" s="63">
        <v>0</v>
      </c>
      <c r="S78" s="63">
        <v>270</v>
      </c>
      <c r="T78" s="63">
        <v>0</v>
      </c>
      <c r="U78" s="63">
        <v>0</v>
      </c>
      <c r="V78" s="65">
        <f t="shared" si="7"/>
        <v>289.2</v>
      </c>
      <c r="W78" s="8">
        <f>ROUND(E78*ต้นทุนและราคา!$C$4+F78*ต้นทุนและราคา!$C$5+G78*ต้นทุนและราคา!$C$6+H78*ต้นทุนและราคา!$C$7+I78*ต้นทุนและราคา!$C$8+J78*ต้นทุนและราคา!$C$9+K78*ต้นทุนและราคา!$C$10+L78*ต้นทุนและราคา!$C$11+M78*ต้นทุนและราคา!$C$12+N78*ต้นทุนและราคา!$C$13+O78*ต้นทุนและราคา!$C$14+P78*ต้นทุนและราคา!$C$15+Q78*ต้นทุนและราคา!$C$16+R78*ต้นทุนและราคา!$C$17+S78*ต้นทุนและราคา!$C$18+T78*ต้นทุนและราคา!$C$19+U78*ต้นทุนและราคา!$C$20+IF($C78="16 oz",ต้นทุนและราคา!$C$21,IF($C78="20 oz",ต้นทุนและราคา!$C$22,ต้นทุนและราคา!$C$23)),2)</f>
        <v>22.32</v>
      </c>
      <c r="X78" s="64" cm="1">
        <f t="array" ref="X78">IFERROR(INDEX(ต้นทุนและราคา!$C$26:$E$101,MATCH($B78,ต้นทุนและราคา!$A$26:$A$101,0),IF($C78="16 oz",1,IF($C78="20 oz",2,3))),"")</f>
        <v>79</v>
      </c>
      <c r="Y78" s="66">
        <f t="shared" si="6"/>
        <v>0.71746835443037971</v>
      </c>
      <c r="Z78" s="48" t="s">
        <v>909</v>
      </c>
    </row>
    <row r="79" spans="1:26" x14ac:dyDescent="0.25">
      <c r="A79" s="4" t="str">
        <f t="shared" si="5"/>
        <v>Coconut Frappe|22 oz|50%</v>
      </c>
      <c r="B79" s="4" t="s">
        <v>74</v>
      </c>
      <c r="C79" s="4" t="s">
        <v>67</v>
      </c>
      <c r="D79" s="4" t="s">
        <v>7</v>
      </c>
      <c r="E79" s="63">
        <v>103</v>
      </c>
      <c r="F79" s="63">
        <v>0</v>
      </c>
      <c r="G79" s="63">
        <v>48</v>
      </c>
      <c r="H79" s="63">
        <v>0</v>
      </c>
      <c r="I79" s="63">
        <v>16.5</v>
      </c>
      <c r="J79" s="63">
        <v>13.2</v>
      </c>
      <c r="K79" s="63">
        <v>0</v>
      </c>
      <c r="L79" s="63">
        <v>0</v>
      </c>
      <c r="M79" s="63">
        <v>0</v>
      </c>
      <c r="N79" s="63">
        <v>117</v>
      </c>
      <c r="O79" s="63">
        <v>0</v>
      </c>
      <c r="P79" s="63">
        <v>0</v>
      </c>
      <c r="Q79" s="63">
        <v>0</v>
      </c>
      <c r="R79" s="63">
        <v>0</v>
      </c>
      <c r="S79" s="63">
        <v>270</v>
      </c>
      <c r="T79" s="63">
        <v>0</v>
      </c>
      <c r="U79" s="63">
        <v>0</v>
      </c>
      <c r="V79" s="65">
        <f t="shared" si="7"/>
        <v>297.7</v>
      </c>
      <c r="W79" s="8">
        <f>ROUND(E79*ต้นทุนและราคา!$C$4+F79*ต้นทุนและราคา!$C$5+G79*ต้นทุนและราคา!$C$6+H79*ต้นทุนและราคา!$C$7+I79*ต้นทุนและราคา!$C$8+J79*ต้นทุนและราคา!$C$9+K79*ต้นทุนและราคา!$C$10+L79*ต้นทุนและราคา!$C$11+M79*ต้นทุนและราคา!$C$12+N79*ต้นทุนและราคา!$C$13+O79*ต้นทุนและราคา!$C$14+P79*ต้นทุนและราคา!$C$15+Q79*ต้นทุนและราคา!$C$16+R79*ต้นทุนและราคา!$C$17+S79*ต้นทุนและราคา!$C$18+T79*ต้นทุนและราคา!$C$19+U79*ต้นทุนและราคา!$C$20+IF($C79="16 oz",ต้นทุนและราคา!$C$21,IF($C79="20 oz",ต้นทุนและราคา!$C$22,ต้นทุนและราคา!$C$23)),2)</f>
        <v>22.91</v>
      </c>
      <c r="X79" s="64" cm="1">
        <f t="array" ref="X79">IFERROR(INDEX(ต้นทุนและราคา!$C$26:$E$101,MATCH($B79,ต้นทุนและราคา!$A$26:$A$101,0),IF($C79="16 oz",1,IF($C79="20 oz",2,3))),"")</f>
        <v>79</v>
      </c>
      <c r="Y79" s="66">
        <f t="shared" si="6"/>
        <v>0.71000000000000008</v>
      </c>
      <c r="Z79" s="48" t="s">
        <v>909</v>
      </c>
    </row>
    <row r="80" spans="1:26" x14ac:dyDescent="0.25">
      <c r="A80" s="4" t="str">
        <f t="shared" si="5"/>
        <v>Coconut Frappe|22 oz|75%</v>
      </c>
      <c r="B80" s="4" t="s">
        <v>74</v>
      </c>
      <c r="C80" s="4" t="s">
        <v>67</v>
      </c>
      <c r="D80" s="4" t="s">
        <v>65</v>
      </c>
      <c r="E80" s="63">
        <v>103</v>
      </c>
      <c r="F80" s="63">
        <v>0</v>
      </c>
      <c r="G80" s="63">
        <v>48</v>
      </c>
      <c r="H80" s="63">
        <v>0</v>
      </c>
      <c r="I80" s="63">
        <v>25</v>
      </c>
      <c r="J80" s="63">
        <v>13.2</v>
      </c>
      <c r="K80" s="63">
        <v>0</v>
      </c>
      <c r="L80" s="63">
        <v>0</v>
      </c>
      <c r="M80" s="63">
        <v>0</v>
      </c>
      <c r="N80" s="63">
        <v>117</v>
      </c>
      <c r="O80" s="63">
        <v>0</v>
      </c>
      <c r="P80" s="63">
        <v>0</v>
      </c>
      <c r="Q80" s="63">
        <v>0</v>
      </c>
      <c r="R80" s="63">
        <v>0</v>
      </c>
      <c r="S80" s="63">
        <v>270</v>
      </c>
      <c r="T80" s="63">
        <v>0</v>
      </c>
      <c r="U80" s="63">
        <v>0</v>
      </c>
      <c r="V80" s="65">
        <f t="shared" si="7"/>
        <v>306.2</v>
      </c>
      <c r="W80" s="8">
        <f>ROUND(E80*ต้นทุนและราคา!$C$4+F80*ต้นทุนและราคา!$C$5+G80*ต้นทุนและราคา!$C$6+H80*ต้นทุนและราคา!$C$7+I80*ต้นทุนและราคา!$C$8+J80*ต้นทุนและราคา!$C$9+K80*ต้นทุนและราคา!$C$10+L80*ต้นทุนและราคา!$C$11+M80*ต้นทุนและราคา!$C$12+N80*ต้นทุนและราคา!$C$13+O80*ต้นทุนและราคา!$C$14+P80*ต้นทุนและราคา!$C$15+Q80*ต้นทุนและราคา!$C$16+R80*ต้นทุนและราคา!$C$17+S80*ต้นทุนและราคา!$C$18+T80*ต้นทุนและราคา!$C$19+U80*ต้นทุนและราคา!$C$20+IF($C80="16 oz",ต้นทุนและราคา!$C$21,IF($C80="20 oz",ต้นทุนและราคา!$C$22,ต้นทุนและราคา!$C$23)),2)</f>
        <v>23.5</v>
      </c>
      <c r="X80" s="64" cm="1">
        <f t="array" ref="X80">IFERROR(INDEX(ต้นทุนและราคา!$C$26:$E$101,MATCH($B80,ต้นทุนและราคา!$A$26:$A$101,0),IF($C80="16 oz",1,IF($C80="20 oz",2,3))),"")</f>
        <v>79</v>
      </c>
      <c r="Y80" s="66">
        <f t="shared" si="6"/>
        <v>0.70253164556962022</v>
      </c>
      <c r="Z80" s="48" t="s">
        <v>909</v>
      </c>
    </row>
    <row r="81" spans="1:26" x14ac:dyDescent="0.25">
      <c r="A81" s="4" t="str">
        <f t="shared" si="5"/>
        <v>Coconut Frappe|22 oz|100%</v>
      </c>
      <c r="B81" s="4" t="s">
        <v>74</v>
      </c>
      <c r="C81" s="4" t="s">
        <v>67</v>
      </c>
      <c r="D81" s="4" t="s">
        <v>66</v>
      </c>
      <c r="E81" s="63">
        <v>103</v>
      </c>
      <c r="F81" s="63">
        <v>0</v>
      </c>
      <c r="G81" s="63">
        <v>48</v>
      </c>
      <c r="H81" s="63">
        <v>0</v>
      </c>
      <c r="I81" s="63">
        <v>33</v>
      </c>
      <c r="J81" s="63">
        <v>13.2</v>
      </c>
      <c r="K81" s="63">
        <v>0</v>
      </c>
      <c r="L81" s="63">
        <v>0</v>
      </c>
      <c r="M81" s="63">
        <v>0</v>
      </c>
      <c r="N81" s="63">
        <v>117</v>
      </c>
      <c r="O81" s="63">
        <v>0</v>
      </c>
      <c r="P81" s="63">
        <v>0</v>
      </c>
      <c r="Q81" s="63">
        <v>0</v>
      </c>
      <c r="R81" s="63">
        <v>0</v>
      </c>
      <c r="S81" s="63">
        <v>270</v>
      </c>
      <c r="T81" s="63">
        <v>0</v>
      </c>
      <c r="U81" s="63">
        <v>0</v>
      </c>
      <c r="V81" s="65">
        <f t="shared" si="7"/>
        <v>314.2</v>
      </c>
      <c r="W81" s="8">
        <f>ROUND(E81*ต้นทุนและราคา!$C$4+F81*ต้นทุนและราคา!$C$5+G81*ต้นทุนและราคา!$C$6+H81*ต้นทุนและราคา!$C$7+I81*ต้นทุนและราคา!$C$8+J81*ต้นทุนและราคา!$C$9+K81*ต้นทุนและราคา!$C$10+L81*ต้นทุนและราคา!$C$11+M81*ต้นทุนและราคา!$C$12+N81*ต้นทุนและราคา!$C$13+O81*ต้นทุนและราคา!$C$14+P81*ต้นทุนและราคา!$C$15+Q81*ต้นทุนและราคา!$C$16+R81*ต้นทุนและราคา!$C$17+S81*ต้นทุนและราคา!$C$18+T81*ต้นทุนและราคา!$C$19+U81*ต้นทุนและราคา!$C$20+IF($C81="16 oz",ต้นทุนและราคา!$C$21,IF($C81="20 oz",ต้นทุนและราคา!$C$22,ต้นทุนและราคา!$C$23)),2)</f>
        <v>24.06</v>
      </c>
      <c r="X81" s="64" cm="1">
        <f t="array" ref="X81">IFERROR(INDEX(ต้นทุนและราคา!$C$26:$E$101,MATCH($B81,ต้นทุนและราคา!$A$26:$A$101,0),IF($C81="16 oz",1,IF($C81="20 oz",2,3))),"")</f>
        <v>79</v>
      </c>
      <c r="Y81" s="66">
        <f t="shared" si="6"/>
        <v>0.69544303797468354</v>
      </c>
      <c r="Z81" s="48" t="s">
        <v>909</v>
      </c>
    </row>
    <row r="82" spans="1:26" x14ac:dyDescent="0.25">
      <c r="A82" s="4" t="str">
        <f t="shared" si="5"/>
        <v>Honey Milk|16 oz|0%</v>
      </c>
      <c r="B82" s="4" t="s">
        <v>75</v>
      </c>
      <c r="C82" s="4" t="s">
        <v>5</v>
      </c>
      <c r="D82" s="4" t="s">
        <v>63</v>
      </c>
      <c r="E82" s="63">
        <v>120</v>
      </c>
      <c r="F82" s="63">
        <v>0</v>
      </c>
      <c r="G82" s="63">
        <v>55</v>
      </c>
      <c r="H82" s="63">
        <v>18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240</v>
      </c>
      <c r="T82" s="63">
        <v>0</v>
      </c>
      <c r="U82" s="63">
        <v>0</v>
      </c>
      <c r="V82" s="65">
        <f t="shared" si="7"/>
        <v>193</v>
      </c>
      <c r="W82" s="8">
        <f>ROUND(E82*ต้นทุนและราคา!$C$4+F82*ต้นทุนและราคา!$C$5+G82*ต้นทุนและราคา!$C$6+H82*ต้นทุนและราคา!$C$7+I82*ต้นทุนและราคา!$C$8+J82*ต้นทุนและราคา!$C$9+K82*ต้นทุนและราคา!$C$10+L82*ต้นทุนและราคา!$C$11+M82*ต้นทุนและราคา!$C$12+N82*ต้นทุนและราคา!$C$13+O82*ต้นทุนและราคา!$C$14+P82*ต้นทุนและราคา!$C$15+Q82*ต้นทุนและราคา!$C$16+R82*ต้นทุนและราคา!$C$17+S82*ต้นทุนและราคา!$C$18+T82*ต้นทุนและราคา!$C$19+U82*ต้นทุนและราคา!$C$20+IF($C82="16 oz",ต้นทุนและราคา!$C$21,IF($C82="20 oz",ต้นทุนและราคา!$C$22,ต้นทุนและราคา!$C$23)),2)</f>
        <v>13.73</v>
      </c>
      <c r="X82" s="64" cm="1">
        <f t="array" ref="X82">IFERROR(INDEX(ต้นทุนและราคา!$C$26:$E$101,MATCH($B82,ต้นทุนและราคา!$A$26:$A$101,0),IF($C82="16 oz",1,IF($C82="20 oz",2,3))),"")</f>
        <v>50</v>
      </c>
      <c r="Y82" s="66">
        <f t="shared" si="6"/>
        <v>0.72539999999999993</v>
      </c>
      <c r="Z82" s="48" t="s">
        <v>910</v>
      </c>
    </row>
    <row r="83" spans="1:26" x14ac:dyDescent="0.25">
      <c r="A83" s="4" t="str">
        <f t="shared" si="5"/>
        <v>Honey Milk|16 oz|25%</v>
      </c>
      <c r="B83" s="4" t="s">
        <v>75</v>
      </c>
      <c r="C83" s="4" t="s">
        <v>5</v>
      </c>
      <c r="D83" s="4" t="s">
        <v>64</v>
      </c>
      <c r="E83" s="63">
        <v>120</v>
      </c>
      <c r="F83" s="63">
        <v>0</v>
      </c>
      <c r="G83" s="63">
        <v>39.6</v>
      </c>
      <c r="H83" s="63">
        <v>18</v>
      </c>
      <c r="I83" s="63">
        <v>0</v>
      </c>
      <c r="J83" s="63">
        <v>18.399999999999999</v>
      </c>
      <c r="K83" s="63">
        <v>4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240</v>
      </c>
      <c r="T83" s="63">
        <v>0</v>
      </c>
      <c r="U83" s="63">
        <v>0</v>
      </c>
      <c r="V83" s="65">
        <f t="shared" si="7"/>
        <v>200</v>
      </c>
      <c r="W83" s="8">
        <f>ROUND(E83*ต้นทุนและราคา!$C$4+F83*ต้นทุนและราคา!$C$5+G83*ต้นทุนและราคา!$C$6+H83*ต้นทุนและราคา!$C$7+I83*ต้นทุนและราคา!$C$8+J83*ต้นทุนและราคา!$C$9+K83*ต้นทุนและราคา!$C$10+L83*ต้นทุนและราคา!$C$11+M83*ต้นทุนและราคา!$C$12+N83*ต้นทุนและราคา!$C$13+O83*ต้นทุนและราคา!$C$14+P83*ต้นทุนและราคา!$C$15+Q83*ต้นทุนและราคา!$C$16+R83*ต้นทุนและราคา!$C$17+S83*ต้นทุนและราคา!$C$18+T83*ต้นทุนและราคา!$C$19+U83*ต้นทุนและราคา!$C$20+IF($C83="16 oz",ต้นทุนและราคา!$C$21,IF($C83="20 oz",ต้นทุนและราคา!$C$22,ต้นทุนและราคา!$C$23)),2)</f>
        <v>14.24</v>
      </c>
      <c r="X83" s="64" cm="1">
        <f t="array" ref="X83">IFERROR(INDEX(ต้นทุนและราคา!$C$26:$E$101,MATCH($B83,ต้นทุนและราคา!$A$26:$A$101,0),IF($C83="16 oz",1,IF($C83="20 oz",2,3))),"")</f>
        <v>50</v>
      </c>
      <c r="Y83" s="66">
        <f t="shared" si="6"/>
        <v>0.71519999999999995</v>
      </c>
      <c r="Z83" s="48" t="s">
        <v>911</v>
      </c>
    </row>
    <row r="84" spans="1:26" x14ac:dyDescent="0.25">
      <c r="A84" s="4" t="str">
        <f t="shared" si="5"/>
        <v>Honey Milk|16 oz|50%</v>
      </c>
      <c r="B84" s="4" t="s">
        <v>75</v>
      </c>
      <c r="C84" s="4" t="s">
        <v>5</v>
      </c>
      <c r="D84" s="4" t="s">
        <v>7</v>
      </c>
      <c r="E84" s="63">
        <v>120</v>
      </c>
      <c r="F84" s="63">
        <v>0</v>
      </c>
      <c r="G84" s="63">
        <v>39.6</v>
      </c>
      <c r="H84" s="63">
        <v>18</v>
      </c>
      <c r="I84" s="63">
        <v>0</v>
      </c>
      <c r="J84" s="63">
        <v>21.4</v>
      </c>
      <c r="K84" s="63">
        <v>8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240</v>
      </c>
      <c r="T84" s="63">
        <v>0</v>
      </c>
      <c r="U84" s="63">
        <v>0</v>
      </c>
      <c r="V84" s="65">
        <f t="shared" si="7"/>
        <v>207</v>
      </c>
      <c r="W84" s="8">
        <f>ROUND(E84*ต้นทุนและราคา!$C$4+F84*ต้นทุนและราคา!$C$5+G84*ต้นทุนและราคา!$C$6+H84*ต้นทุนและราคา!$C$7+I84*ต้นทุนและราคา!$C$8+J84*ต้นทุนและราคา!$C$9+K84*ต้นทุนและราคา!$C$10+L84*ต้นทุนและราคา!$C$11+M84*ต้นทุนและราคา!$C$12+N84*ต้นทุนและราคา!$C$13+O84*ต้นทุนและราคา!$C$14+P84*ต้นทุนและราคา!$C$15+Q84*ต้นทุนและราคา!$C$16+R84*ต้นทุนและราคา!$C$17+S84*ต้นทุนและราคา!$C$18+T84*ต้นทุนและราคา!$C$19+U84*ต้นทุนและราคา!$C$20+IF($C84="16 oz",ต้นทุนและราคา!$C$21,IF($C84="20 oz",ต้นทุนและราคา!$C$22,ต้นทุนและราคา!$C$23)),2)</f>
        <v>15.22</v>
      </c>
      <c r="X84" s="64" cm="1">
        <f t="array" ref="X84">IFERROR(INDEX(ต้นทุนและราคา!$C$26:$E$101,MATCH($B84,ต้นทุนและราคา!$A$26:$A$101,0),IF($C84="16 oz",1,IF($C84="20 oz",2,3))),"")</f>
        <v>50</v>
      </c>
      <c r="Y84" s="66">
        <f t="shared" si="6"/>
        <v>0.6956</v>
      </c>
      <c r="Z84" s="48" t="s">
        <v>911</v>
      </c>
    </row>
    <row r="85" spans="1:26" x14ac:dyDescent="0.25">
      <c r="A85" s="4" t="str">
        <f t="shared" si="5"/>
        <v>Honey Milk|16 oz|75%</v>
      </c>
      <c r="B85" s="4" t="s">
        <v>75</v>
      </c>
      <c r="C85" s="4" t="s">
        <v>5</v>
      </c>
      <c r="D85" s="4" t="s">
        <v>65</v>
      </c>
      <c r="E85" s="63">
        <v>120</v>
      </c>
      <c r="F85" s="63">
        <v>0</v>
      </c>
      <c r="G85" s="63">
        <v>39.6</v>
      </c>
      <c r="H85" s="63">
        <v>18</v>
      </c>
      <c r="I85" s="63">
        <v>0</v>
      </c>
      <c r="J85" s="63">
        <v>24.4</v>
      </c>
      <c r="K85" s="63">
        <v>12</v>
      </c>
      <c r="L85" s="63">
        <v>0</v>
      </c>
      <c r="M85" s="63">
        <v>0</v>
      </c>
      <c r="N85" s="63">
        <v>0</v>
      </c>
      <c r="O85" s="63">
        <v>0</v>
      </c>
      <c r="P85" s="63">
        <v>0</v>
      </c>
      <c r="Q85" s="63">
        <v>0</v>
      </c>
      <c r="R85" s="63">
        <v>0</v>
      </c>
      <c r="S85" s="63">
        <v>240</v>
      </c>
      <c r="T85" s="63">
        <v>0</v>
      </c>
      <c r="U85" s="63">
        <v>0</v>
      </c>
      <c r="V85" s="65">
        <f t="shared" si="7"/>
        <v>214</v>
      </c>
      <c r="W85" s="8">
        <f>ROUND(E85*ต้นทุนและราคา!$C$4+F85*ต้นทุนและราคา!$C$5+G85*ต้นทุนและราคา!$C$6+H85*ต้นทุนและราคา!$C$7+I85*ต้นทุนและราคา!$C$8+J85*ต้นทุนและราคา!$C$9+K85*ต้นทุนและราคา!$C$10+L85*ต้นทุนและราคา!$C$11+M85*ต้นทุนและราคา!$C$12+N85*ต้นทุนและราคา!$C$13+O85*ต้นทุนและราคา!$C$14+P85*ต้นทุนและราคา!$C$15+Q85*ต้นทุนและราคา!$C$16+R85*ต้นทุนและราคา!$C$17+S85*ต้นทุนและราคา!$C$18+T85*ต้นทุนและราคา!$C$19+U85*ต้นทุนและราคา!$C$20+IF($C85="16 oz",ต้นทุนและราคา!$C$21,IF($C85="20 oz",ต้นทุนและราคา!$C$22,ต้นทุนและราคา!$C$23)),2)</f>
        <v>16.21</v>
      </c>
      <c r="X85" s="64" cm="1">
        <f t="array" ref="X85">IFERROR(INDEX(ต้นทุนและราคา!$C$26:$E$101,MATCH($B85,ต้นทุนและราคา!$A$26:$A$101,0),IF($C85="16 oz",1,IF($C85="20 oz",2,3))),"")</f>
        <v>50</v>
      </c>
      <c r="Y85" s="66">
        <f t="shared" si="6"/>
        <v>0.67579999999999996</v>
      </c>
      <c r="Z85" s="48" t="s">
        <v>911</v>
      </c>
    </row>
    <row r="86" spans="1:26" x14ac:dyDescent="0.25">
      <c r="A86" s="4" t="str">
        <f t="shared" si="5"/>
        <v>Honey Milk|16 oz|100%</v>
      </c>
      <c r="B86" s="4" t="s">
        <v>75</v>
      </c>
      <c r="C86" s="4" t="s">
        <v>5</v>
      </c>
      <c r="D86" s="4" t="s">
        <v>66</v>
      </c>
      <c r="E86" s="63">
        <v>120</v>
      </c>
      <c r="F86" s="63">
        <v>0</v>
      </c>
      <c r="G86" s="63">
        <v>39.6</v>
      </c>
      <c r="H86" s="63">
        <v>18</v>
      </c>
      <c r="I86" s="63">
        <v>0</v>
      </c>
      <c r="J86" s="63">
        <v>27.4</v>
      </c>
      <c r="K86" s="63">
        <v>16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240</v>
      </c>
      <c r="T86" s="63">
        <v>0</v>
      </c>
      <c r="U86" s="63">
        <v>0</v>
      </c>
      <c r="V86" s="65">
        <f t="shared" si="7"/>
        <v>221</v>
      </c>
      <c r="W86" s="8">
        <f>ROUND(E86*ต้นทุนและราคา!$C$4+F86*ต้นทุนและราคา!$C$5+G86*ต้นทุนและราคา!$C$6+H86*ต้นทุนและราคา!$C$7+I86*ต้นทุนและราคา!$C$8+J86*ต้นทุนและราคา!$C$9+K86*ต้นทุนและราคา!$C$10+L86*ต้นทุนและราคา!$C$11+M86*ต้นทุนและราคา!$C$12+N86*ต้นทุนและราคา!$C$13+O86*ต้นทุนและราคา!$C$14+P86*ต้นทุนและราคา!$C$15+Q86*ต้นทุนและราคา!$C$16+R86*ต้นทุนและราคา!$C$17+S86*ต้นทุนและราคา!$C$18+T86*ต้นทุนและราคา!$C$19+U86*ต้นทุนและราคา!$C$20+IF($C86="16 oz",ต้นทุนและราคา!$C$21,IF($C86="20 oz",ต้นทุนและราคา!$C$22,ต้นทุนและราคา!$C$23)),2)</f>
        <v>17.190000000000001</v>
      </c>
      <c r="X86" s="64" cm="1">
        <f t="array" ref="X86">IFERROR(INDEX(ต้นทุนและราคา!$C$26:$E$101,MATCH($B86,ต้นทุนและราคา!$A$26:$A$101,0),IF($C86="16 oz",1,IF($C86="20 oz",2,3))),"")</f>
        <v>50</v>
      </c>
      <c r="Y86" s="66">
        <f t="shared" si="6"/>
        <v>0.65620000000000001</v>
      </c>
      <c r="Z86" s="48" t="s">
        <v>911</v>
      </c>
    </row>
    <row r="87" spans="1:26" x14ac:dyDescent="0.25">
      <c r="A87" s="4" t="str">
        <f t="shared" si="5"/>
        <v>Honey Milk|22 oz|0%</v>
      </c>
      <c r="B87" s="4" t="s">
        <v>75</v>
      </c>
      <c r="C87" s="4" t="s">
        <v>67</v>
      </c>
      <c r="D87" s="4" t="s">
        <v>63</v>
      </c>
      <c r="E87" s="63">
        <v>165</v>
      </c>
      <c r="F87" s="63">
        <v>0</v>
      </c>
      <c r="G87" s="63">
        <v>75.5</v>
      </c>
      <c r="H87" s="63">
        <v>25</v>
      </c>
      <c r="I87" s="63">
        <v>0</v>
      </c>
      <c r="J87" s="63">
        <v>0</v>
      </c>
      <c r="K87" s="63">
        <v>0</v>
      </c>
      <c r="L87" s="63">
        <v>0</v>
      </c>
      <c r="M87" s="63">
        <v>0</v>
      </c>
      <c r="N87" s="63">
        <v>0</v>
      </c>
      <c r="O87" s="63">
        <v>0</v>
      </c>
      <c r="P87" s="63">
        <v>0</v>
      </c>
      <c r="Q87" s="63">
        <v>0</v>
      </c>
      <c r="R87" s="63">
        <v>0</v>
      </c>
      <c r="S87" s="63">
        <v>330</v>
      </c>
      <c r="T87" s="63">
        <v>0</v>
      </c>
      <c r="U87" s="63">
        <v>0</v>
      </c>
      <c r="V87" s="65">
        <f t="shared" si="7"/>
        <v>265.5</v>
      </c>
      <c r="W87" s="8">
        <f>ROUND(E87*ต้นทุนและราคา!$C$4+F87*ต้นทุนและราคา!$C$5+G87*ต้นทุนและราคา!$C$6+H87*ต้นทุนและราคา!$C$7+I87*ต้นทุนและราคา!$C$8+J87*ต้นทุนและราคา!$C$9+K87*ต้นทุนและราคา!$C$10+L87*ต้นทุนและราคา!$C$11+M87*ต้นทุนและราคา!$C$12+N87*ต้นทุนและราคา!$C$13+O87*ต้นทุนและราคา!$C$14+P87*ต้นทุนและราคา!$C$15+Q87*ต้นทุนและราคา!$C$16+R87*ต้นทุนและราคา!$C$17+S87*ต้นทุนและราคา!$C$18+T87*ต้นทุนและราคา!$C$19+U87*ต้นทุนและราคา!$C$20+IF($C87="16 oz",ต้นทุนและราคา!$C$21,IF($C87="20 oz",ต้นทุนและราคา!$C$22,ต้นทุนและราคา!$C$23)),2)</f>
        <v>18.2</v>
      </c>
      <c r="X87" s="64" cm="1">
        <f t="array" ref="X87">IFERROR(INDEX(ต้นทุนและราคา!$C$26:$E$101,MATCH($B87,ต้นทุนและราคา!$A$26:$A$101,0),IF($C87="16 oz",1,IF($C87="20 oz",2,3))),"")</f>
        <v>60</v>
      </c>
      <c r="Y87" s="66">
        <f t="shared" si="6"/>
        <v>0.69666666666666666</v>
      </c>
      <c r="Z87" s="48" t="s">
        <v>910</v>
      </c>
    </row>
    <row r="88" spans="1:26" x14ac:dyDescent="0.25">
      <c r="A88" s="4" t="str">
        <f t="shared" si="5"/>
        <v>Honey Milk|22 oz|25%</v>
      </c>
      <c r="B88" s="4" t="s">
        <v>75</v>
      </c>
      <c r="C88" s="4" t="s">
        <v>67</v>
      </c>
      <c r="D88" s="4" t="s">
        <v>64</v>
      </c>
      <c r="E88" s="63">
        <v>165</v>
      </c>
      <c r="F88" s="63">
        <v>0</v>
      </c>
      <c r="G88" s="63">
        <v>54.4</v>
      </c>
      <c r="H88" s="63">
        <v>25</v>
      </c>
      <c r="I88" s="63">
        <v>0</v>
      </c>
      <c r="J88" s="63">
        <v>25.1</v>
      </c>
      <c r="K88" s="63">
        <v>5.5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330</v>
      </c>
      <c r="T88" s="63">
        <v>0</v>
      </c>
      <c r="U88" s="63">
        <v>0</v>
      </c>
      <c r="V88" s="65">
        <f t="shared" si="7"/>
        <v>275</v>
      </c>
      <c r="W88" s="8">
        <f>ROUND(E88*ต้นทุนและราคา!$C$4+F88*ต้นทุนและราคา!$C$5+G88*ต้นทุนและราคา!$C$6+H88*ต้นทุนและราคา!$C$7+I88*ต้นทุนและราคา!$C$8+J88*ต้นทุนและราคา!$C$9+K88*ต้นทุนและราคา!$C$10+L88*ต้นทุนและราคา!$C$11+M88*ต้นทุนและราคา!$C$12+N88*ต้นทุนและราคา!$C$13+O88*ต้นทุนและราคา!$C$14+P88*ต้นทุนและราคา!$C$15+Q88*ต้นทุนและราคา!$C$16+R88*ต้นทุนและราคา!$C$17+S88*ต้นทุนและราคา!$C$18+T88*ต้นทุนและราคา!$C$19+U88*ต้นทุนและราคา!$C$20+IF($C88="16 oz",ต้นทุนและราคา!$C$21,IF($C88="20 oz",ต้นทุนและราคา!$C$22,ต้นทุนและราคา!$C$23)),2)</f>
        <v>18.89</v>
      </c>
      <c r="X88" s="64" cm="1">
        <f t="array" ref="X88">IFERROR(INDEX(ต้นทุนและราคา!$C$26:$E$101,MATCH($B88,ต้นทุนและราคา!$A$26:$A$101,0),IF($C88="16 oz",1,IF($C88="20 oz",2,3))),"")</f>
        <v>60</v>
      </c>
      <c r="Y88" s="66">
        <f t="shared" si="6"/>
        <v>0.6851666666666667</v>
      </c>
      <c r="Z88" s="48" t="s">
        <v>911</v>
      </c>
    </row>
    <row r="89" spans="1:26" x14ac:dyDescent="0.25">
      <c r="A89" s="4" t="str">
        <f t="shared" si="5"/>
        <v>Honey Milk|22 oz|50%</v>
      </c>
      <c r="B89" s="4" t="s">
        <v>75</v>
      </c>
      <c r="C89" s="4" t="s">
        <v>67</v>
      </c>
      <c r="D89" s="4" t="s">
        <v>7</v>
      </c>
      <c r="E89" s="63">
        <v>165</v>
      </c>
      <c r="F89" s="63">
        <v>0</v>
      </c>
      <c r="G89" s="63">
        <v>54.4</v>
      </c>
      <c r="H89" s="63">
        <v>25</v>
      </c>
      <c r="I89" s="63">
        <v>0</v>
      </c>
      <c r="J89" s="63">
        <v>29.1</v>
      </c>
      <c r="K89" s="63">
        <v>11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330</v>
      </c>
      <c r="T89" s="63">
        <v>0</v>
      </c>
      <c r="U89" s="63">
        <v>0</v>
      </c>
      <c r="V89" s="65">
        <f t="shared" si="7"/>
        <v>284.5</v>
      </c>
      <c r="W89" s="8">
        <f>ROUND(E89*ต้นทุนและราคา!$C$4+F89*ต้นทุนและราคา!$C$5+G89*ต้นทุนและราคา!$C$6+H89*ต้นทุนและราคา!$C$7+I89*ต้นทุนและราคา!$C$8+J89*ต้นทุนและราคา!$C$9+K89*ต้นทุนและราคา!$C$10+L89*ต้นทุนและราคา!$C$11+M89*ต้นทุนและราคา!$C$12+N89*ต้นทุนและราคา!$C$13+O89*ต้นทุนและราคา!$C$14+P89*ต้นทุนและราคา!$C$15+Q89*ต้นทุนและราคา!$C$16+R89*ต้นทุนและราคา!$C$17+S89*ต้นทุนและราคา!$C$18+T89*ต้นทุนและราคา!$C$19+U89*ต้นทุนและราคา!$C$20+IF($C89="16 oz",ต้นทุนและราคา!$C$21,IF($C89="20 oz",ต้นทุนและราคา!$C$22,ต้นทุนและราคา!$C$23)),2)</f>
        <v>20.239999999999998</v>
      </c>
      <c r="X89" s="64" cm="1">
        <f t="array" ref="X89">IFERROR(INDEX(ต้นทุนและราคา!$C$26:$E$101,MATCH($B89,ต้นทุนและราคา!$A$26:$A$101,0),IF($C89="16 oz",1,IF($C89="20 oz",2,3))),"")</f>
        <v>60</v>
      </c>
      <c r="Y89" s="66">
        <f t="shared" si="6"/>
        <v>0.66266666666666674</v>
      </c>
      <c r="Z89" s="48" t="s">
        <v>911</v>
      </c>
    </row>
    <row r="90" spans="1:26" x14ac:dyDescent="0.25">
      <c r="A90" s="4" t="str">
        <f t="shared" si="5"/>
        <v>Honey Milk|22 oz|75%</v>
      </c>
      <c r="B90" s="4" t="s">
        <v>75</v>
      </c>
      <c r="C90" s="4" t="s">
        <v>67</v>
      </c>
      <c r="D90" s="4" t="s">
        <v>65</v>
      </c>
      <c r="E90" s="63">
        <v>165</v>
      </c>
      <c r="F90" s="63">
        <v>0</v>
      </c>
      <c r="G90" s="63">
        <v>54.4</v>
      </c>
      <c r="H90" s="63">
        <v>25</v>
      </c>
      <c r="I90" s="63">
        <v>0</v>
      </c>
      <c r="J90" s="63">
        <v>33.6</v>
      </c>
      <c r="K90" s="63">
        <v>16.5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330</v>
      </c>
      <c r="T90" s="63">
        <v>0</v>
      </c>
      <c r="U90" s="63">
        <v>0</v>
      </c>
      <c r="V90" s="65">
        <f t="shared" si="7"/>
        <v>294.5</v>
      </c>
      <c r="W90" s="8">
        <f>ROUND(E90*ต้นทุนและราคา!$C$4+F90*ต้นทุนและราคา!$C$5+G90*ต้นทุนและราคา!$C$6+H90*ต้นทุนและราคา!$C$7+I90*ต้นทุนและราคา!$C$8+J90*ต้นทุนและราคา!$C$9+K90*ต้นทุนและราคา!$C$10+L90*ต้นทุนและราคา!$C$11+M90*ต้นทุนและราคา!$C$12+N90*ต้นทุนและราคา!$C$13+O90*ต้นทุนและราคา!$C$14+P90*ต้นทุนและราคา!$C$15+Q90*ต้นทุนและราคา!$C$16+R90*ต้นทุนและราคา!$C$17+S90*ต้นทุนและราคา!$C$18+T90*ต้นทุนและราคา!$C$19+U90*ต้นทุนและราคา!$C$20+IF($C90="16 oz",ต้นทุนและราคา!$C$21,IF($C90="20 oz",ต้นทุนและราคา!$C$22,ต้นทุนและราคา!$C$23)),2)</f>
        <v>21.6</v>
      </c>
      <c r="X90" s="64" cm="1">
        <f t="array" ref="X90">IFERROR(INDEX(ต้นทุนและราคา!$C$26:$E$101,MATCH($B90,ต้นทุนและราคา!$A$26:$A$101,0),IF($C90="16 oz",1,IF($C90="20 oz",2,3))),"")</f>
        <v>60</v>
      </c>
      <c r="Y90" s="66">
        <f t="shared" si="6"/>
        <v>0.64</v>
      </c>
      <c r="Z90" s="48" t="s">
        <v>911</v>
      </c>
    </row>
    <row r="91" spans="1:26" x14ac:dyDescent="0.25">
      <c r="A91" s="4" t="str">
        <f t="shared" si="5"/>
        <v>Honey Milk|22 oz|100%</v>
      </c>
      <c r="B91" s="4" t="s">
        <v>75</v>
      </c>
      <c r="C91" s="4" t="s">
        <v>67</v>
      </c>
      <c r="D91" s="4" t="s">
        <v>66</v>
      </c>
      <c r="E91" s="63">
        <v>165</v>
      </c>
      <c r="F91" s="63">
        <v>0</v>
      </c>
      <c r="G91" s="63">
        <v>54.4</v>
      </c>
      <c r="H91" s="63">
        <v>25</v>
      </c>
      <c r="I91" s="63">
        <v>0</v>
      </c>
      <c r="J91" s="63">
        <v>37.6</v>
      </c>
      <c r="K91" s="63">
        <v>22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330</v>
      </c>
      <c r="T91" s="63">
        <v>0</v>
      </c>
      <c r="U91" s="63">
        <v>0</v>
      </c>
      <c r="V91" s="65">
        <f t="shared" si="7"/>
        <v>304</v>
      </c>
      <c r="W91" s="8">
        <f>ROUND(E91*ต้นทุนและราคา!$C$4+F91*ต้นทุนและราคา!$C$5+G91*ต้นทุนและราคา!$C$6+H91*ต้นทุนและราคา!$C$7+I91*ต้นทุนและราคา!$C$8+J91*ต้นทุนและราคา!$C$9+K91*ต้นทุนและราคา!$C$10+L91*ต้นทุนและราคา!$C$11+M91*ต้นทุนและราคา!$C$12+N91*ต้นทุนและราคา!$C$13+O91*ต้นทุนและราคา!$C$14+P91*ต้นทุนและราคา!$C$15+Q91*ต้นทุนและราคา!$C$16+R91*ต้นทุนและราคา!$C$17+S91*ต้นทุนและราคา!$C$18+T91*ต้นทุนและราคา!$C$19+U91*ต้นทุนและราคา!$C$20+IF($C91="16 oz",ต้นทุนและราคา!$C$21,IF($C91="20 oz",ต้นทุนและราคา!$C$22,ต้นทุนและราคา!$C$23)),2)</f>
        <v>22.95</v>
      </c>
      <c r="X91" s="64" cm="1">
        <f t="array" ref="X91">IFERROR(INDEX(ต้นทุนและราคา!$C$26:$E$101,MATCH($B91,ต้นทุนและราคา!$A$26:$A$101,0),IF($C91="16 oz",1,IF($C91="20 oz",2,3))),"")</f>
        <v>60</v>
      </c>
      <c r="Y91" s="66">
        <f t="shared" si="6"/>
        <v>0.61749999999999994</v>
      </c>
      <c r="Z91" s="48" t="s">
        <v>911</v>
      </c>
    </row>
    <row r="92" spans="1:26" x14ac:dyDescent="0.25">
      <c r="A92" s="4" t="str">
        <f t="shared" si="5"/>
        <v>Coconut Tea|16 oz|0%</v>
      </c>
      <c r="B92" s="4" t="s">
        <v>76</v>
      </c>
      <c r="C92" s="4" t="s">
        <v>5</v>
      </c>
      <c r="D92" s="4" t="s">
        <v>63</v>
      </c>
      <c r="E92" s="63">
        <v>100</v>
      </c>
      <c r="F92" s="63">
        <v>0</v>
      </c>
      <c r="G92" s="63">
        <v>0</v>
      </c>
      <c r="H92" s="63">
        <v>12</v>
      </c>
      <c r="I92" s="63">
        <v>0</v>
      </c>
      <c r="J92" s="63">
        <v>0</v>
      </c>
      <c r="K92" s="63">
        <v>0</v>
      </c>
      <c r="L92" s="63">
        <v>0</v>
      </c>
      <c r="M92" s="63">
        <v>0</v>
      </c>
      <c r="N92" s="63">
        <v>95</v>
      </c>
      <c r="O92" s="63">
        <v>0</v>
      </c>
      <c r="P92" s="63">
        <v>0</v>
      </c>
      <c r="Q92" s="63">
        <v>0</v>
      </c>
      <c r="R92" s="63">
        <v>0</v>
      </c>
      <c r="S92" s="63">
        <v>220</v>
      </c>
      <c r="T92" s="63">
        <v>0</v>
      </c>
      <c r="U92" s="63">
        <v>0</v>
      </c>
      <c r="V92" s="65">
        <f t="shared" si="7"/>
        <v>207</v>
      </c>
      <c r="W92" s="8">
        <f>ROUND(E92*ต้นทุนและราคา!$C$4+F92*ต้นทุนและราคา!$C$5+G92*ต้นทุนและราคา!$C$6+H92*ต้นทุนและราคา!$C$7+I92*ต้นทุนและราคา!$C$8+J92*ต้นทุนและราคา!$C$9+K92*ต้นทุนและราคา!$C$10+L92*ต้นทุนและราคา!$C$11+M92*ต้นทุนและราคา!$C$12+N92*ต้นทุนและราคา!$C$13+O92*ต้นทุนและราคา!$C$14+P92*ต้นทุนและราคา!$C$15+Q92*ต้นทุนและราคา!$C$16+R92*ต้นทุนและราคา!$C$17+S92*ต้นทุนและราคา!$C$18+T92*ต้นทุนและราคา!$C$19+U92*ต้นทุนและราคา!$C$20+IF($C92="16 oz",ต้นทุนและราคา!$C$21,IF($C92="20 oz",ต้นทุนและราคา!$C$22,ต้นทุนและราคา!$C$23)),2)</f>
        <v>16.95</v>
      </c>
      <c r="X92" s="64" cm="1">
        <f t="array" ref="X92">IFERROR(INDEX(ต้นทุนและราคา!$C$26:$E$101,MATCH($B92,ต้นทุนและราคา!$A$26:$A$101,0),IF($C92="16 oz",1,IF($C92="20 oz",2,3))),"")</f>
        <v>59</v>
      </c>
      <c r="Y92" s="66">
        <f t="shared" si="6"/>
        <v>0.71271186440677958</v>
      </c>
      <c r="Z92" s="48" t="s">
        <v>912</v>
      </c>
    </row>
    <row r="93" spans="1:26" x14ac:dyDescent="0.25">
      <c r="A93" s="4" t="str">
        <f t="shared" si="5"/>
        <v>Coconut Tea|16 oz|25%</v>
      </c>
      <c r="B93" s="4" t="s">
        <v>76</v>
      </c>
      <c r="C93" s="4" t="s">
        <v>5</v>
      </c>
      <c r="D93" s="4" t="s">
        <v>64</v>
      </c>
      <c r="E93" s="63">
        <v>100</v>
      </c>
      <c r="F93" s="63">
        <v>0</v>
      </c>
      <c r="G93" s="63">
        <v>0</v>
      </c>
      <c r="H93" s="63">
        <v>12</v>
      </c>
      <c r="I93" s="63">
        <v>5</v>
      </c>
      <c r="J93" s="63">
        <v>12.8</v>
      </c>
      <c r="K93" s="63">
        <v>0</v>
      </c>
      <c r="L93" s="63">
        <v>0</v>
      </c>
      <c r="M93" s="63">
        <v>0</v>
      </c>
      <c r="N93" s="63">
        <v>82.2</v>
      </c>
      <c r="O93" s="63">
        <v>0</v>
      </c>
      <c r="P93" s="63">
        <v>0</v>
      </c>
      <c r="Q93" s="63">
        <v>0</v>
      </c>
      <c r="R93" s="63">
        <v>0</v>
      </c>
      <c r="S93" s="63">
        <v>220</v>
      </c>
      <c r="T93" s="63">
        <v>0</v>
      </c>
      <c r="U93" s="63">
        <v>0</v>
      </c>
      <c r="V93" s="65">
        <f t="shared" si="7"/>
        <v>212</v>
      </c>
      <c r="W93" s="8">
        <f>ROUND(E93*ต้นทุนและราคา!$C$4+F93*ต้นทุนและราคา!$C$5+G93*ต้นทุนและราคา!$C$6+H93*ต้นทุนและราคา!$C$7+I93*ต้นทุนและราคา!$C$8+J93*ต้นทุนและราคา!$C$9+K93*ต้นทุนและราคา!$C$10+L93*ต้นทุนและราคา!$C$11+M93*ต้นทุนและราคา!$C$12+N93*ต้นทุนและราคา!$C$13+O93*ต้นทุนและราคา!$C$14+P93*ต้นทุนและราคา!$C$15+Q93*ต้นทุนและราคา!$C$16+R93*ต้นทุนและราคา!$C$17+S93*ต้นทุนและราคา!$C$18+T93*ต้นทุนและราคา!$C$19+U93*ต้นทุนและราคา!$C$20+IF($C93="16 oz",ต้นทุนและราคา!$C$21,IF($C93="20 oz",ต้นทุนและราคา!$C$22,ต้นทุนและราคา!$C$23)),2)</f>
        <v>16.57</v>
      </c>
      <c r="X93" s="64" cm="1">
        <f t="array" ref="X93">IFERROR(INDEX(ต้นทุนและราคา!$C$26:$E$101,MATCH($B93,ต้นทุนและราคา!$A$26:$A$101,0),IF($C93="16 oz",1,IF($C93="20 oz",2,3))),"")</f>
        <v>59</v>
      </c>
      <c r="Y93" s="66">
        <f t="shared" si="6"/>
        <v>0.7191525423728814</v>
      </c>
      <c r="Z93" s="48" t="s">
        <v>913</v>
      </c>
    </row>
    <row r="94" spans="1:26" x14ac:dyDescent="0.25">
      <c r="A94" s="4" t="str">
        <f t="shared" si="5"/>
        <v>Coconut Tea|16 oz|50%</v>
      </c>
      <c r="B94" s="4" t="s">
        <v>76</v>
      </c>
      <c r="C94" s="4" t="s">
        <v>5</v>
      </c>
      <c r="D94" s="4" t="s">
        <v>7</v>
      </c>
      <c r="E94" s="63">
        <v>100</v>
      </c>
      <c r="F94" s="63">
        <v>0</v>
      </c>
      <c r="G94" s="63">
        <v>0</v>
      </c>
      <c r="H94" s="63">
        <v>12</v>
      </c>
      <c r="I94" s="63">
        <v>10</v>
      </c>
      <c r="J94" s="63">
        <v>12.8</v>
      </c>
      <c r="K94" s="63">
        <v>0</v>
      </c>
      <c r="L94" s="63">
        <v>0</v>
      </c>
      <c r="M94" s="63">
        <v>0</v>
      </c>
      <c r="N94" s="63">
        <v>82.2</v>
      </c>
      <c r="O94" s="63">
        <v>0</v>
      </c>
      <c r="P94" s="63">
        <v>0</v>
      </c>
      <c r="Q94" s="63">
        <v>0</v>
      </c>
      <c r="R94" s="63">
        <v>0</v>
      </c>
      <c r="S94" s="63">
        <v>220</v>
      </c>
      <c r="T94" s="63">
        <v>0</v>
      </c>
      <c r="U94" s="63">
        <v>0</v>
      </c>
      <c r="V94" s="65">
        <f t="shared" si="7"/>
        <v>217</v>
      </c>
      <c r="W94" s="8">
        <f>ROUND(E94*ต้นทุนและราคา!$C$4+F94*ต้นทุนและราคา!$C$5+G94*ต้นทุนและราคา!$C$6+H94*ต้นทุนและราคา!$C$7+I94*ต้นทุนและราคา!$C$8+J94*ต้นทุนและราคา!$C$9+K94*ต้นทุนและราคา!$C$10+L94*ต้นทุนและราคา!$C$11+M94*ต้นทุนและราคา!$C$12+N94*ต้นทุนและราคา!$C$13+O94*ต้นทุนและราคา!$C$14+P94*ต้นทุนและราคา!$C$15+Q94*ต้นทุนและราคา!$C$16+R94*ต้นทุนและราคา!$C$17+S94*ต้นทุนและราคา!$C$18+T94*ต้นทุนและราคา!$C$19+U94*ต้นทุนและราคา!$C$20+IF($C94="16 oz",ต้นทุนและราคา!$C$21,IF($C94="20 oz",ต้นทุนและราคา!$C$22,ต้นทุนและราคา!$C$23)),2)</f>
        <v>16.920000000000002</v>
      </c>
      <c r="X94" s="64" cm="1">
        <f t="array" ref="X94">IFERROR(INDEX(ต้นทุนและราคา!$C$26:$E$101,MATCH($B94,ต้นทุนและราคา!$A$26:$A$101,0),IF($C94="16 oz",1,IF($C94="20 oz",2,3))),"")</f>
        <v>59</v>
      </c>
      <c r="Y94" s="66">
        <f t="shared" si="6"/>
        <v>0.71322033898305082</v>
      </c>
      <c r="Z94" s="48" t="s">
        <v>913</v>
      </c>
    </row>
    <row r="95" spans="1:26" x14ac:dyDescent="0.25">
      <c r="A95" s="4" t="str">
        <f t="shared" si="5"/>
        <v>Coconut Tea|16 oz|75%</v>
      </c>
      <c r="B95" s="4" t="s">
        <v>76</v>
      </c>
      <c r="C95" s="4" t="s">
        <v>5</v>
      </c>
      <c r="D95" s="4" t="s">
        <v>65</v>
      </c>
      <c r="E95" s="63">
        <v>100</v>
      </c>
      <c r="F95" s="63">
        <v>0</v>
      </c>
      <c r="G95" s="63">
        <v>0</v>
      </c>
      <c r="H95" s="63">
        <v>12</v>
      </c>
      <c r="I95" s="63">
        <v>15</v>
      </c>
      <c r="J95" s="63">
        <v>12.8</v>
      </c>
      <c r="K95" s="63">
        <v>0</v>
      </c>
      <c r="L95" s="63">
        <v>0</v>
      </c>
      <c r="M95" s="63">
        <v>0</v>
      </c>
      <c r="N95" s="63">
        <v>82.2</v>
      </c>
      <c r="O95" s="63">
        <v>0</v>
      </c>
      <c r="P95" s="63">
        <v>0</v>
      </c>
      <c r="Q95" s="63">
        <v>0</v>
      </c>
      <c r="R95" s="63">
        <v>0</v>
      </c>
      <c r="S95" s="63">
        <v>220</v>
      </c>
      <c r="T95" s="63">
        <v>0</v>
      </c>
      <c r="U95" s="63">
        <v>0</v>
      </c>
      <c r="V95" s="65">
        <f t="shared" si="7"/>
        <v>222</v>
      </c>
      <c r="W95" s="8">
        <f>ROUND(E95*ต้นทุนและราคา!$C$4+F95*ต้นทุนและราคา!$C$5+G95*ต้นทุนและราคา!$C$6+H95*ต้นทุนและราคา!$C$7+I95*ต้นทุนและราคา!$C$8+J95*ต้นทุนและราคา!$C$9+K95*ต้นทุนและราคา!$C$10+L95*ต้นทุนและราคา!$C$11+M95*ต้นทุนและราคา!$C$12+N95*ต้นทุนและราคา!$C$13+O95*ต้นทุนและราคา!$C$14+P95*ต้นทุนและราคา!$C$15+Q95*ต้นทุนและราคา!$C$16+R95*ต้นทุนและราคา!$C$17+S95*ต้นทุนและราคา!$C$18+T95*ต้นทุนและราคา!$C$19+U95*ต้นทุนและราคา!$C$20+IF($C95="16 oz",ต้นทุนและราคา!$C$21,IF($C95="20 oz",ต้นทุนและราคา!$C$22,ต้นทุนและราคา!$C$23)),2)</f>
        <v>17.27</v>
      </c>
      <c r="X95" s="64" cm="1">
        <f t="array" ref="X95">IFERROR(INDEX(ต้นทุนและราคา!$C$26:$E$101,MATCH($B95,ต้นทุนและราคา!$A$26:$A$101,0),IF($C95="16 oz",1,IF($C95="20 oz",2,3))),"")</f>
        <v>59</v>
      </c>
      <c r="Y95" s="66">
        <f t="shared" si="6"/>
        <v>0.70728813559322046</v>
      </c>
      <c r="Z95" s="48" t="s">
        <v>913</v>
      </c>
    </row>
    <row r="96" spans="1:26" x14ac:dyDescent="0.25">
      <c r="A96" s="4" t="str">
        <f t="shared" si="5"/>
        <v>Coconut Tea|16 oz|100%</v>
      </c>
      <c r="B96" s="4" t="s">
        <v>76</v>
      </c>
      <c r="C96" s="4" t="s">
        <v>5</v>
      </c>
      <c r="D96" s="4" t="s">
        <v>66</v>
      </c>
      <c r="E96" s="63">
        <v>100</v>
      </c>
      <c r="F96" s="63">
        <v>0</v>
      </c>
      <c r="G96" s="63">
        <v>0</v>
      </c>
      <c r="H96" s="63">
        <v>12</v>
      </c>
      <c r="I96" s="63">
        <v>20</v>
      </c>
      <c r="J96" s="63">
        <v>12.8</v>
      </c>
      <c r="K96" s="63">
        <v>0</v>
      </c>
      <c r="L96" s="63">
        <v>0</v>
      </c>
      <c r="M96" s="63">
        <v>0</v>
      </c>
      <c r="N96" s="63">
        <v>82.2</v>
      </c>
      <c r="O96" s="63">
        <v>0</v>
      </c>
      <c r="P96" s="63">
        <v>0</v>
      </c>
      <c r="Q96" s="63">
        <v>0</v>
      </c>
      <c r="R96" s="63">
        <v>0</v>
      </c>
      <c r="S96" s="63">
        <v>220</v>
      </c>
      <c r="T96" s="63">
        <v>0</v>
      </c>
      <c r="U96" s="63">
        <v>0</v>
      </c>
      <c r="V96" s="65">
        <f t="shared" si="7"/>
        <v>227</v>
      </c>
      <c r="W96" s="8">
        <f>ROUND(E96*ต้นทุนและราคา!$C$4+F96*ต้นทุนและราคา!$C$5+G96*ต้นทุนและราคา!$C$6+H96*ต้นทุนและราคา!$C$7+I96*ต้นทุนและราคา!$C$8+J96*ต้นทุนและราคา!$C$9+K96*ต้นทุนและราคา!$C$10+L96*ต้นทุนและราคา!$C$11+M96*ต้นทุนและราคา!$C$12+N96*ต้นทุนและราคา!$C$13+O96*ต้นทุนและราคา!$C$14+P96*ต้นทุนและราคา!$C$15+Q96*ต้นทุนและราคา!$C$16+R96*ต้นทุนและราคา!$C$17+S96*ต้นทุนและราคา!$C$18+T96*ต้นทุนและราคา!$C$19+U96*ต้นทุนและราคา!$C$20+IF($C96="16 oz",ต้นทุนและราคา!$C$21,IF($C96="20 oz",ต้นทุนและราคา!$C$22,ต้นทุนและราคา!$C$23)),2)</f>
        <v>17.61</v>
      </c>
      <c r="X96" s="64" cm="1">
        <f t="array" ref="X96">IFERROR(INDEX(ต้นทุนและราคา!$C$26:$E$101,MATCH($B96,ต้นทุนและราคา!$A$26:$A$101,0),IF($C96="16 oz",1,IF($C96="20 oz",2,3))),"")</f>
        <v>59</v>
      </c>
      <c r="Y96" s="66">
        <f t="shared" si="6"/>
        <v>0.70152542372881355</v>
      </c>
      <c r="Z96" s="48" t="s">
        <v>913</v>
      </c>
    </row>
    <row r="97" spans="1:26" x14ac:dyDescent="0.25">
      <c r="A97" s="4" t="str">
        <f t="shared" si="5"/>
        <v>Coconut Tea|22 oz|0%</v>
      </c>
      <c r="B97" s="4" t="s">
        <v>76</v>
      </c>
      <c r="C97" s="4" t="s">
        <v>67</v>
      </c>
      <c r="D97" s="4" t="s">
        <v>63</v>
      </c>
      <c r="E97" s="63">
        <v>137.5</v>
      </c>
      <c r="F97" s="63">
        <v>0</v>
      </c>
      <c r="G97" s="63">
        <v>0</v>
      </c>
      <c r="H97" s="63">
        <v>16.5</v>
      </c>
      <c r="I97" s="63">
        <v>0</v>
      </c>
      <c r="J97" s="63">
        <v>0</v>
      </c>
      <c r="K97" s="63">
        <v>0</v>
      </c>
      <c r="L97" s="63">
        <v>0</v>
      </c>
      <c r="M97" s="63">
        <v>0</v>
      </c>
      <c r="N97" s="63">
        <v>130.5</v>
      </c>
      <c r="O97" s="63">
        <v>0</v>
      </c>
      <c r="P97" s="63">
        <v>0</v>
      </c>
      <c r="Q97" s="63">
        <v>0</v>
      </c>
      <c r="R97" s="63">
        <v>0</v>
      </c>
      <c r="S97" s="63">
        <v>300</v>
      </c>
      <c r="T97" s="63">
        <v>0</v>
      </c>
      <c r="U97" s="63">
        <v>0</v>
      </c>
      <c r="V97" s="65">
        <f t="shared" si="7"/>
        <v>284.5</v>
      </c>
      <c r="W97" s="8">
        <f>ROUND(E97*ต้นทุนและราคา!$C$4+F97*ต้นทุนและราคา!$C$5+G97*ต้นทุนและราคา!$C$6+H97*ต้นทุนและราคา!$C$7+I97*ต้นทุนและราคา!$C$8+J97*ต้นทุนและราคา!$C$9+K97*ต้นทุนและราคา!$C$10+L97*ต้นทุนและราคา!$C$11+M97*ต้นทุนและราคา!$C$12+N97*ต้นทุนและราคา!$C$13+O97*ต้นทุนและราคา!$C$14+P97*ต้นทุนและราคา!$C$15+Q97*ต้นทุนและราคา!$C$16+R97*ต้นทุนและราคา!$C$17+S97*ต้นทุนและราคา!$C$18+T97*ต้นทุนและราคา!$C$19+U97*ต้นทุนและราคา!$C$20+IF($C97="16 oz",ต้นทุนและราคา!$C$21,IF($C97="20 oz",ต้นทุนและราคา!$C$22,ต้นทุนและราคา!$C$23)),2)</f>
        <v>22.57</v>
      </c>
      <c r="X97" s="64" cm="1">
        <f t="array" ref="X97">IFERROR(INDEX(ต้นทุนและราคา!$C$26:$E$101,MATCH($B97,ต้นทุนและราคา!$A$26:$A$101,0),IF($C97="16 oz",1,IF($C97="20 oz",2,3))),"")</f>
        <v>69</v>
      </c>
      <c r="Y97" s="66">
        <f t="shared" si="6"/>
        <v>0.67289855072463767</v>
      </c>
      <c r="Z97" s="48" t="s">
        <v>912</v>
      </c>
    </row>
    <row r="98" spans="1:26" x14ac:dyDescent="0.25">
      <c r="A98" s="4" t="str">
        <f t="shared" ref="A98:A129" si="8">IF($B98="","",$B98&amp;"|"&amp;$C98&amp;"|"&amp;$D98)</f>
        <v>Coconut Tea|22 oz|25%</v>
      </c>
      <c r="B98" s="4" t="s">
        <v>76</v>
      </c>
      <c r="C98" s="4" t="s">
        <v>67</v>
      </c>
      <c r="D98" s="4" t="s">
        <v>64</v>
      </c>
      <c r="E98" s="63">
        <v>137.5</v>
      </c>
      <c r="F98" s="63">
        <v>0</v>
      </c>
      <c r="G98" s="63">
        <v>0</v>
      </c>
      <c r="H98" s="63">
        <v>16.5</v>
      </c>
      <c r="I98" s="63">
        <v>7</v>
      </c>
      <c r="J98" s="63">
        <v>17.600000000000001</v>
      </c>
      <c r="K98" s="63">
        <v>0</v>
      </c>
      <c r="L98" s="63">
        <v>0</v>
      </c>
      <c r="M98" s="63">
        <v>0</v>
      </c>
      <c r="N98" s="63">
        <v>112.9</v>
      </c>
      <c r="O98" s="63">
        <v>0</v>
      </c>
      <c r="P98" s="63">
        <v>0</v>
      </c>
      <c r="Q98" s="63">
        <v>0</v>
      </c>
      <c r="R98" s="63">
        <v>0</v>
      </c>
      <c r="S98" s="63">
        <v>300</v>
      </c>
      <c r="T98" s="63">
        <v>0</v>
      </c>
      <c r="U98" s="63">
        <v>0</v>
      </c>
      <c r="V98" s="65">
        <f t="shared" si="7"/>
        <v>291.5</v>
      </c>
      <c r="W98" s="8">
        <f>ROUND(E98*ต้นทุนและราคา!$C$4+F98*ต้นทุนและราคา!$C$5+G98*ต้นทุนและราคา!$C$6+H98*ต้นทุนและราคา!$C$7+I98*ต้นทุนและราคา!$C$8+J98*ต้นทุนและราคา!$C$9+K98*ต้นทุนและราคา!$C$10+L98*ต้นทุนและราคา!$C$11+M98*ต้นทุนและราคา!$C$12+N98*ต้นทุนและราคา!$C$13+O98*ต้นทุนและราคา!$C$14+P98*ต้นทุนและราคา!$C$15+Q98*ต้นทุนและราคา!$C$16+R98*ต้นทุนและราคา!$C$17+S98*ต้นทุนและราคา!$C$18+T98*ต้นทุนและราคา!$C$19+U98*ต้นทุนและราคา!$C$20+IF($C98="16 oz",ต้นทุนและราคา!$C$21,IF($C98="20 oz",ต้นทุนและราคา!$C$22,ต้นทุนและราคา!$C$23)),2)</f>
        <v>22.05</v>
      </c>
      <c r="X98" s="64" cm="1">
        <f t="array" ref="X98">IFERROR(INDEX(ต้นทุนและราคา!$C$26:$E$101,MATCH($B98,ต้นทุนและราคา!$A$26:$A$101,0),IF($C98="16 oz",1,IF($C98="20 oz",2,3))),"")</f>
        <v>69</v>
      </c>
      <c r="Y98" s="66">
        <f t="shared" ref="Y98:Y129" si="9">IFERROR(($X98-$W98)/$X98,"")</f>
        <v>0.68043478260869572</v>
      </c>
      <c r="Z98" s="48" t="s">
        <v>913</v>
      </c>
    </row>
    <row r="99" spans="1:26" x14ac:dyDescent="0.25">
      <c r="A99" s="4" t="str">
        <f t="shared" si="8"/>
        <v>Coconut Tea|22 oz|50%</v>
      </c>
      <c r="B99" s="4" t="s">
        <v>76</v>
      </c>
      <c r="C99" s="4" t="s">
        <v>67</v>
      </c>
      <c r="D99" s="4" t="s">
        <v>7</v>
      </c>
      <c r="E99" s="63">
        <v>137.5</v>
      </c>
      <c r="F99" s="63">
        <v>0</v>
      </c>
      <c r="G99" s="63">
        <v>0</v>
      </c>
      <c r="H99" s="63">
        <v>16.5</v>
      </c>
      <c r="I99" s="63">
        <v>14</v>
      </c>
      <c r="J99" s="63">
        <v>17.600000000000001</v>
      </c>
      <c r="K99" s="63">
        <v>0</v>
      </c>
      <c r="L99" s="63">
        <v>0</v>
      </c>
      <c r="M99" s="63">
        <v>0</v>
      </c>
      <c r="N99" s="63">
        <v>112.9</v>
      </c>
      <c r="O99" s="63">
        <v>0</v>
      </c>
      <c r="P99" s="63">
        <v>0</v>
      </c>
      <c r="Q99" s="63">
        <v>0</v>
      </c>
      <c r="R99" s="63">
        <v>0</v>
      </c>
      <c r="S99" s="63">
        <v>300</v>
      </c>
      <c r="T99" s="63">
        <v>0</v>
      </c>
      <c r="U99" s="63">
        <v>0</v>
      </c>
      <c r="V99" s="65">
        <f t="shared" si="7"/>
        <v>298.5</v>
      </c>
      <c r="W99" s="8">
        <f>ROUND(E99*ต้นทุนและราคา!$C$4+F99*ต้นทุนและราคา!$C$5+G99*ต้นทุนและราคา!$C$6+H99*ต้นทุนและราคา!$C$7+I99*ต้นทุนและราคา!$C$8+J99*ต้นทุนและราคา!$C$9+K99*ต้นทุนและราคา!$C$10+L99*ต้นทุนและราคา!$C$11+M99*ต้นทุนและราคา!$C$12+N99*ต้นทุนและราคา!$C$13+O99*ต้นทุนและราคา!$C$14+P99*ต้นทุนและราคา!$C$15+Q99*ต้นทุนและราคา!$C$16+R99*ต้นทุนและราคา!$C$17+S99*ต้นทุนและราคา!$C$18+T99*ต้นทุนและราคา!$C$19+U99*ต้นทุนและราคา!$C$20+IF($C99="16 oz",ต้นทุนและราคา!$C$21,IF($C99="20 oz",ต้นทุนและราคา!$C$22,ต้นทุนและราคา!$C$23)),2)</f>
        <v>22.54</v>
      </c>
      <c r="X99" s="64" cm="1">
        <f t="array" ref="X99">IFERROR(INDEX(ต้นทุนและราคา!$C$26:$E$101,MATCH($B99,ต้นทุนและราคา!$A$26:$A$101,0),IF($C99="16 oz",1,IF($C99="20 oz",2,3))),"")</f>
        <v>69</v>
      </c>
      <c r="Y99" s="66">
        <f t="shared" si="9"/>
        <v>0.67333333333333334</v>
      </c>
      <c r="Z99" s="48" t="s">
        <v>913</v>
      </c>
    </row>
    <row r="100" spans="1:26" x14ac:dyDescent="0.25">
      <c r="A100" s="4" t="str">
        <f t="shared" si="8"/>
        <v>Coconut Tea|22 oz|75%</v>
      </c>
      <c r="B100" s="4" t="s">
        <v>76</v>
      </c>
      <c r="C100" s="4" t="s">
        <v>67</v>
      </c>
      <c r="D100" s="4" t="s">
        <v>65</v>
      </c>
      <c r="E100" s="63">
        <v>137.5</v>
      </c>
      <c r="F100" s="63">
        <v>0</v>
      </c>
      <c r="G100" s="63">
        <v>0</v>
      </c>
      <c r="H100" s="63">
        <v>16.5</v>
      </c>
      <c r="I100" s="63">
        <v>20.5</v>
      </c>
      <c r="J100" s="63">
        <v>17.600000000000001</v>
      </c>
      <c r="K100" s="63">
        <v>0</v>
      </c>
      <c r="L100" s="63">
        <v>0</v>
      </c>
      <c r="M100" s="63">
        <v>0</v>
      </c>
      <c r="N100" s="63">
        <v>112.9</v>
      </c>
      <c r="O100" s="63">
        <v>0</v>
      </c>
      <c r="P100" s="63">
        <v>0</v>
      </c>
      <c r="Q100" s="63">
        <v>0</v>
      </c>
      <c r="R100" s="63">
        <v>0</v>
      </c>
      <c r="S100" s="63">
        <v>300</v>
      </c>
      <c r="T100" s="63">
        <v>0</v>
      </c>
      <c r="U100" s="63">
        <v>0</v>
      </c>
      <c r="V100" s="65">
        <f t="shared" si="7"/>
        <v>305</v>
      </c>
      <c r="W100" s="8">
        <f>ROUND(E100*ต้นทุนและราคา!$C$4+F100*ต้นทุนและราคา!$C$5+G100*ต้นทุนและราคา!$C$6+H100*ต้นทุนและราคา!$C$7+I100*ต้นทุนและราคา!$C$8+J100*ต้นทุนและราคา!$C$9+K100*ต้นทุนและราคา!$C$10+L100*ต้นทุนและราคา!$C$11+M100*ต้นทุนและราคา!$C$12+N100*ต้นทุนและราคา!$C$13+O100*ต้นทุนและราคา!$C$14+P100*ต้นทุนและราคา!$C$15+Q100*ต้นทุนและราคา!$C$16+R100*ต้นทุนและราคา!$C$17+S100*ต้นทุนและราคา!$C$18+T100*ต้นทุนและราคา!$C$19+U100*ต้นทุนและราคา!$C$20+IF($C100="16 oz",ต้นทุนและราคา!$C$21,IF($C100="20 oz",ต้นทุนและราคา!$C$22,ต้นทุนและราคา!$C$23)),2)</f>
        <v>22.99</v>
      </c>
      <c r="X100" s="64" cm="1">
        <f t="array" ref="X100">IFERROR(INDEX(ต้นทุนและราคา!$C$26:$E$101,MATCH($B100,ต้นทุนและราคา!$A$26:$A$101,0),IF($C100="16 oz",1,IF($C100="20 oz",2,3))),"")</f>
        <v>69</v>
      </c>
      <c r="Y100" s="66">
        <f t="shared" si="9"/>
        <v>0.66681159420289859</v>
      </c>
      <c r="Z100" s="48" t="s">
        <v>913</v>
      </c>
    </row>
    <row r="101" spans="1:26" x14ac:dyDescent="0.25">
      <c r="A101" s="4" t="str">
        <f t="shared" si="8"/>
        <v>Coconut Tea|22 oz|100%</v>
      </c>
      <c r="B101" s="4" t="s">
        <v>76</v>
      </c>
      <c r="C101" s="4" t="s">
        <v>67</v>
      </c>
      <c r="D101" s="4" t="s">
        <v>66</v>
      </c>
      <c r="E101" s="63">
        <v>137.5</v>
      </c>
      <c r="F101" s="63">
        <v>0</v>
      </c>
      <c r="G101" s="63">
        <v>0</v>
      </c>
      <c r="H101" s="63">
        <v>16.5</v>
      </c>
      <c r="I101" s="63">
        <v>27.5</v>
      </c>
      <c r="J101" s="63">
        <v>17.600000000000001</v>
      </c>
      <c r="K101" s="63">
        <v>0</v>
      </c>
      <c r="L101" s="63">
        <v>0</v>
      </c>
      <c r="M101" s="63">
        <v>0</v>
      </c>
      <c r="N101" s="63">
        <v>112.9</v>
      </c>
      <c r="O101" s="63">
        <v>0</v>
      </c>
      <c r="P101" s="63">
        <v>0</v>
      </c>
      <c r="Q101" s="63">
        <v>0</v>
      </c>
      <c r="R101" s="63">
        <v>0</v>
      </c>
      <c r="S101" s="63">
        <v>300</v>
      </c>
      <c r="T101" s="63">
        <v>0</v>
      </c>
      <c r="U101" s="63">
        <v>0</v>
      </c>
      <c r="V101" s="65">
        <f t="shared" si="7"/>
        <v>312</v>
      </c>
      <c r="W101" s="8">
        <f>ROUND(E101*ต้นทุนและราคา!$C$4+F101*ต้นทุนและราคา!$C$5+G101*ต้นทุนและราคา!$C$6+H101*ต้นทุนและราคา!$C$7+I101*ต้นทุนและราคา!$C$8+J101*ต้นทุนและราคา!$C$9+K101*ต้นทุนและราคา!$C$10+L101*ต้นทุนและราคา!$C$11+M101*ต้นทุนและราคา!$C$12+N101*ต้นทุนและราคา!$C$13+O101*ต้นทุนและราคา!$C$14+P101*ต้นทุนและราคา!$C$15+Q101*ต้นทุนและราคา!$C$16+R101*ต้นทุนและราคา!$C$17+S101*ต้นทุนและราคา!$C$18+T101*ต้นทุนและราคา!$C$19+U101*ต้นทุนและราคา!$C$20+IF($C101="16 oz",ต้นทุนและราคา!$C$21,IF($C101="20 oz",ต้นทุนและราคา!$C$22,ต้นทุนและราคา!$C$23)),2)</f>
        <v>23.47</v>
      </c>
      <c r="X101" s="64" cm="1">
        <f t="array" ref="X101">IFERROR(INDEX(ต้นทุนและราคา!$C$26:$E$101,MATCH($B101,ต้นทุนและราคา!$A$26:$A$101,0),IF($C101="16 oz",1,IF($C101="20 oz",2,3))),"")</f>
        <v>69</v>
      </c>
      <c r="Y101" s="66">
        <f t="shared" si="9"/>
        <v>0.65985507246376818</v>
      </c>
      <c r="Z101" s="48" t="s">
        <v>913</v>
      </c>
    </row>
    <row r="102" spans="1:26" x14ac:dyDescent="0.25">
      <c r="A102" s="4" t="str">
        <f t="shared" si="8"/>
        <v>Lemon Tea|16 oz|0%</v>
      </c>
      <c r="B102" s="4" t="s">
        <v>77</v>
      </c>
      <c r="C102" s="4" t="s">
        <v>5</v>
      </c>
      <c r="D102" s="4" t="s">
        <v>63</v>
      </c>
      <c r="E102" s="63">
        <v>165</v>
      </c>
      <c r="F102" s="63">
        <v>0</v>
      </c>
      <c r="G102" s="63">
        <v>0</v>
      </c>
      <c r="H102" s="63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15</v>
      </c>
      <c r="Q102" s="63">
        <v>0</v>
      </c>
      <c r="R102" s="63">
        <v>0</v>
      </c>
      <c r="S102" s="63">
        <v>240</v>
      </c>
      <c r="T102" s="63">
        <v>0</v>
      </c>
      <c r="U102" s="63">
        <v>0</v>
      </c>
      <c r="V102" s="65">
        <f t="shared" si="7"/>
        <v>180</v>
      </c>
      <c r="W102" s="8">
        <f>ROUND(E102*ต้นทุนและราคา!$C$4+F102*ต้นทุนและราคา!$C$5+G102*ต้นทุนและราคา!$C$6+H102*ต้นทุนและราคา!$C$7+I102*ต้นทุนและราคา!$C$8+J102*ต้นทุนและราคา!$C$9+K102*ต้นทุนและราคา!$C$10+L102*ต้นทุนและราคา!$C$11+M102*ต้นทุนและราคา!$C$12+N102*ต้นทุนและราคา!$C$13+O102*ต้นทุนและราคา!$C$14+P102*ต้นทุนและราคา!$C$15+Q102*ต้นทุนและราคา!$C$16+R102*ต้นทุนและราคา!$C$17+S102*ต้นทุนและราคา!$C$18+T102*ต้นทุนและราคา!$C$19+U102*ต้นทุนและราคา!$C$20+IF($C102="16 oz",ต้นทุนและราคา!$C$21,IF($C102="20 oz",ต้นทุนและราคา!$C$22,ต้นทุนและราคา!$C$23)),2)</f>
        <v>14.26</v>
      </c>
      <c r="X102" s="64" cm="1">
        <f t="array" ref="X102">IFERROR(INDEX(ต้นทุนและราคา!$C$26:$E$101,MATCH($B102,ต้นทุนและราคา!$A$26:$A$101,0),IF($C102="16 oz",1,IF($C102="20 oz",2,3))),"")</f>
        <v>40</v>
      </c>
      <c r="Y102" s="66">
        <f t="shared" si="9"/>
        <v>0.64350000000000007</v>
      </c>
      <c r="Z102" s="48" t="s">
        <v>914</v>
      </c>
    </row>
    <row r="103" spans="1:26" x14ac:dyDescent="0.25">
      <c r="A103" s="4" t="str">
        <f t="shared" si="8"/>
        <v>Lemon Tea|16 oz|25%</v>
      </c>
      <c r="B103" s="4" t="s">
        <v>77</v>
      </c>
      <c r="C103" s="4" t="s">
        <v>5</v>
      </c>
      <c r="D103" s="4" t="s">
        <v>64</v>
      </c>
      <c r="E103" s="63">
        <v>146.30000000000001</v>
      </c>
      <c r="F103" s="63">
        <v>0</v>
      </c>
      <c r="G103" s="63">
        <v>0</v>
      </c>
      <c r="H103" s="63">
        <v>0</v>
      </c>
      <c r="I103" s="63">
        <v>0</v>
      </c>
      <c r="J103" s="63">
        <v>26.7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15</v>
      </c>
      <c r="Q103" s="63">
        <v>0</v>
      </c>
      <c r="R103" s="63">
        <v>0</v>
      </c>
      <c r="S103" s="63">
        <v>240</v>
      </c>
      <c r="T103" s="63">
        <v>0</v>
      </c>
      <c r="U103" s="63">
        <v>0</v>
      </c>
      <c r="V103" s="65">
        <f t="shared" si="7"/>
        <v>188</v>
      </c>
      <c r="W103" s="8">
        <f>ROUND(E103*ต้นทุนและราคา!$C$4+F103*ต้นทุนและราคา!$C$5+G103*ต้นทุนและราคา!$C$6+H103*ต้นทุนและราคา!$C$7+I103*ต้นทุนและราคา!$C$8+J103*ต้นทุนและราคา!$C$9+K103*ต้นทุนและราคา!$C$10+L103*ต้นทุนและราคา!$C$11+M103*ต้นทุนและราคา!$C$12+N103*ต้นทุนและราคา!$C$13+O103*ต้นทุนและราคา!$C$14+P103*ต้นทุนและราคา!$C$15+Q103*ต้นทุนและราคา!$C$16+R103*ต้นทุนและราคา!$C$17+S103*ต้นทุนและราคา!$C$18+T103*ต้นทุนและราคา!$C$19+U103*ต้นทุนและราคา!$C$20+IF($C103="16 oz",ต้นทุนและราคา!$C$21,IF($C103="20 oz",ต้นทุนและราคา!$C$22,ต้นทุนและราคา!$C$23)),2)</f>
        <v>14.33</v>
      </c>
      <c r="X103" s="64" cm="1">
        <f t="array" ref="X103">IFERROR(INDEX(ต้นทุนและราคา!$C$26:$E$101,MATCH($B103,ต้นทุนและราคา!$A$26:$A$101,0),IF($C103="16 oz",1,IF($C103="20 oz",2,3))),"")</f>
        <v>40</v>
      </c>
      <c r="Y103" s="66">
        <f t="shared" si="9"/>
        <v>0.64175000000000004</v>
      </c>
      <c r="Z103" s="48" t="s">
        <v>915</v>
      </c>
    </row>
    <row r="104" spans="1:26" x14ac:dyDescent="0.25">
      <c r="A104" s="4" t="str">
        <f t="shared" si="8"/>
        <v>Lemon Tea|16 oz|50%</v>
      </c>
      <c r="B104" s="4" t="s">
        <v>77</v>
      </c>
      <c r="C104" s="4" t="s">
        <v>5</v>
      </c>
      <c r="D104" s="4" t="s">
        <v>7</v>
      </c>
      <c r="E104" s="63">
        <v>146.30000000000001</v>
      </c>
      <c r="F104" s="63">
        <v>0</v>
      </c>
      <c r="G104" s="63">
        <v>0</v>
      </c>
      <c r="H104" s="63">
        <v>0</v>
      </c>
      <c r="I104" s="63">
        <v>0</v>
      </c>
      <c r="J104" s="63">
        <v>34.700000000000003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15</v>
      </c>
      <c r="Q104" s="63">
        <v>0</v>
      </c>
      <c r="R104" s="63">
        <v>0</v>
      </c>
      <c r="S104" s="63">
        <v>240</v>
      </c>
      <c r="T104" s="63">
        <v>0</v>
      </c>
      <c r="U104" s="63">
        <v>0</v>
      </c>
      <c r="V104" s="65">
        <f t="shared" si="7"/>
        <v>196</v>
      </c>
      <c r="W104" s="8">
        <f>ROUND(E104*ต้นทุนและราคา!$C$4+F104*ต้นทุนและราคา!$C$5+G104*ต้นทุนและราคา!$C$6+H104*ต้นทุนและราคา!$C$7+I104*ต้นทุนและราคา!$C$8+J104*ต้นทุนและราคา!$C$9+K104*ต้นทุนและราคา!$C$10+L104*ต้นทุนและราคา!$C$11+M104*ต้นทุนและราคา!$C$12+N104*ต้นทุนและราคา!$C$13+O104*ต้นทุนและราคา!$C$14+P104*ต้นทุนและราคา!$C$15+Q104*ต้นทุนและราคา!$C$16+R104*ต้นทุนและราคา!$C$17+S104*ต้นทุนและราคา!$C$18+T104*ต้นทุนและราคา!$C$19+U104*ต้นทุนและราคา!$C$20+IF($C104="16 oz",ต้นทุนและราคา!$C$21,IF($C104="20 oz",ต้นทุนและราคา!$C$22,ต้นทุนและราคา!$C$23)),2)</f>
        <v>14.47</v>
      </c>
      <c r="X104" s="64" cm="1">
        <f t="array" ref="X104">IFERROR(INDEX(ต้นทุนและราคา!$C$26:$E$101,MATCH($B104,ต้นทุนและราคา!$A$26:$A$101,0),IF($C104="16 oz",1,IF($C104="20 oz",2,3))),"")</f>
        <v>40</v>
      </c>
      <c r="Y104" s="66">
        <f t="shared" si="9"/>
        <v>0.63824999999999998</v>
      </c>
      <c r="Z104" s="48" t="s">
        <v>915</v>
      </c>
    </row>
    <row r="105" spans="1:26" x14ac:dyDescent="0.25">
      <c r="A105" s="4" t="str">
        <f t="shared" si="8"/>
        <v>Lemon Tea|16 oz|75%</v>
      </c>
      <c r="B105" s="4" t="s">
        <v>77</v>
      </c>
      <c r="C105" s="4" t="s">
        <v>5</v>
      </c>
      <c r="D105" s="4" t="s">
        <v>65</v>
      </c>
      <c r="E105" s="63">
        <v>146.30000000000001</v>
      </c>
      <c r="F105" s="63">
        <v>0</v>
      </c>
      <c r="G105" s="63">
        <v>0</v>
      </c>
      <c r="H105" s="63">
        <v>0</v>
      </c>
      <c r="I105" s="63">
        <v>0</v>
      </c>
      <c r="J105" s="63">
        <v>42.7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15</v>
      </c>
      <c r="Q105" s="63">
        <v>0</v>
      </c>
      <c r="R105" s="63">
        <v>0</v>
      </c>
      <c r="S105" s="63">
        <v>240</v>
      </c>
      <c r="T105" s="63">
        <v>0</v>
      </c>
      <c r="U105" s="63">
        <v>0</v>
      </c>
      <c r="V105" s="65">
        <f t="shared" si="7"/>
        <v>204</v>
      </c>
      <c r="W105" s="8">
        <f>ROUND(E105*ต้นทุนและราคา!$C$4+F105*ต้นทุนและราคา!$C$5+G105*ต้นทุนและราคา!$C$6+H105*ต้นทุนและราคา!$C$7+I105*ต้นทุนและราคา!$C$8+J105*ต้นทุนและราคา!$C$9+K105*ต้นทุนและราคา!$C$10+L105*ต้นทุนและราคา!$C$11+M105*ต้นทุนและราคา!$C$12+N105*ต้นทุนและราคา!$C$13+O105*ต้นทุนและราคา!$C$14+P105*ต้นทุนและราคา!$C$15+Q105*ต้นทุนและราคา!$C$16+R105*ต้นทุนและราคา!$C$17+S105*ต้นทุนและราคา!$C$18+T105*ต้นทุนและราคา!$C$19+U105*ต้นทุนและราคา!$C$20+IF($C105="16 oz",ต้นทุนและราคา!$C$21,IF($C105="20 oz",ต้นทุนและราคา!$C$22,ต้นทุนและราคา!$C$23)),2)</f>
        <v>14.6</v>
      </c>
      <c r="X105" s="64" cm="1">
        <f t="array" ref="X105">IFERROR(INDEX(ต้นทุนและราคา!$C$26:$E$101,MATCH($B105,ต้นทุนและราคา!$A$26:$A$101,0),IF($C105="16 oz",1,IF($C105="20 oz",2,3))),"")</f>
        <v>40</v>
      </c>
      <c r="Y105" s="66">
        <f t="shared" si="9"/>
        <v>0.63500000000000001</v>
      </c>
      <c r="Z105" s="48" t="s">
        <v>915</v>
      </c>
    </row>
    <row r="106" spans="1:26" x14ac:dyDescent="0.25">
      <c r="A106" s="4" t="str">
        <f t="shared" si="8"/>
        <v>Lemon Tea|16 oz|100%</v>
      </c>
      <c r="B106" s="4" t="s">
        <v>77</v>
      </c>
      <c r="C106" s="4" t="s">
        <v>5</v>
      </c>
      <c r="D106" s="4" t="s">
        <v>66</v>
      </c>
      <c r="E106" s="63">
        <v>146.30000000000001</v>
      </c>
      <c r="F106" s="63">
        <v>0</v>
      </c>
      <c r="G106" s="63">
        <v>0</v>
      </c>
      <c r="H106" s="63">
        <v>0</v>
      </c>
      <c r="I106" s="63">
        <v>0</v>
      </c>
      <c r="J106" s="63">
        <v>50.7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15</v>
      </c>
      <c r="Q106" s="63">
        <v>0</v>
      </c>
      <c r="R106" s="63">
        <v>0</v>
      </c>
      <c r="S106" s="63">
        <v>240</v>
      </c>
      <c r="T106" s="63">
        <v>0</v>
      </c>
      <c r="U106" s="63">
        <v>0</v>
      </c>
      <c r="V106" s="65">
        <f t="shared" si="7"/>
        <v>212</v>
      </c>
      <c r="W106" s="8">
        <f>ROUND(E106*ต้นทุนและราคา!$C$4+F106*ต้นทุนและราคา!$C$5+G106*ต้นทุนและราคา!$C$6+H106*ต้นทุนและราคา!$C$7+I106*ต้นทุนและราคา!$C$8+J106*ต้นทุนและราคา!$C$9+K106*ต้นทุนและราคา!$C$10+L106*ต้นทุนและราคา!$C$11+M106*ต้นทุนและราคา!$C$12+N106*ต้นทุนและราคา!$C$13+O106*ต้นทุนและราคา!$C$14+P106*ต้นทุนและราคา!$C$15+Q106*ต้นทุนและราคา!$C$16+R106*ต้นทุนและราคา!$C$17+S106*ต้นทุนและราคา!$C$18+T106*ต้นทุนและราคา!$C$19+U106*ต้นทุนและราคา!$C$20+IF($C106="16 oz",ต้นทุนและราคา!$C$21,IF($C106="20 oz",ต้นทุนและราคา!$C$22,ต้นทุนและราคา!$C$23)),2)</f>
        <v>14.73</v>
      </c>
      <c r="X106" s="64" cm="1">
        <f t="array" ref="X106">IFERROR(INDEX(ต้นทุนและราคา!$C$26:$E$101,MATCH($B106,ต้นทุนและราคา!$A$26:$A$101,0),IF($C106="16 oz",1,IF($C106="20 oz",2,3))),"")</f>
        <v>40</v>
      </c>
      <c r="Y106" s="66">
        <f t="shared" si="9"/>
        <v>0.63175000000000003</v>
      </c>
      <c r="Z106" s="48" t="s">
        <v>915</v>
      </c>
    </row>
    <row r="107" spans="1:26" x14ac:dyDescent="0.25">
      <c r="A107" s="4" t="str">
        <f t="shared" si="8"/>
        <v>Lemon Tea|22 oz|0%</v>
      </c>
      <c r="B107" s="4" t="s">
        <v>77</v>
      </c>
      <c r="C107" s="4" t="s">
        <v>67</v>
      </c>
      <c r="D107" s="4" t="s">
        <v>63</v>
      </c>
      <c r="E107" s="63">
        <v>227</v>
      </c>
      <c r="F107" s="63">
        <v>0</v>
      </c>
      <c r="G107" s="63">
        <v>0</v>
      </c>
      <c r="H107" s="63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20.5</v>
      </c>
      <c r="Q107" s="63">
        <v>0</v>
      </c>
      <c r="R107" s="63">
        <v>0</v>
      </c>
      <c r="S107" s="63">
        <v>330</v>
      </c>
      <c r="T107" s="63">
        <v>0</v>
      </c>
      <c r="U107" s="63">
        <v>0</v>
      </c>
      <c r="V107" s="65">
        <f t="shared" si="7"/>
        <v>247.5</v>
      </c>
      <c r="W107" s="8">
        <f>ROUND(E107*ต้นทุนและราคา!$C$4+F107*ต้นทุนและราคา!$C$5+G107*ต้นทุนและราคา!$C$6+H107*ต้นทุนและราคา!$C$7+I107*ต้นทุนและราคา!$C$8+J107*ต้นทุนและราคา!$C$9+K107*ต้นทุนและราคา!$C$10+L107*ต้นทุนและราคา!$C$11+M107*ต้นทุนและราคา!$C$12+N107*ต้นทุนและราคา!$C$13+O107*ต้นทุนและราคา!$C$14+P107*ต้นทุนและราคา!$C$15+Q107*ต้นทุนและราคา!$C$16+R107*ต้นทุนและราคา!$C$17+S107*ต้นทุนและราคา!$C$18+T107*ต้นทุนและราคา!$C$19+U107*ต้นทุนและราคา!$C$20+IF($C107="16 oz",ต้นทุนและราคา!$C$21,IF($C107="20 oz",ต้นทุนและราคา!$C$22,ต้นทุนและราคา!$C$23)),2)</f>
        <v>18.88</v>
      </c>
      <c r="X107" s="64" cm="1">
        <f t="array" ref="X107">IFERROR(INDEX(ต้นทุนและราคา!$C$26:$E$101,MATCH($B107,ต้นทุนและราคา!$A$26:$A$101,0),IF($C107="16 oz",1,IF($C107="20 oz",2,3))),"")</f>
        <v>50</v>
      </c>
      <c r="Y107" s="66">
        <f t="shared" si="9"/>
        <v>0.62240000000000006</v>
      </c>
      <c r="Z107" s="48" t="s">
        <v>914</v>
      </c>
    </row>
    <row r="108" spans="1:26" x14ac:dyDescent="0.25">
      <c r="A108" s="4" t="str">
        <f t="shared" si="8"/>
        <v>Lemon Tea|22 oz|25%</v>
      </c>
      <c r="B108" s="4" t="s">
        <v>77</v>
      </c>
      <c r="C108" s="4" t="s">
        <v>67</v>
      </c>
      <c r="D108" s="4" t="s">
        <v>64</v>
      </c>
      <c r="E108" s="63">
        <v>201.2</v>
      </c>
      <c r="F108" s="63">
        <v>0</v>
      </c>
      <c r="G108" s="63">
        <v>0</v>
      </c>
      <c r="H108" s="63">
        <v>0</v>
      </c>
      <c r="I108" s="63">
        <v>0</v>
      </c>
      <c r="J108" s="63">
        <v>36.799999999999997</v>
      </c>
      <c r="K108" s="63">
        <v>0</v>
      </c>
      <c r="L108" s="63">
        <v>0</v>
      </c>
      <c r="M108" s="63">
        <v>0</v>
      </c>
      <c r="N108" s="63">
        <v>0</v>
      </c>
      <c r="O108" s="63">
        <v>0</v>
      </c>
      <c r="P108" s="63">
        <v>20.5</v>
      </c>
      <c r="Q108" s="63">
        <v>0</v>
      </c>
      <c r="R108" s="63">
        <v>0</v>
      </c>
      <c r="S108" s="63">
        <v>330</v>
      </c>
      <c r="T108" s="63">
        <v>0</v>
      </c>
      <c r="U108" s="63">
        <v>0</v>
      </c>
      <c r="V108" s="65">
        <f t="shared" si="7"/>
        <v>258.5</v>
      </c>
      <c r="W108" s="8">
        <f>ROUND(E108*ต้นทุนและราคา!$C$4+F108*ต้นทุนและราคา!$C$5+G108*ต้นทุนและราคา!$C$6+H108*ต้นทุนและราคา!$C$7+I108*ต้นทุนและราคา!$C$8+J108*ต้นทุนและราคา!$C$9+K108*ต้นทุนและราคา!$C$10+L108*ต้นทุนและราคา!$C$11+M108*ต้นทุนและราคา!$C$12+N108*ต้นทุนและราคา!$C$13+O108*ต้นทุนและราคา!$C$14+P108*ต้นทุนและราคา!$C$15+Q108*ต้นทุนและราคา!$C$16+R108*ต้นทุนและราคา!$C$17+S108*ต้นทุนและราคา!$C$18+T108*ต้นทุนและราคา!$C$19+U108*ต้นทุนและราคา!$C$20+IF($C108="16 oz",ต้นทุนและราคา!$C$21,IF($C108="20 oz",ต้นทุนและราคา!$C$22,ต้นทุนและราคา!$C$23)),2)</f>
        <v>18.98</v>
      </c>
      <c r="X108" s="64" cm="1">
        <f t="array" ref="X108">IFERROR(INDEX(ต้นทุนและราคา!$C$26:$E$101,MATCH($B108,ต้นทุนและราคา!$A$26:$A$101,0),IF($C108="16 oz",1,IF($C108="20 oz",2,3))),"")</f>
        <v>50</v>
      </c>
      <c r="Y108" s="66">
        <f t="shared" si="9"/>
        <v>0.62039999999999995</v>
      </c>
      <c r="Z108" s="48" t="s">
        <v>915</v>
      </c>
    </row>
    <row r="109" spans="1:26" x14ac:dyDescent="0.25">
      <c r="A109" s="4" t="str">
        <f t="shared" si="8"/>
        <v>Lemon Tea|22 oz|50%</v>
      </c>
      <c r="B109" s="4" t="s">
        <v>77</v>
      </c>
      <c r="C109" s="4" t="s">
        <v>67</v>
      </c>
      <c r="D109" s="4" t="s">
        <v>7</v>
      </c>
      <c r="E109" s="63">
        <v>201.2</v>
      </c>
      <c r="F109" s="63">
        <v>0</v>
      </c>
      <c r="G109" s="63">
        <v>0</v>
      </c>
      <c r="H109" s="63">
        <v>0</v>
      </c>
      <c r="I109" s="63">
        <v>0</v>
      </c>
      <c r="J109" s="63">
        <v>47.8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20.5</v>
      </c>
      <c r="Q109" s="63">
        <v>0</v>
      </c>
      <c r="R109" s="63">
        <v>0</v>
      </c>
      <c r="S109" s="63">
        <v>330</v>
      </c>
      <c r="T109" s="63">
        <v>0</v>
      </c>
      <c r="U109" s="63">
        <v>0</v>
      </c>
      <c r="V109" s="65">
        <f t="shared" si="7"/>
        <v>269.5</v>
      </c>
      <c r="W109" s="8">
        <f>ROUND(E109*ต้นทุนและราคา!$C$4+F109*ต้นทุนและราคา!$C$5+G109*ต้นทุนและราคา!$C$6+H109*ต้นทุนและราคา!$C$7+I109*ต้นทุนและราคา!$C$8+J109*ต้นทุนและราคา!$C$9+K109*ต้นทุนและราคา!$C$10+L109*ต้นทุนและราคา!$C$11+M109*ต้นทุนและราคา!$C$12+N109*ต้นทุนและราคา!$C$13+O109*ต้นทุนและราคา!$C$14+P109*ต้นทุนและราคา!$C$15+Q109*ต้นทุนและราคา!$C$16+R109*ต้นทุนและราคา!$C$17+S109*ต้นทุนและราคา!$C$18+T109*ต้นทุนและราคา!$C$19+U109*ต้นทุนและราคา!$C$20+IF($C109="16 oz",ต้นทุนและราคา!$C$21,IF($C109="20 oz",ต้นทุนและราคา!$C$22,ต้นทุนและราคา!$C$23)),2)</f>
        <v>19.16</v>
      </c>
      <c r="X109" s="64" cm="1">
        <f t="array" ref="X109">IFERROR(INDEX(ต้นทุนและราคา!$C$26:$E$101,MATCH($B109,ต้นทุนและราคา!$A$26:$A$101,0),IF($C109="16 oz",1,IF($C109="20 oz",2,3))),"")</f>
        <v>50</v>
      </c>
      <c r="Y109" s="66">
        <f t="shared" si="9"/>
        <v>0.61680000000000001</v>
      </c>
      <c r="Z109" s="48" t="s">
        <v>915</v>
      </c>
    </row>
    <row r="110" spans="1:26" x14ac:dyDescent="0.25">
      <c r="A110" s="4" t="str">
        <f t="shared" si="8"/>
        <v>Lemon Tea|22 oz|75%</v>
      </c>
      <c r="B110" s="4" t="s">
        <v>77</v>
      </c>
      <c r="C110" s="4" t="s">
        <v>67</v>
      </c>
      <c r="D110" s="4" t="s">
        <v>65</v>
      </c>
      <c r="E110" s="63">
        <v>201.2</v>
      </c>
      <c r="F110" s="63">
        <v>0</v>
      </c>
      <c r="G110" s="63">
        <v>0</v>
      </c>
      <c r="H110" s="63">
        <v>0</v>
      </c>
      <c r="I110" s="63">
        <v>0</v>
      </c>
      <c r="J110" s="63">
        <v>58.8</v>
      </c>
      <c r="K110" s="63">
        <v>0</v>
      </c>
      <c r="L110" s="63">
        <v>0</v>
      </c>
      <c r="M110" s="63">
        <v>0</v>
      </c>
      <c r="N110" s="63">
        <v>0</v>
      </c>
      <c r="O110" s="63">
        <v>0</v>
      </c>
      <c r="P110" s="63">
        <v>20.5</v>
      </c>
      <c r="Q110" s="63">
        <v>0</v>
      </c>
      <c r="R110" s="63">
        <v>0</v>
      </c>
      <c r="S110" s="63">
        <v>330</v>
      </c>
      <c r="T110" s="63">
        <v>0</v>
      </c>
      <c r="U110" s="63">
        <v>0</v>
      </c>
      <c r="V110" s="65">
        <f t="shared" si="7"/>
        <v>280.5</v>
      </c>
      <c r="W110" s="8">
        <f>ROUND(E110*ต้นทุนและราคา!$C$4+F110*ต้นทุนและราคา!$C$5+G110*ต้นทุนและราคา!$C$6+H110*ต้นทุนและราคา!$C$7+I110*ต้นทุนและราคา!$C$8+J110*ต้นทุนและราคา!$C$9+K110*ต้นทุนและราคา!$C$10+L110*ต้นทุนและราคา!$C$11+M110*ต้นทุนและราคา!$C$12+N110*ต้นทุนและราคา!$C$13+O110*ต้นทุนและราคา!$C$14+P110*ต้นทุนและราคา!$C$15+Q110*ต้นทุนและราคา!$C$16+R110*ต้นทุนและราคา!$C$17+S110*ต้นทุนและราคา!$C$18+T110*ต้นทุนและราคา!$C$19+U110*ต้นทุนและราคา!$C$20+IF($C110="16 oz",ต้นทุนและราคา!$C$21,IF($C110="20 oz",ต้นทุนและราคา!$C$22,ต้นทุนและราคา!$C$23)),2)</f>
        <v>19.350000000000001</v>
      </c>
      <c r="X110" s="64" cm="1">
        <f t="array" ref="X110">IFERROR(INDEX(ต้นทุนและราคา!$C$26:$E$101,MATCH($B110,ต้นทุนและราคา!$A$26:$A$101,0),IF($C110="16 oz",1,IF($C110="20 oz",2,3))),"")</f>
        <v>50</v>
      </c>
      <c r="Y110" s="66">
        <f t="shared" si="9"/>
        <v>0.61299999999999999</v>
      </c>
      <c r="Z110" s="48" t="s">
        <v>915</v>
      </c>
    </row>
    <row r="111" spans="1:26" x14ac:dyDescent="0.25">
      <c r="A111" s="4" t="str">
        <f t="shared" si="8"/>
        <v>Lemon Tea|22 oz|100%</v>
      </c>
      <c r="B111" s="4" t="s">
        <v>77</v>
      </c>
      <c r="C111" s="4" t="s">
        <v>67</v>
      </c>
      <c r="D111" s="4" t="s">
        <v>66</v>
      </c>
      <c r="E111" s="63">
        <v>201.2</v>
      </c>
      <c r="F111" s="63">
        <v>0</v>
      </c>
      <c r="G111" s="63">
        <v>0</v>
      </c>
      <c r="H111" s="63">
        <v>0</v>
      </c>
      <c r="I111" s="63">
        <v>0</v>
      </c>
      <c r="J111" s="63">
        <v>69.8</v>
      </c>
      <c r="K111" s="63">
        <v>0</v>
      </c>
      <c r="L111" s="63">
        <v>0</v>
      </c>
      <c r="M111" s="63">
        <v>0</v>
      </c>
      <c r="N111" s="63">
        <v>0</v>
      </c>
      <c r="O111" s="63">
        <v>0</v>
      </c>
      <c r="P111" s="63">
        <v>20.5</v>
      </c>
      <c r="Q111" s="63">
        <v>0</v>
      </c>
      <c r="R111" s="63">
        <v>0</v>
      </c>
      <c r="S111" s="63">
        <v>330</v>
      </c>
      <c r="T111" s="63">
        <v>0</v>
      </c>
      <c r="U111" s="63">
        <v>0</v>
      </c>
      <c r="V111" s="65">
        <f t="shared" si="7"/>
        <v>291.5</v>
      </c>
      <c r="W111" s="8">
        <f>ROUND(E111*ต้นทุนและราคา!$C$4+F111*ต้นทุนและราคา!$C$5+G111*ต้นทุนและราคา!$C$6+H111*ต้นทุนและราคา!$C$7+I111*ต้นทุนและราคา!$C$8+J111*ต้นทุนและราคา!$C$9+K111*ต้นทุนและราคา!$C$10+L111*ต้นทุนและราคา!$C$11+M111*ต้นทุนและราคา!$C$12+N111*ต้นทุนและราคา!$C$13+O111*ต้นทุนและราคา!$C$14+P111*ต้นทุนและราคา!$C$15+Q111*ต้นทุนและราคา!$C$16+R111*ต้นทุนและราคา!$C$17+S111*ต้นทุนและราคา!$C$18+T111*ต้นทุนและราคา!$C$19+U111*ต้นทุนและราคา!$C$20+IF($C111="16 oz",ต้นทุนและราคา!$C$21,IF($C111="20 oz",ต้นทุนและราคา!$C$22,ต้นทุนและราคา!$C$23)),2)</f>
        <v>19.53</v>
      </c>
      <c r="X111" s="64" cm="1">
        <f t="array" ref="X111">IFERROR(INDEX(ต้นทุนและราคา!$C$26:$E$101,MATCH($B111,ต้นทุนและราคา!$A$26:$A$101,0),IF($C111="16 oz",1,IF($C111="20 oz",2,3))),"")</f>
        <v>50</v>
      </c>
      <c r="Y111" s="66">
        <f t="shared" si="9"/>
        <v>0.60939999999999994</v>
      </c>
      <c r="Z111" s="48" t="s">
        <v>915</v>
      </c>
    </row>
    <row r="112" spans="1:26" x14ac:dyDescent="0.25">
      <c r="A112" s="4" t="str">
        <f t="shared" si="8"/>
        <v>Green Tea|16 oz|0%</v>
      </c>
      <c r="B112" s="4" t="s">
        <v>78</v>
      </c>
      <c r="C112" s="4" t="s">
        <v>5</v>
      </c>
      <c r="D112" s="4" t="s">
        <v>63</v>
      </c>
      <c r="E112" s="63">
        <v>0</v>
      </c>
      <c r="F112" s="63">
        <v>135</v>
      </c>
      <c r="G112" s="63">
        <v>0</v>
      </c>
      <c r="H112" s="63">
        <v>56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240</v>
      </c>
      <c r="T112" s="63">
        <v>0</v>
      </c>
      <c r="U112" s="63">
        <v>0</v>
      </c>
      <c r="V112" s="65">
        <f t="shared" si="7"/>
        <v>191</v>
      </c>
      <c r="W112" s="8">
        <f>ROUND(E112*ต้นทุนและราคา!$C$4+F112*ต้นทุนและราคา!$C$5+G112*ต้นทุนและราคา!$C$6+H112*ต้นทุนและราคา!$C$7+I112*ต้นทุนและราคา!$C$8+J112*ต้นทุนและราคา!$C$9+K112*ต้นทุนและราคา!$C$10+L112*ต้นทุนและราคา!$C$11+M112*ต้นทุนและราคา!$C$12+N112*ต้นทุนและราคา!$C$13+O112*ต้นทุนและราคา!$C$14+P112*ต้นทุนและราคา!$C$15+Q112*ต้นทุนและราคา!$C$16+R112*ต้นทุนและราคา!$C$17+S112*ต้นทุนและราคา!$C$18+T112*ต้นทุนและราคา!$C$19+U112*ต้นทุนและราคา!$C$20+IF($C112="16 oz",ต้นทุนและราคา!$C$21,IF($C112="20 oz",ต้นทุนและราคา!$C$22,ต้นทุนและราคา!$C$23)),2)</f>
        <v>14.79</v>
      </c>
      <c r="X112" s="64" cm="1">
        <f t="array" ref="X112">IFERROR(INDEX(ต้นทุนและราคา!$C$26:$E$101,MATCH($B112,ต้นทุนและราคา!$A$26:$A$101,0),IF($C112="16 oz",1,IF($C112="20 oz",2,3))),"")</f>
        <v>45</v>
      </c>
      <c r="Y112" s="66">
        <f t="shared" si="9"/>
        <v>0.67133333333333334</v>
      </c>
      <c r="Z112" s="48" t="s">
        <v>1218</v>
      </c>
    </row>
    <row r="113" spans="1:26" x14ac:dyDescent="0.25">
      <c r="A113" s="4" t="str">
        <f t="shared" si="8"/>
        <v>Green Tea|16 oz|25%</v>
      </c>
      <c r="B113" s="4" t="s">
        <v>78</v>
      </c>
      <c r="C113" s="4" t="s">
        <v>5</v>
      </c>
      <c r="D113" s="4" t="s">
        <v>64</v>
      </c>
      <c r="E113" s="63">
        <v>0</v>
      </c>
      <c r="F113" s="63">
        <v>135</v>
      </c>
      <c r="G113" s="63">
        <v>0</v>
      </c>
      <c r="H113" s="63">
        <v>50</v>
      </c>
      <c r="I113" s="63">
        <v>8</v>
      </c>
      <c r="J113" s="63">
        <f>ROUND(0+$AD$2*F113,1)</f>
        <v>17.3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240</v>
      </c>
      <c r="T113" s="63">
        <v>0</v>
      </c>
      <c r="U113" s="63">
        <v>0</v>
      </c>
      <c r="V113" s="65">
        <f t="shared" si="7"/>
        <v>210.3</v>
      </c>
      <c r="W113" s="8">
        <f>ROUND(E113*ต้นทุนและราคา!$C$4+F113*ต้นทุนและราคา!$C$5+G113*ต้นทุนและราคา!$C$6+H113*ต้นทุนและราคา!$C$7+I113*ต้นทุนและราคา!$C$8+J113*ต้นทุนและราคา!$C$9+K113*ต้นทุนและราคา!$C$10+L113*ต้นทุนและราคา!$C$11+M113*ต้นทุนและราคา!$C$12+N113*ต้นทุนและราคา!$C$13+O113*ต้นทุนและราคา!$C$14+P113*ต้นทุนและราคา!$C$15+Q113*ต้นทุนและราคา!$C$16+R113*ต้นทุนและราคา!$C$17+S113*ต้นทุนและราคา!$C$18+T113*ต้นทุนและราคา!$C$19+U113*ต้นทุนและราคา!$C$20+IF($C113="16 oz",ต้นทุนและราคา!$C$21,IF($C113="20 oz",ต้นทุนและราคา!$C$22,ต้นทุนและราคา!$C$23)),2)</f>
        <v>15.19</v>
      </c>
      <c r="X113" s="64" cm="1">
        <f t="array" ref="X113">IFERROR(INDEX(ต้นทุนและราคา!$C$26:$E$101,MATCH($B113,ต้นทุนและราคา!$A$26:$A$101,0),IF($C113="16 oz",1,IF($C113="20 oz",2,3))),"")</f>
        <v>45</v>
      </c>
      <c r="Y113" s="66">
        <f t="shared" si="9"/>
        <v>0.6624444444444445</v>
      </c>
      <c r="Z113" s="48" t="s">
        <v>1219</v>
      </c>
    </row>
    <row r="114" spans="1:26" x14ac:dyDescent="0.25">
      <c r="A114" s="4" t="str">
        <f t="shared" si="8"/>
        <v>Green Tea|16 oz|50%</v>
      </c>
      <c r="B114" s="4" t="s">
        <v>78</v>
      </c>
      <c r="C114" s="4" t="s">
        <v>5</v>
      </c>
      <c r="D114" s="4" t="s">
        <v>7</v>
      </c>
      <c r="E114" s="63">
        <v>0</v>
      </c>
      <c r="F114" s="63">
        <v>135</v>
      </c>
      <c r="G114" s="63">
        <v>0</v>
      </c>
      <c r="H114" s="63">
        <v>44</v>
      </c>
      <c r="I114" s="63">
        <v>16</v>
      </c>
      <c r="J114" s="63">
        <f>ROUND(0+$AD$2*F114,1)</f>
        <v>17.3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240</v>
      </c>
      <c r="T114" s="63">
        <v>0</v>
      </c>
      <c r="U114" s="63">
        <v>0</v>
      </c>
      <c r="V114" s="65">
        <f t="shared" si="7"/>
        <v>212.3</v>
      </c>
      <c r="W114" s="8">
        <f>ROUND(E114*ต้นทุนและราคา!$C$4+F114*ต้นทุนและราคา!$C$5+G114*ต้นทุนและราคา!$C$6+H114*ต้นทุนและราคา!$C$7+I114*ต้นทุนและราคา!$C$8+J114*ต้นทุนและราคา!$C$9+K114*ต้นทุนและราคา!$C$10+L114*ต้นทุนและราคา!$C$11+M114*ต้นทุนและราคา!$C$12+N114*ต้นทุนและราคา!$C$13+O114*ต้นทุนและราคา!$C$14+P114*ต้นทุนและราคา!$C$15+Q114*ต้นทุนและราคา!$C$16+R114*ต้นทุนและราคา!$C$17+S114*ต้นทุนและราคา!$C$18+T114*ต้นทุนและราคา!$C$19+U114*ต้นทุนและราคา!$C$20+IF($C114="16 oz",ต้นทุนและราคา!$C$21,IF($C114="20 oz",ต้นทุนและราคา!$C$22,ต้นทุนและราคา!$C$23)),2)</f>
        <v>15.3</v>
      </c>
      <c r="X114" s="64" cm="1">
        <f t="array" ref="X114">IFERROR(INDEX(ต้นทุนและราคา!$C$26:$E$101,MATCH($B114,ต้นทุนและราคา!$A$26:$A$101,0),IF($C114="16 oz",1,IF($C114="20 oz",2,3))),"")</f>
        <v>45</v>
      </c>
      <c r="Y114" s="66">
        <f t="shared" si="9"/>
        <v>0.66</v>
      </c>
      <c r="Z114" s="48" t="s">
        <v>1219</v>
      </c>
    </row>
    <row r="115" spans="1:26" x14ac:dyDescent="0.25">
      <c r="A115" s="4" t="str">
        <f t="shared" si="8"/>
        <v>Green Tea|16 oz|75%</v>
      </c>
      <c r="B115" s="4" t="s">
        <v>78</v>
      </c>
      <c r="C115" s="4" t="s">
        <v>5</v>
      </c>
      <c r="D115" s="4" t="s">
        <v>65</v>
      </c>
      <c r="E115" s="63">
        <v>0</v>
      </c>
      <c r="F115" s="63">
        <v>135</v>
      </c>
      <c r="G115" s="63">
        <v>0</v>
      </c>
      <c r="H115" s="63">
        <v>38</v>
      </c>
      <c r="I115" s="63">
        <v>24</v>
      </c>
      <c r="J115" s="63">
        <f>ROUND(0+$AD$2*F115,1)</f>
        <v>17.3</v>
      </c>
      <c r="K115" s="63">
        <v>0</v>
      </c>
      <c r="L115" s="63">
        <v>0</v>
      </c>
      <c r="M115" s="63">
        <v>0</v>
      </c>
      <c r="N115" s="63">
        <v>0</v>
      </c>
      <c r="O115" s="63">
        <v>0</v>
      </c>
      <c r="P115" s="63">
        <v>0</v>
      </c>
      <c r="Q115" s="63">
        <v>0</v>
      </c>
      <c r="R115" s="63">
        <v>0</v>
      </c>
      <c r="S115" s="63">
        <v>240</v>
      </c>
      <c r="T115" s="63">
        <v>0</v>
      </c>
      <c r="U115" s="63">
        <v>0</v>
      </c>
      <c r="V115" s="65">
        <f t="shared" si="7"/>
        <v>214.3</v>
      </c>
      <c r="W115" s="8">
        <f>ROUND(E115*ต้นทุนและราคา!$C$4+F115*ต้นทุนและราคา!$C$5+G115*ต้นทุนและราคา!$C$6+H115*ต้นทุนและราคา!$C$7+I115*ต้นทุนและราคา!$C$8+J115*ต้นทุนและราคา!$C$9+K115*ต้นทุนและราคา!$C$10+L115*ต้นทุนและราคา!$C$11+M115*ต้นทุนและราคา!$C$12+N115*ต้นทุนและราคา!$C$13+O115*ต้นทุนและราคา!$C$14+P115*ต้นทุนและราคา!$C$15+Q115*ต้นทุนและราคา!$C$16+R115*ต้นทุนและราคา!$C$17+S115*ต้นทุนและราคา!$C$18+T115*ต้นทุนและราคา!$C$19+U115*ต้นทุนและราคา!$C$20+IF($C115="16 oz",ต้นทุนและราคา!$C$21,IF($C115="20 oz",ต้นทุนและราคา!$C$22,ต้นทุนและราคา!$C$23)),2)</f>
        <v>15.41</v>
      </c>
      <c r="X115" s="64" cm="1">
        <f t="array" ref="X115">IFERROR(INDEX(ต้นทุนและราคา!$C$26:$E$101,MATCH($B115,ต้นทุนและราคา!$A$26:$A$101,0),IF($C115="16 oz",1,IF($C115="20 oz",2,3))),"")</f>
        <v>45</v>
      </c>
      <c r="Y115" s="66">
        <f t="shared" si="9"/>
        <v>0.65755555555555556</v>
      </c>
      <c r="Z115" s="48" t="s">
        <v>1219</v>
      </c>
    </row>
    <row r="116" spans="1:26" x14ac:dyDescent="0.25">
      <c r="A116" s="4" t="str">
        <f t="shared" si="8"/>
        <v>Green Tea|16 oz|100%</v>
      </c>
      <c r="B116" s="4" t="s">
        <v>78</v>
      </c>
      <c r="C116" s="4" t="s">
        <v>5</v>
      </c>
      <c r="D116" s="4" t="s">
        <v>66</v>
      </c>
      <c r="E116" s="63">
        <v>0</v>
      </c>
      <c r="F116" s="63">
        <v>135</v>
      </c>
      <c r="G116" s="63">
        <v>0</v>
      </c>
      <c r="H116" s="63">
        <v>32</v>
      </c>
      <c r="I116" s="63">
        <v>32</v>
      </c>
      <c r="J116" s="63">
        <f>ROUND(0+$AD$2*F116,1)</f>
        <v>17.3</v>
      </c>
      <c r="K116" s="63">
        <v>0</v>
      </c>
      <c r="L116" s="63">
        <v>0</v>
      </c>
      <c r="M116" s="63">
        <v>0</v>
      </c>
      <c r="N116" s="63">
        <v>0</v>
      </c>
      <c r="O116" s="63">
        <v>0</v>
      </c>
      <c r="P116" s="63">
        <v>0</v>
      </c>
      <c r="Q116" s="63">
        <v>0</v>
      </c>
      <c r="R116" s="63">
        <v>0</v>
      </c>
      <c r="S116" s="63">
        <v>240</v>
      </c>
      <c r="T116" s="63">
        <v>0</v>
      </c>
      <c r="U116" s="63">
        <v>0</v>
      </c>
      <c r="V116" s="65">
        <f t="shared" si="7"/>
        <v>216.3</v>
      </c>
      <c r="W116" s="8">
        <f>ROUND(E116*ต้นทุนและราคา!$C$4+F116*ต้นทุนและราคา!$C$5+G116*ต้นทุนและราคา!$C$6+H116*ต้นทุนและราคา!$C$7+I116*ต้นทุนและราคา!$C$8+J116*ต้นทุนและราคา!$C$9+K116*ต้นทุนและราคา!$C$10+L116*ต้นทุนและราคา!$C$11+M116*ต้นทุนและราคา!$C$12+N116*ต้นทุนและราคา!$C$13+O116*ต้นทุนและราคา!$C$14+P116*ต้นทุนและราคา!$C$15+Q116*ต้นทุนและราคา!$C$16+R116*ต้นทุนและราคา!$C$17+S116*ต้นทุนและราคา!$C$18+T116*ต้นทุนและราคา!$C$19+U116*ต้นทุนและราคา!$C$20+IF($C116="16 oz",ต้นทุนและราคา!$C$21,IF($C116="20 oz",ต้นทุนและราคา!$C$22,ต้นทุนและราคา!$C$23)),2)</f>
        <v>15.52</v>
      </c>
      <c r="X116" s="64" cm="1">
        <f t="array" ref="X116">IFERROR(INDEX(ต้นทุนและราคา!$C$26:$E$101,MATCH($B116,ต้นทุนและราคา!$A$26:$A$101,0),IF($C116="16 oz",1,IF($C116="20 oz",2,3))),"")</f>
        <v>45</v>
      </c>
      <c r="Y116" s="66">
        <f t="shared" si="9"/>
        <v>0.65511111111111109</v>
      </c>
      <c r="Z116" s="48" t="s">
        <v>1219</v>
      </c>
    </row>
    <row r="117" spans="1:26" x14ac:dyDescent="0.25">
      <c r="A117" s="4" t="str">
        <f t="shared" si="8"/>
        <v>Green Tea|22 oz|0%</v>
      </c>
      <c r="B117" s="4" t="s">
        <v>78</v>
      </c>
      <c r="C117" s="4" t="s">
        <v>67</v>
      </c>
      <c r="D117" s="4" t="s">
        <v>63</v>
      </c>
      <c r="E117" s="63">
        <v>0</v>
      </c>
      <c r="F117" s="63">
        <v>185.5</v>
      </c>
      <c r="G117" s="63">
        <v>0</v>
      </c>
      <c r="H117" s="63">
        <v>77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330</v>
      </c>
      <c r="T117" s="63">
        <v>0</v>
      </c>
      <c r="U117" s="63">
        <v>0</v>
      </c>
      <c r="V117" s="65">
        <f t="shared" si="7"/>
        <v>262.5</v>
      </c>
      <c r="W117" s="8">
        <f>ROUND(E117*ต้นทุนและราคา!$C$4+F117*ต้นทุนและราคา!$C$5+G117*ต้นทุนและราคา!$C$6+H117*ต้นทุนและราคา!$C$7+I117*ต้นทุนและราคา!$C$8+J117*ต้นทุนและราคา!$C$9+K117*ต้นทุนและราคา!$C$10+L117*ต้นทุนและราคา!$C$11+M117*ต้นทุนและราคา!$C$12+N117*ต้นทุนและราคา!$C$13+O117*ต้นทุนและราคา!$C$14+P117*ต้นทุนและราคา!$C$15+Q117*ต้นทุนและราคา!$C$16+R117*ต้นทุนและราคา!$C$17+S117*ต้นทุนและราคา!$C$18+T117*ต้นทุนและราคา!$C$19+U117*ต้นทุนและราคา!$C$20+IF($C117="16 oz",ต้นทุนและราคา!$C$21,IF($C117="20 oz",ต้นทุนและราคา!$C$22,ต้นทุนและราคา!$C$23)),2)</f>
        <v>19.64</v>
      </c>
      <c r="X117" s="64" cm="1">
        <f t="array" ref="X117">IFERROR(INDEX(ต้นทุนและราคา!$C$26:$E$101,MATCH($B117,ต้นทุนและราคา!$A$26:$A$101,0),IF($C117="16 oz",1,IF($C117="20 oz",2,3))),"")</f>
        <v>55</v>
      </c>
      <c r="Y117" s="66">
        <f t="shared" si="9"/>
        <v>0.64290909090909087</v>
      </c>
      <c r="Z117" s="48" t="s">
        <v>1218</v>
      </c>
    </row>
    <row r="118" spans="1:26" x14ac:dyDescent="0.25">
      <c r="A118" s="4" t="str">
        <f t="shared" si="8"/>
        <v>Green Tea|22 oz|25%</v>
      </c>
      <c r="B118" s="4" t="s">
        <v>78</v>
      </c>
      <c r="C118" s="4" t="s">
        <v>67</v>
      </c>
      <c r="D118" s="4" t="s">
        <v>64</v>
      </c>
      <c r="E118" s="63">
        <v>0</v>
      </c>
      <c r="F118" s="63">
        <v>185.5</v>
      </c>
      <c r="G118" s="63">
        <v>0</v>
      </c>
      <c r="H118" s="63">
        <v>69</v>
      </c>
      <c r="I118" s="63">
        <v>11</v>
      </c>
      <c r="J118" s="63">
        <f>ROUND(0+$AD$2*F118,1)</f>
        <v>23.7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330</v>
      </c>
      <c r="T118" s="63">
        <v>0</v>
      </c>
      <c r="U118" s="63">
        <v>0</v>
      </c>
      <c r="V118" s="65">
        <f t="shared" si="7"/>
        <v>289.2</v>
      </c>
      <c r="W118" s="8">
        <f>ROUND(E118*ต้นทุนและราคา!$C$4+F118*ต้นทุนและราคา!$C$5+G118*ต้นทุนและราคา!$C$6+H118*ต้นทุนและราคา!$C$7+I118*ต้นทุนและราคา!$C$8+J118*ต้นทุนและราคา!$C$9+K118*ต้นทุนและราคา!$C$10+L118*ต้นทุนและราคา!$C$11+M118*ต้นทุนและราคา!$C$12+N118*ต้นทุนและราคา!$C$13+O118*ต้นทุนและราคา!$C$14+P118*ต้นทุนและราคา!$C$15+Q118*ต้นทุนและราคา!$C$16+R118*ต้นทุนและราคา!$C$17+S118*ต้นทุนและราคา!$C$18+T118*ต้นทุนและราคา!$C$19+U118*ต้นทุนและราคา!$C$20+IF($C118="16 oz",ต้นทุนและราคา!$C$21,IF($C118="20 oz",ต้นทุนและราคา!$C$22,ต้นทุนและราคา!$C$23)),2)</f>
        <v>20.2</v>
      </c>
      <c r="X118" s="64" cm="1">
        <f t="array" ref="X118">IFERROR(INDEX(ต้นทุนและราคา!$C$26:$E$101,MATCH($B118,ต้นทุนและราคา!$A$26:$A$101,0),IF($C118="16 oz",1,IF($C118="20 oz",2,3))),"")</f>
        <v>55</v>
      </c>
      <c r="Y118" s="66">
        <f t="shared" si="9"/>
        <v>0.63272727272727269</v>
      </c>
      <c r="Z118" s="48" t="s">
        <v>1219</v>
      </c>
    </row>
    <row r="119" spans="1:26" x14ac:dyDescent="0.25">
      <c r="A119" s="4" t="str">
        <f t="shared" si="8"/>
        <v>Green Tea|22 oz|50%</v>
      </c>
      <c r="B119" s="4" t="s">
        <v>78</v>
      </c>
      <c r="C119" s="4" t="s">
        <v>67</v>
      </c>
      <c r="D119" s="4" t="s">
        <v>7</v>
      </c>
      <c r="E119" s="63">
        <v>0</v>
      </c>
      <c r="F119" s="63">
        <v>185.5</v>
      </c>
      <c r="G119" s="63">
        <v>0</v>
      </c>
      <c r="H119" s="63">
        <v>60.5</v>
      </c>
      <c r="I119" s="63">
        <v>22</v>
      </c>
      <c r="J119" s="63">
        <f>ROUND(0+$AD$2*F119,1)</f>
        <v>23.7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330</v>
      </c>
      <c r="T119" s="63">
        <v>0</v>
      </c>
      <c r="U119" s="63">
        <v>0</v>
      </c>
      <c r="V119" s="65">
        <f t="shared" si="7"/>
        <v>291.7</v>
      </c>
      <c r="W119" s="8">
        <f>ROUND(E119*ต้นทุนและราคา!$C$4+F119*ต้นทุนและราคา!$C$5+G119*ต้นทุนและราคา!$C$6+H119*ต้นทุนและราคา!$C$7+I119*ต้นทุนและราคา!$C$8+J119*ต้นทุนและราคา!$C$9+K119*ต้นทุนและราคา!$C$10+L119*ต้นทุนและราคา!$C$11+M119*ต้นทุนและราคา!$C$12+N119*ต้นทุนและราคา!$C$13+O119*ต้นทุนและราคา!$C$14+P119*ต้นทุนและราคา!$C$15+Q119*ต้นทุนและราคา!$C$16+R119*ต้นทุนและราคา!$C$17+S119*ต้นทุนและราคา!$C$18+T119*ต้นทุนและราคา!$C$19+U119*ต้นทุนและราคา!$C$20+IF($C119="16 oz",ต้นทุนและราคา!$C$21,IF($C119="20 oz",ต้นทุนและราคา!$C$22,ต้นทุนและราคา!$C$23)),2)</f>
        <v>20.34</v>
      </c>
      <c r="X119" s="64" cm="1">
        <f t="array" ref="X119">IFERROR(INDEX(ต้นทุนและราคา!$C$26:$E$101,MATCH($B119,ต้นทุนและราคา!$A$26:$A$101,0),IF($C119="16 oz",1,IF($C119="20 oz",2,3))),"")</f>
        <v>55</v>
      </c>
      <c r="Y119" s="66">
        <f t="shared" si="9"/>
        <v>0.63018181818181807</v>
      </c>
      <c r="Z119" s="48" t="s">
        <v>1219</v>
      </c>
    </row>
    <row r="120" spans="1:26" x14ac:dyDescent="0.25">
      <c r="A120" s="4" t="str">
        <f t="shared" si="8"/>
        <v>Green Tea|22 oz|75%</v>
      </c>
      <c r="B120" s="4" t="s">
        <v>78</v>
      </c>
      <c r="C120" s="4" t="s">
        <v>67</v>
      </c>
      <c r="D120" s="4" t="s">
        <v>65</v>
      </c>
      <c r="E120" s="63">
        <v>0</v>
      </c>
      <c r="F120" s="63">
        <v>185.5</v>
      </c>
      <c r="G120" s="63">
        <v>0</v>
      </c>
      <c r="H120" s="63">
        <v>52</v>
      </c>
      <c r="I120" s="63">
        <v>33</v>
      </c>
      <c r="J120" s="63">
        <f>ROUND(0+$AD$2*F120,1)</f>
        <v>23.7</v>
      </c>
      <c r="K120" s="63">
        <v>0</v>
      </c>
      <c r="L120" s="63">
        <v>0</v>
      </c>
      <c r="M120" s="63">
        <v>0</v>
      </c>
      <c r="N120" s="63">
        <v>0</v>
      </c>
      <c r="O120" s="63">
        <v>0</v>
      </c>
      <c r="P120" s="63">
        <v>0</v>
      </c>
      <c r="Q120" s="63">
        <v>0</v>
      </c>
      <c r="R120" s="63">
        <v>0</v>
      </c>
      <c r="S120" s="63">
        <v>330</v>
      </c>
      <c r="T120" s="63">
        <v>0</v>
      </c>
      <c r="U120" s="63">
        <v>0</v>
      </c>
      <c r="V120" s="65">
        <f t="shared" si="7"/>
        <v>294.2</v>
      </c>
      <c r="W120" s="8">
        <f>ROUND(E120*ต้นทุนและราคา!$C$4+F120*ต้นทุนและราคา!$C$5+G120*ต้นทุนและราคา!$C$6+H120*ต้นทุนและราคา!$C$7+I120*ต้นทุนและราคา!$C$8+J120*ต้นทุนและราคา!$C$9+K120*ต้นทุนและราคา!$C$10+L120*ต้นทุนและราคา!$C$11+M120*ต้นทุนและราคา!$C$12+N120*ต้นทุนและราคา!$C$13+O120*ต้นทุนและราคา!$C$14+P120*ต้นทุนและราคา!$C$15+Q120*ต้นทุนและราคา!$C$16+R120*ต้นทุนและราคา!$C$17+S120*ต้นทุนและราคา!$C$18+T120*ต้นทุนและราคา!$C$19+U120*ต้นทุนและราคา!$C$20+IF($C120="16 oz",ต้นทุนและราคา!$C$21,IF($C120="20 oz",ต้นทุนและราคา!$C$22,ต้นทุนและราคา!$C$23)),2)</f>
        <v>20.47</v>
      </c>
      <c r="X120" s="64" cm="1">
        <f t="array" ref="X120">IFERROR(INDEX(ต้นทุนและราคา!$C$26:$E$101,MATCH($B120,ต้นทุนและราคา!$A$26:$A$101,0),IF($C120="16 oz",1,IF($C120="20 oz",2,3))),"")</f>
        <v>55</v>
      </c>
      <c r="Y120" s="66">
        <f t="shared" si="9"/>
        <v>0.62781818181818183</v>
      </c>
      <c r="Z120" s="48" t="s">
        <v>1219</v>
      </c>
    </row>
    <row r="121" spans="1:26" x14ac:dyDescent="0.25">
      <c r="A121" s="4" t="str">
        <f t="shared" si="8"/>
        <v>Green Tea|22 oz|100%</v>
      </c>
      <c r="B121" s="4" t="s">
        <v>78</v>
      </c>
      <c r="C121" s="4" t="s">
        <v>67</v>
      </c>
      <c r="D121" s="4" t="s">
        <v>66</v>
      </c>
      <c r="E121" s="63">
        <v>0</v>
      </c>
      <c r="F121" s="63">
        <v>185.5</v>
      </c>
      <c r="G121" s="63">
        <v>0</v>
      </c>
      <c r="H121" s="63">
        <v>44</v>
      </c>
      <c r="I121" s="63">
        <v>44</v>
      </c>
      <c r="J121" s="63">
        <f>ROUND(0+$AD$2*F121,1)</f>
        <v>23.7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330</v>
      </c>
      <c r="T121" s="63">
        <v>0</v>
      </c>
      <c r="U121" s="63">
        <v>0</v>
      </c>
      <c r="V121" s="65">
        <f t="shared" si="7"/>
        <v>297.2</v>
      </c>
      <c r="W121" s="8">
        <f>ROUND(E121*ต้นทุนและราคา!$C$4+F121*ต้นทุนและราคา!$C$5+G121*ต้นทุนและราคา!$C$6+H121*ต้นทุนและราคา!$C$7+I121*ต้นทุนและราคา!$C$8+J121*ต้นทุนและราคา!$C$9+K121*ต้นทุนและราคา!$C$10+L121*ต้นทุนและราคา!$C$11+M121*ต้นทุนและราคา!$C$12+N121*ต้นทุนและราคา!$C$13+O121*ต้นทุนและราคา!$C$14+P121*ต้นทุนและราคา!$C$15+Q121*ต้นทุนและราคา!$C$16+R121*ต้นทุนและราคา!$C$17+S121*ต้นทุนและราคา!$C$18+T121*ต้นทุนและราคา!$C$19+U121*ต้นทุนและราคา!$C$20+IF($C121="16 oz",ต้นทุนและราคา!$C$21,IF($C121="20 oz",ต้นทุนและราคา!$C$22,ต้นทุนและราคา!$C$23)),2)</f>
        <v>20.64</v>
      </c>
      <c r="X121" s="64" cm="1">
        <f t="array" ref="X121">IFERROR(INDEX(ต้นทุนและราคา!$C$26:$E$101,MATCH($B121,ต้นทุนและราคา!$A$26:$A$101,0),IF($C121="16 oz",1,IF($C121="20 oz",2,3))),"")</f>
        <v>55</v>
      </c>
      <c r="Y121" s="66">
        <f t="shared" si="9"/>
        <v>0.62472727272727269</v>
      </c>
      <c r="Z121" s="48" t="s">
        <v>1219</v>
      </c>
    </row>
    <row r="122" spans="1:26" x14ac:dyDescent="0.25">
      <c r="A122" s="4" t="str">
        <f t="shared" si="8"/>
        <v>Green Coconut|16 oz|0%</v>
      </c>
      <c r="B122" s="4" t="s">
        <v>79</v>
      </c>
      <c r="C122" s="4" t="s">
        <v>5</v>
      </c>
      <c r="D122" s="4" t="s">
        <v>63</v>
      </c>
      <c r="E122" s="63">
        <v>0</v>
      </c>
      <c r="F122" s="63">
        <v>105</v>
      </c>
      <c r="G122" s="63">
        <v>0</v>
      </c>
      <c r="H122" s="63">
        <v>10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95</v>
      </c>
      <c r="O122" s="63">
        <v>0</v>
      </c>
      <c r="P122" s="63">
        <v>0</v>
      </c>
      <c r="Q122" s="63">
        <v>0</v>
      </c>
      <c r="R122" s="63">
        <v>0</v>
      </c>
      <c r="S122" s="63">
        <v>220</v>
      </c>
      <c r="T122" s="63">
        <v>0</v>
      </c>
      <c r="U122" s="63">
        <v>0</v>
      </c>
      <c r="V122" s="65">
        <f t="shared" si="7"/>
        <v>210</v>
      </c>
      <c r="W122" s="8">
        <f>ROUND(E122*ต้นทุนและราคา!$C$4+F122*ต้นทุนและราคา!$C$5+G122*ต้นทุนและราคา!$C$6+H122*ต้นทุนและราคา!$C$7+I122*ต้นทุนและราคา!$C$8+J122*ต้นทุนและราคา!$C$9+K122*ต้นทุนและราคา!$C$10+L122*ต้นทุนและราคา!$C$11+M122*ต้นทุนและราคา!$C$12+N122*ต้นทุนและราคา!$C$13+O122*ต้นทุนและราคา!$C$14+P122*ต้นทุนและราคา!$C$15+Q122*ต้นทุนและราคา!$C$16+R122*ต้นทุนและราคา!$C$17+S122*ต้นทุนและราคา!$C$18+T122*ต้นทุนและราคา!$C$19+U122*ต้นทุนและราคา!$C$20+IF($C122="16 oz",ต้นทุนและราคา!$C$21,IF($C122="20 oz",ต้นทุนและราคา!$C$22,ต้นทุนและราคา!$C$23)),2)</f>
        <v>17.36</v>
      </c>
      <c r="X122" s="64" cm="1">
        <f t="array" ref="X122">IFERROR(INDEX(ต้นทุนและราคา!$C$26:$E$101,MATCH($B122,ต้นทุนและราคา!$A$26:$A$101,0),IF($C122="16 oz",1,IF($C122="20 oz",2,3))),"")</f>
        <v>59</v>
      </c>
      <c r="Y122" s="66">
        <f t="shared" si="9"/>
        <v>0.70576271186440676</v>
      </c>
      <c r="Z122" s="48" t="s">
        <v>1220</v>
      </c>
    </row>
    <row r="123" spans="1:26" x14ac:dyDescent="0.25">
      <c r="A123" s="4" t="str">
        <f t="shared" si="8"/>
        <v>Green Coconut|16 oz|25%</v>
      </c>
      <c r="B123" s="4" t="s">
        <v>79</v>
      </c>
      <c r="C123" s="4" t="s">
        <v>5</v>
      </c>
      <c r="D123" s="4" t="s">
        <v>64</v>
      </c>
      <c r="E123" s="63">
        <v>0</v>
      </c>
      <c r="F123" s="63">
        <v>105</v>
      </c>
      <c r="G123" s="63">
        <v>0</v>
      </c>
      <c r="H123" s="63">
        <v>10</v>
      </c>
      <c r="I123" s="63">
        <v>5</v>
      </c>
      <c r="J123" s="63">
        <f>ROUND(0+$AD$2*F123,1)</f>
        <v>13.4</v>
      </c>
      <c r="K123" s="63">
        <v>0</v>
      </c>
      <c r="L123" s="63">
        <v>0</v>
      </c>
      <c r="M123" s="63">
        <v>0</v>
      </c>
      <c r="N123" s="63">
        <f>ROUND(95-$AD$2*F123,1)</f>
        <v>81.599999999999994</v>
      </c>
      <c r="O123" s="63">
        <v>0</v>
      </c>
      <c r="P123" s="63">
        <v>0</v>
      </c>
      <c r="Q123" s="63">
        <v>0</v>
      </c>
      <c r="R123" s="63">
        <v>0</v>
      </c>
      <c r="S123" s="63">
        <v>220</v>
      </c>
      <c r="T123" s="63">
        <v>0</v>
      </c>
      <c r="U123" s="63">
        <v>0</v>
      </c>
      <c r="V123" s="65">
        <f t="shared" si="7"/>
        <v>215</v>
      </c>
      <c r="W123" s="8">
        <f>ROUND(E123*ต้นทุนและราคา!$C$4+F123*ต้นทุนและราคา!$C$5+G123*ต้นทุนและราคา!$C$6+H123*ต้นทุนและราคา!$C$7+I123*ต้นทุนและราคา!$C$8+J123*ต้นทุนและราคา!$C$9+K123*ต้นทุนและราคา!$C$10+L123*ต้นทุนและราคา!$C$11+M123*ต้นทุนและราคา!$C$12+N123*ต้นทุนและราคา!$C$13+O123*ต้นทุนและราคา!$C$14+P123*ต้นทุนและราคา!$C$15+Q123*ต้นทุนและราคา!$C$16+R123*ต้นทุนและราคา!$C$17+S123*ต้นทุนและราคา!$C$18+T123*ต้นทุนและราคา!$C$19+U123*ต้นทุนและราคา!$C$20+IF($C123="16 oz",ต้นทุนและราคา!$C$21,IF($C123="20 oz",ต้นทุนและราคา!$C$22,ต้นทุนและราคา!$C$23)),2)</f>
        <v>16.95</v>
      </c>
      <c r="X123" s="64" cm="1">
        <f t="array" ref="X123">IFERROR(INDEX(ต้นทุนและราคา!$C$26:$E$101,MATCH($B123,ต้นทุนและราคา!$A$26:$A$101,0),IF($C123="16 oz",1,IF($C123="20 oz",2,3))),"")</f>
        <v>59</v>
      </c>
      <c r="Y123" s="66">
        <f t="shared" si="9"/>
        <v>0.71271186440677958</v>
      </c>
      <c r="Z123" s="48" t="s">
        <v>1252</v>
      </c>
    </row>
    <row r="124" spans="1:26" x14ac:dyDescent="0.25">
      <c r="A124" s="4" t="str">
        <f t="shared" si="8"/>
        <v>Green Coconut|16 oz|50%</v>
      </c>
      <c r="B124" s="4" t="s">
        <v>79</v>
      </c>
      <c r="C124" s="4" t="s">
        <v>5</v>
      </c>
      <c r="D124" s="4" t="s">
        <v>7</v>
      </c>
      <c r="E124" s="63">
        <v>0</v>
      </c>
      <c r="F124" s="63">
        <v>105</v>
      </c>
      <c r="G124" s="63">
        <v>0</v>
      </c>
      <c r="H124" s="63">
        <v>10</v>
      </c>
      <c r="I124" s="63">
        <v>10</v>
      </c>
      <c r="J124" s="63">
        <f>ROUND(0+$AD$2*F124,1)</f>
        <v>13.4</v>
      </c>
      <c r="K124" s="63">
        <v>0</v>
      </c>
      <c r="L124" s="63">
        <v>0</v>
      </c>
      <c r="M124" s="63">
        <v>0</v>
      </c>
      <c r="N124" s="63">
        <f>ROUND(95-$AD$2*F124,1)</f>
        <v>81.599999999999994</v>
      </c>
      <c r="O124" s="63">
        <v>0</v>
      </c>
      <c r="P124" s="63">
        <v>0</v>
      </c>
      <c r="Q124" s="63">
        <v>0</v>
      </c>
      <c r="R124" s="63">
        <v>0</v>
      </c>
      <c r="S124" s="63">
        <v>220</v>
      </c>
      <c r="T124" s="63">
        <v>0</v>
      </c>
      <c r="U124" s="63">
        <v>0</v>
      </c>
      <c r="V124" s="65">
        <f t="shared" si="7"/>
        <v>220</v>
      </c>
      <c r="W124" s="8">
        <f>ROUND(E124*ต้นทุนและราคา!$C$4+F124*ต้นทุนและราคา!$C$5+G124*ต้นทุนและราคา!$C$6+H124*ต้นทุนและราคา!$C$7+I124*ต้นทุนและราคา!$C$8+J124*ต้นทุนและราคา!$C$9+K124*ต้นทุนและราคา!$C$10+L124*ต้นทุนและราคา!$C$11+M124*ต้นทุนและราคา!$C$12+N124*ต้นทุนและราคา!$C$13+O124*ต้นทุนและราคา!$C$14+P124*ต้นทุนและราคา!$C$15+Q124*ต้นทุนและราคา!$C$16+R124*ต้นทุนและราคา!$C$17+S124*ต้นทุนและราคา!$C$18+T124*ต้นทุนและราคา!$C$19+U124*ต้นทุนและราคา!$C$20+IF($C124="16 oz",ต้นทุนและราคา!$C$21,IF($C124="20 oz",ต้นทุนและราคา!$C$22,ต้นทุนและราคา!$C$23)),2)</f>
        <v>17.29</v>
      </c>
      <c r="X124" s="64" cm="1">
        <f t="array" ref="X124">IFERROR(INDEX(ต้นทุนและราคา!$C$26:$E$101,MATCH($B124,ต้นทุนและราคา!$A$26:$A$101,0),IF($C124="16 oz",1,IF($C124="20 oz",2,3))),"")</f>
        <v>59</v>
      </c>
      <c r="Y124" s="66">
        <f t="shared" si="9"/>
        <v>0.70694915254237289</v>
      </c>
      <c r="Z124" s="48" t="s">
        <v>1252</v>
      </c>
    </row>
    <row r="125" spans="1:26" x14ac:dyDescent="0.25">
      <c r="A125" s="4" t="str">
        <f t="shared" si="8"/>
        <v>Green Coconut|16 oz|75%</v>
      </c>
      <c r="B125" s="4" t="s">
        <v>79</v>
      </c>
      <c r="C125" s="4" t="s">
        <v>5</v>
      </c>
      <c r="D125" s="4" t="s">
        <v>65</v>
      </c>
      <c r="E125" s="63">
        <v>0</v>
      </c>
      <c r="F125" s="63">
        <v>105</v>
      </c>
      <c r="G125" s="63">
        <v>0</v>
      </c>
      <c r="H125" s="63">
        <v>10</v>
      </c>
      <c r="I125" s="63">
        <v>15</v>
      </c>
      <c r="J125" s="63">
        <f>ROUND(0+$AD$2*F125,1)</f>
        <v>13.4</v>
      </c>
      <c r="K125" s="63">
        <v>0</v>
      </c>
      <c r="L125" s="63">
        <v>0</v>
      </c>
      <c r="M125" s="63">
        <v>0</v>
      </c>
      <c r="N125" s="63">
        <f>ROUND(95-$AD$2*F125,1)</f>
        <v>81.599999999999994</v>
      </c>
      <c r="O125" s="63">
        <v>0</v>
      </c>
      <c r="P125" s="63">
        <v>0</v>
      </c>
      <c r="Q125" s="63">
        <v>0</v>
      </c>
      <c r="R125" s="63">
        <v>0</v>
      </c>
      <c r="S125" s="63">
        <v>220</v>
      </c>
      <c r="T125" s="63">
        <v>0</v>
      </c>
      <c r="U125" s="63">
        <v>0</v>
      </c>
      <c r="V125" s="65">
        <f t="shared" si="7"/>
        <v>225</v>
      </c>
      <c r="W125" s="8">
        <f>ROUND(E125*ต้นทุนและราคา!$C$4+F125*ต้นทุนและราคา!$C$5+G125*ต้นทุนและราคา!$C$6+H125*ต้นทุนและราคา!$C$7+I125*ต้นทุนและราคา!$C$8+J125*ต้นทุนและราคา!$C$9+K125*ต้นทุนและราคา!$C$10+L125*ต้นทุนและราคา!$C$11+M125*ต้นทุนและราคา!$C$12+N125*ต้นทุนและราคา!$C$13+O125*ต้นทุนและราคา!$C$14+P125*ต้นทุนและราคา!$C$15+Q125*ต้นทุนและราคา!$C$16+R125*ต้นทุนและราคา!$C$17+S125*ต้นทุนและราคา!$C$18+T125*ต้นทุนและราคา!$C$19+U125*ต้นทุนและราคา!$C$20+IF($C125="16 oz",ต้นทุนและราคา!$C$21,IF($C125="20 oz",ต้นทุนและราคา!$C$22,ต้นทุนและราคา!$C$23)),2)</f>
        <v>17.64</v>
      </c>
      <c r="X125" s="64" cm="1">
        <f t="array" ref="X125">IFERROR(INDEX(ต้นทุนและราคา!$C$26:$E$101,MATCH($B125,ต้นทุนและราคา!$A$26:$A$101,0),IF($C125="16 oz",1,IF($C125="20 oz",2,3))),"")</f>
        <v>59</v>
      </c>
      <c r="Y125" s="66">
        <f t="shared" si="9"/>
        <v>0.70101694915254231</v>
      </c>
      <c r="Z125" s="48" t="s">
        <v>1252</v>
      </c>
    </row>
    <row r="126" spans="1:26" x14ac:dyDescent="0.25">
      <c r="A126" s="4" t="str">
        <f t="shared" si="8"/>
        <v>Green Coconut|16 oz|100%</v>
      </c>
      <c r="B126" s="4" t="s">
        <v>79</v>
      </c>
      <c r="C126" s="4" t="s">
        <v>5</v>
      </c>
      <c r="D126" s="4" t="s">
        <v>66</v>
      </c>
      <c r="E126" s="63">
        <v>0</v>
      </c>
      <c r="F126" s="63">
        <v>105</v>
      </c>
      <c r="G126" s="63">
        <v>0</v>
      </c>
      <c r="H126" s="63">
        <v>10</v>
      </c>
      <c r="I126" s="63">
        <v>20</v>
      </c>
      <c r="J126" s="63">
        <f>ROUND(0+$AD$2*F126,1)</f>
        <v>13.4</v>
      </c>
      <c r="K126" s="63">
        <v>0</v>
      </c>
      <c r="L126" s="63">
        <v>0</v>
      </c>
      <c r="M126" s="63">
        <v>0</v>
      </c>
      <c r="N126" s="63">
        <f>ROUND(95-$AD$2*F126,1)</f>
        <v>81.599999999999994</v>
      </c>
      <c r="O126" s="63">
        <v>0</v>
      </c>
      <c r="P126" s="63">
        <v>0</v>
      </c>
      <c r="Q126" s="63">
        <v>0</v>
      </c>
      <c r="R126" s="63">
        <v>0</v>
      </c>
      <c r="S126" s="63">
        <v>220</v>
      </c>
      <c r="T126" s="63">
        <v>0</v>
      </c>
      <c r="U126" s="63">
        <v>0</v>
      </c>
      <c r="V126" s="65">
        <f t="shared" si="7"/>
        <v>230</v>
      </c>
      <c r="W126" s="8">
        <f>ROUND(E126*ต้นทุนและราคา!$C$4+F126*ต้นทุนและราคา!$C$5+G126*ต้นทุนและราคา!$C$6+H126*ต้นทุนและราคา!$C$7+I126*ต้นทุนและราคา!$C$8+J126*ต้นทุนและราคา!$C$9+K126*ต้นทุนและราคา!$C$10+L126*ต้นทุนและราคา!$C$11+M126*ต้นทุนและราคา!$C$12+N126*ต้นทุนและราคา!$C$13+O126*ต้นทุนและราคา!$C$14+P126*ต้นทุนและราคา!$C$15+Q126*ต้นทุนและราคา!$C$16+R126*ต้นทุนและราคา!$C$17+S126*ต้นทุนและราคา!$C$18+T126*ต้นทุนและราคา!$C$19+U126*ต้นทุนและราคา!$C$20+IF($C126="16 oz",ต้นทุนและราคา!$C$21,IF($C126="20 oz",ต้นทุนและราคา!$C$22,ต้นทุนและราคา!$C$23)),2)</f>
        <v>17.989999999999998</v>
      </c>
      <c r="X126" s="64" cm="1">
        <f t="array" ref="X126">IFERROR(INDEX(ต้นทุนและราคา!$C$26:$E$101,MATCH($B126,ต้นทุนและราคา!$A$26:$A$101,0),IF($C126="16 oz",1,IF($C126="20 oz",2,3))),"")</f>
        <v>59</v>
      </c>
      <c r="Y126" s="66">
        <f t="shared" si="9"/>
        <v>0.69508474576271195</v>
      </c>
      <c r="Z126" s="48" t="s">
        <v>1252</v>
      </c>
    </row>
    <row r="127" spans="1:26" x14ac:dyDescent="0.25">
      <c r="A127" s="4" t="str">
        <f t="shared" si="8"/>
        <v>Green Coconut|22 oz|0%</v>
      </c>
      <c r="B127" s="4" t="s">
        <v>79</v>
      </c>
      <c r="C127" s="4" t="s">
        <v>67</v>
      </c>
      <c r="D127" s="4" t="s">
        <v>63</v>
      </c>
      <c r="E127" s="63">
        <v>0</v>
      </c>
      <c r="F127" s="63">
        <v>144.5</v>
      </c>
      <c r="G127" s="63">
        <v>0</v>
      </c>
      <c r="H127" s="63">
        <v>14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130.5</v>
      </c>
      <c r="O127" s="63">
        <v>0</v>
      </c>
      <c r="P127" s="63">
        <v>0</v>
      </c>
      <c r="Q127" s="63">
        <v>0</v>
      </c>
      <c r="R127" s="63">
        <v>0</v>
      </c>
      <c r="S127" s="63">
        <v>300</v>
      </c>
      <c r="T127" s="63">
        <v>0</v>
      </c>
      <c r="U127" s="63">
        <v>0</v>
      </c>
      <c r="V127" s="65">
        <f t="shared" si="7"/>
        <v>289</v>
      </c>
      <c r="W127" s="8">
        <f>ROUND(E127*ต้นทุนและราคา!$C$4+F127*ต้นทุนและราคา!$C$5+G127*ต้นทุนและราคา!$C$6+H127*ต้นทุนและราคา!$C$7+I127*ต้นทุนและราคา!$C$8+J127*ต้นทุนและราคา!$C$9+K127*ต้นทุนและราคา!$C$10+L127*ต้นทุนและราคา!$C$11+M127*ต้นทุนและราคา!$C$12+N127*ต้นทุนและราคา!$C$13+O127*ต้นทุนและราคา!$C$14+P127*ต้นทุนและราคา!$C$15+Q127*ต้นทุนและราคา!$C$16+R127*ต้นทุนและราคา!$C$17+S127*ต้นทุนและราคา!$C$18+T127*ต้นทุนและราคา!$C$19+U127*ต้นทุนและราคา!$C$20+IF($C127="16 oz",ต้นทุนและราคา!$C$21,IF($C127="20 oz",ต้นทุนและราคา!$C$22,ต้นทุนและราคา!$C$23)),2)</f>
        <v>23.15</v>
      </c>
      <c r="X127" s="64" cm="1">
        <f t="array" ref="X127">IFERROR(INDEX(ต้นทุนและราคา!$C$26:$E$101,MATCH($B127,ต้นทุนและราคา!$A$26:$A$101,0),IF($C127="16 oz",1,IF($C127="20 oz",2,3))),"")</f>
        <v>69</v>
      </c>
      <c r="Y127" s="66">
        <f t="shared" si="9"/>
        <v>0.66449275362318838</v>
      </c>
      <c r="Z127" s="48" t="s">
        <v>1220</v>
      </c>
    </row>
    <row r="128" spans="1:26" x14ac:dyDescent="0.25">
      <c r="A128" s="4" t="str">
        <f t="shared" si="8"/>
        <v>Green Coconut|22 oz|25%</v>
      </c>
      <c r="B128" s="4" t="s">
        <v>79</v>
      </c>
      <c r="C128" s="4" t="s">
        <v>67</v>
      </c>
      <c r="D128" s="4" t="s">
        <v>64</v>
      </c>
      <c r="E128" s="63">
        <v>0</v>
      </c>
      <c r="F128" s="63">
        <v>144.5</v>
      </c>
      <c r="G128" s="63">
        <v>0</v>
      </c>
      <c r="H128" s="63">
        <v>14</v>
      </c>
      <c r="I128" s="63">
        <v>7</v>
      </c>
      <c r="J128" s="63">
        <f>ROUND(0+$AD$2*F128,1)</f>
        <v>18.5</v>
      </c>
      <c r="K128" s="63">
        <v>0</v>
      </c>
      <c r="L128" s="63">
        <v>0</v>
      </c>
      <c r="M128" s="63">
        <v>0</v>
      </c>
      <c r="N128" s="63">
        <f>ROUND(130.5-$AD$2*F128,1)</f>
        <v>112</v>
      </c>
      <c r="O128" s="63">
        <v>0</v>
      </c>
      <c r="P128" s="63">
        <v>0</v>
      </c>
      <c r="Q128" s="63">
        <v>0</v>
      </c>
      <c r="R128" s="63">
        <v>0</v>
      </c>
      <c r="S128" s="63">
        <v>300</v>
      </c>
      <c r="T128" s="63">
        <v>0</v>
      </c>
      <c r="U128" s="63">
        <v>0</v>
      </c>
      <c r="V128" s="65">
        <f t="shared" si="7"/>
        <v>296</v>
      </c>
      <c r="W128" s="8">
        <f>ROUND(E128*ต้นทุนและราคา!$C$4+F128*ต้นทุนและราคา!$C$5+G128*ต้นทุนและราคา!$C$6+H128*ต้นทุนและราคา!$C$7+I128*ต้นทุนและราคา!$C$8+J128*ต้นทุนและราคา!$C$9+K128*ต้นทุนและราคา!$C$10+L128*ต้นทุนและราคา!$C$11+M128*ต้นทุนและราคา!$C$12+N128*ต้นทุนและราคา!$C$13+O128*ต้นทุนและราคา!$C$14+P128*ต้นทุนและราคา!$C$15+Q128*ต้นทุนและราคา!$C$16+R128*ต้นทุนและราคา!$C$17+S128*ต้นทุนและราคา!$C$18+T128*ต้นทุนและราคา!$C$19+U128*ต้นทุนและราคา!$C$20+IF($C128="16 oz",ต้นทุนและราคา!$C$21,IF($C128="20 oz",ต้นทุนและราคา!$C$22,ต้นทุนและราคา!$C$23)),2)</f>
        <v>22.58</v>
      </c>
      <c r="X128" s="64" cm="1">
        <f t="array" ref="X128">IFERROR(INDEX(ต้นทุนและราคา!$C$26:$E$101,MATCH($B128,ต้นทุนและราคา!$A$26:$A$101,0),IF($C128="16 oz",1,IF($C128="20 oz",2,3))),"")</f>
        <v>69</v>
      </c>
      <c r="Y128" s="66">
        <f t="shared" si="9"/>
        <v>0.67275362318840581</v>
      </c>
      <c r="Z128" s="48" t="s">
        <v>1252</v>
      </c>
    </row>
    <row r="129" spans="1:26" x14ac:dyDescent="0.25">
      <c r="A129" s="4" t="str">
        <f t="shared" si="8"/>
        <v>Green Coconut|22 oz|50%</v>
      </c>
      <c r="B129" s="4" t="s">
        <v>79</v>
      </c>
      <c r="C129" s="4" t="s">
        <v>67</v>
      </c>
      <c r="D129" s="4" t="s">
        <v>7</v>
      </c>
      <c r="E129" s="63">
        <v>0</v>
      </c>
      <c r="F129" s="63">
        <v>144.5</v>
      </c>
      <c r="G129" s="63">
        <v>0</v>
      </c>
      <c r="H129" s="63">
        <v>14</v>
      </c>
      <c r="I129" s="63">
        <v>14</v>
      </c>
      <c r="J129" s="63">
        <f>ROUND(0+$AD$2*F129,1)</f>
        <v>18.5</v>
      </c>
      <c r="K129" s="63">
        <v>0</v>
      </c>
      <c r="L129" s="63">
        <v>0</v>
      </c>
      <c r="M129" s="63">
        <v>0</v>
      </c>
      <c r="N129" s="63">
        <f>ROUND(130.5-$AD$2*F129,1)</f>
        <v>112</v>
      </c>
      <c r="O129" s="63">
        <v>0</v>
      </c>
      <c r="P129" s="63">
        <v>0</v>
      </c>
      <c r="Q129" s="63">
        <v>0</v>
      </c>
      <c r="R129" s="63">
        <v>0</v>
      </c>
      <c r="S129" s="63">
        <v>300</v>
      </c>
      <c r="T129" s="63">
        <v>0</v>
      </c>
      <c r="U129" s="63">
        <v>0</v>
      </c>
      <c r="V129" s="65">
        <f t="shared" si="7"/>
        <v>303</v>
      </c>
      <c r="W129" s="8">
        <f>ROUND(E129*ต้นทุนและราคา!$C$4+F129*ต้นทุนและราคา!$C$5+G129*ต้นทุนและราคา!$C$6+H129*ต้นทุนและราคา!$C$7+I129*ต้นทุนและราคา!$C$8+J129*ต้นทุนและราคา!$C$9+K129*ต้นทุนและราคา!$C$10+L129*ต้นทุนและราคา!$C$11+M129*ต้นทุนและราคา!$C$12+N129*ต้นทุนและราคา!$C$13+O129*ต้นทุนและราคา!$C$14+P129*ต้นทุนและราคา!$C$15+Q129*ต้นทุนและราคา!$C$16+R129*ต้นทุนและราคา!$C$17+S129*ต้นทุนและราคา!$C$18+T129*ต้นทุนและราคา!$C$19+U129*ต้นทุนและราคา!$C$20+IF($C129="16 oz",ต้นทุนและราคา!$C$21,IF($C129="20 oz",ต้นทุนและราคา!$C$22,ต้นทุนและราคา!$C$23)),2)</f>
        <v>23.07</v>
      </c>
      <c r="X129" s="64" cm="1">
        <f t="array" ref="X129">IFERROR(INDEX(ต้นทุนและราคา!$C$26:$E$101,MATCH($B129,ต้นทุนและราคา!$A$26:$A$101,0),IF($C129="16 oz",1,IF($C129="20 oz",2,3))),"")</f>
        <v>69</v>
      </c>
      <c r="Y129" s="66">
        <f t="shared" si="9"/>
        <v>0.66565217391304343</v>
      </c>
      <c r="Z129" s="48" t="s">
        <v>1252</v>
      </c>
    </row>
    <row r="130" spans="1:26" x14ac:dyDescent="0.25">
      <c r="A130" s="4" t="str">
        <f t="shared" ref="A130:A193" si="10">IF($B130="","",$B130&amp;"|"&amp;$C130&amp;"|"&amp;$D130)</f>
        <v>Green Coconut|22 oz|75%</v>
      </c>
      <c r="B130" s="4" t="s">
        <v>79</v>
      </c>
      <c r="C130" s="4" t="s">
        <v>67</v>
      </c>
      <c r="D130" s="4" t="s">
        <v>65</v>
      </c>
      <c r="E130" s="63">
        <v>0</v>
      </c>
      <c r="F130" s="63">
        <v>144.5</v>
      </c>
      <c r="G130" s="63">
        <v>0</v>
      </c>
      <c r="H130" s="63">
        <v>14</v>
      </c>
      <c r="I130" s="63">
        <v>20.5</v>
      </c>
      <c r="J130" s="63">
        <f>ROUND(0+$AD$2*F130,1)</f>
        <v>18.5</v>
      </c>
      <c r="K130" s="63">
        <v>0</v>
      </c>
      <c r="L130" s="63">
        <v>0</v>
      </c>
      <c r="M130" s="63">
        <v>0</v>
      </c>
      <c r="N130" s="63">
        <f>ROUND(130.5-$AD$2*F130,1)</f>
        <v>112</v>
      </c>
      <c r="O130" s="63">
        <v>0</v>
      </c>
      <c r="P130" s="63">
        <v>0</v>
      </c>
      <c r="Q130" s="63">
        <v>0</v>
      </c>
      <c r="R130" s="63">
        <v>0</v>
      </c>
      <c r="S130" s="63">
        <v>300</v>
      </c>
      <c r="T130" s="63">
        <v>0</v>
      </c>
      <c r="U130" s="63">
        <v>0</v>
      </c>
      <c r="V130" s="65">
        <f t="shared" si="7"/>
        <v>309.5</v>
      </c>
      <c r="W130" s="8">
        <f>ROUND(E130*ต้นทุนและราคา!$C$4+F130*ต้นทุนและราคา!$C$5+G130*ต้นทุนและราคา!$C$6+H130*ต้นทุนและราคา!$C$7+I130*ต้นทุนและราคา!$C$8+J130*ต้นทุนและราคา!$C$9+K130*ต้นทุนและราคา!$C$10+L130*ต้นทุนและราคา!$C$11+M130*ต้นทุนและราคา!$C$12+N130*ต้นทุนและราคา!$C$13+O130*ต้นทุนและราคา!$C$14+P130*ต้นทุนและราคา!$C$15+Q130*ต้นทุนและราคา!$C$16+R130*ต้นทุนและราคา!$C$17+S130*ต้นทุนและราคา!$C$18+T130*ต้นทุนและราคา!$C$19+U130*ต้นทุนและราคา!$C$20+IF($C130="16 oz",ต้นทุนและราคา!$C$21,IF($C130="20 oz",ต้นทุนและราคา!$C$22,ต้นทุนและราคา!$C$23)),2)</f>
        <v>23.52</v>
      </c>
      <c r="X130" s="64" cm="1">
        <f t="array" ref="X130">IFERROR(INDEX(ต้นทุนและราคา!$C$26:$E$101,MATCH($B130,ต้นทุนและราคา!$A$26:$A$101,0),IF($C130="16 oz",1,IF($C130="20 oz",2,3))),"")</f>
        <v>69</v>
      </c>
      <c r="Y130" s="66">
        <f t="shared" ref="Y130:Y193" si="11">IFERROR(($X130-$W130)/$X130,"")</f>
        <v>0.6591304347826088</v>
      </c>
      <c r="Z130" s="48" t="s">
        <v>1252</v>
      </c>
    </row>
    <row r="131" spans="1:26" x14ac:dyDescent="0.25">
      <c r="A131" s="4" t="str">
        <f t="shared" si="10"/>
        <v>Green Coconut|22 oz|100%</v>
      </c>
      <c r="B131" s="4" t="s">
        <v>79</v>
      </c>
      <c r="C131" s="4" t="s">
        <v>67</v>
      </c>
      <c r="D131" s="4" t="s">
        <v>66</v>
      </c>
      <c r="E131" s="63">
        <v>0</v>
      </c>
      <c r="F131" s="63">
        <v>144.5</v>
      </c>
      <c r="G131" s="63">
        <v>0</v>
      </c>
      <c r="H131" s="63">
        <v>14</v>
      </c>
      <c r="I131" s="63">
        <v>27.5</v>
      </c>
      <c r="J131" s="63">
        <f>ROUND(0+$AD$2*F131,1)</f>
        <v>18.5</v>
      </c>
      <c r="K131" s="63">
        <v>0</v>
      </c>
      <c r="L131" s="63">
        <v>0</v>
      </c>
      <c r="M131" s="63">
        <v>0</v>
      </c>
      <c r="N131" s="63">
        <f>ROUND(130.5-$AD$2*F131,1)</f>
        <v>112</v>
      </c>
      <c r="O131" s="63">
        <v>0</v>
      </c>
      <c r="P131" s="63">
        <v>0</v>
      </c>
      <c r="Q131" s="63">
        <v>0</v>
      </c>
      <c r="R131" s="63">
        <v>0</v>
      </c>
      <c r="S131" s="63">
        <v>300</v>
      </c>
      <c r="T131" s="63">
        <v>0</v>
      </c>
      <c r="U131" s="63">
        <v>0</v>
      </c>
      <c r="V131" s="65">
        <f t="shared" ref="V131:V194" si="12">E131+F131+G131+H131+I131+J131+K131+M131+N131+P131+Q131+T131+U131</f>
        <v>316.5</v>
      </c>
      <c r="W131" s="8">
        <f>ROUND(E131*ต้นทุนและราคา!$C$4+F131*ต้นทุนและราคา!$C$5+G131*ต้นทุนและราคา!$C$6+H131*ต้นทุนและราคา!$C$7+I131*ต้นทุนและราคา!$C$8+J131*ต้นทุนและราคา!$C$9+K131*ต้นทุนและราคา!$C$10+L131*ต้นทุนและราคา!$C$11+M131*ต้นทุนและราคา!$C$12+N131*ต้นทุนและราคา!$C$13+O131*ต้นทุนและราคา!$C$14+P131*ต้นทุนและราคา!$C$15+Q131*ต้นทุนและราคา!$C$16+R131*ต้นทุนและราคา!$C$17+S131*ต้นทุนและราคา!$C$18+T131*ต้นทุนและราคา!$C$19+U131*ต้นทุนและราคา!$C$20+IF($C131="16 oz",ต้นทุนและราคา!$C$21,IF($C131="20 oz",ต้นทุนและราคา!$C$22,ต้นทุนและราคา!$C$23)),2)</f>
        <v>24</v>
      </c>
      <c r="X131" s="64" cm="1">
        <f t="array" ref="X131">IFERROR(INDEX(ต้นทุนและราคา!$C$26:$E$101,MATCH($B131,ต้นทุนและราคา!$A$26:$A$101,0),IF($C131="16 oz",1,IF($C131="20 oz",2,3))),"")</f>
        <v>69</v>
      </c>
      <c r="Y131" s="66">
        <f t="shared" si="11"/>
        <v>0.65217391304347827</v>
      </c>
      <c r="Z131" s="48" t="s">
        <v>1252</v>
      </c>
    </row>
    <row r="132" spans="1:26" x14ac:dyDescent="0.25">
      <c r="A132" s="4" t="str">
        <f t="shared" si="10"/>
        <v>Green Honey Milk|16 oz|0%</v>
      </c>
      <c r="B132" s="4" t="s">
        <v>80</v>
      </c>
      <c r="C132" s="4" t="s">
        <v>5</v>
      </c>
      <c r="D132" s="4" t="s">
        <v>63</v>
      </c>
      <c r="E132" s="63">
        <v>0</v>
      </c>
      <c r="F132" s="63">
        <v>130</v>
      </c>
      <c r="G132" s="63">
        <v>55</v>
      </c>
      <c r="H132" s="63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240</v>
      </c>
      <c r="T132" s="63">
        <v>0</v>
      </c>
      <c r="U132" s="63">
        <v>0</v>
      </c>
      <c r="V132" s="65">
        <f t="shared" si="12"/>
        <v>185</v>
      </c>
      <c r="W132" s="8">
        <f>ROUND(E132*ต้นทุนและราคา!$C$4+F132*ต้นทุนและราคา!$C$5+G132*ต้นทุนและราคา!$C$6+H132*ต้นทุนและราคา!$C$7+I132*ต้นทุนและราคา!$C$8+J132*ต้นทุนและราคา!$C$9+K132*ต้นทุนและราคา!$C$10+L132*ต้นทุนและราคา!$C$11+M132*ต้นทุนและราคา!$C$12+N132*ต้นทุนและราคา!$C$13+O132*ต้นทุนและราคา!$C$14+P132*ต้นทุนและราคา!$C$15+Q132*ต้นทุนและราคา!$C$16+R132*ต้นทุนและราคา!$C$17+S132*ต้นทุนและราคา!$C$18+T132*ต้นทุนและราคา!$C$19+U132*ต้นทุนและราคา!$C$20+IF($C132="16 oz",ต้นทุนและราคา!$C$21,IF($C132="20 oz",ต้นทุนและราคา!$C$22,ต้นทุนและราคา!$C$23)),2)</f>
        <v>13.16</v>
      </c>
      <c r="X132" s="64" cm="1">
        <f t="array" ref="X132">IFERROR(INDEX(ต้นทุนและราคา!$C$26:$E$101,MATCH($B132,ต้นทุนและราคา!$A$26:$A$101,0),IF($C132="16 oz",1,IF($C132="20 oz",2,3))),"")</f>
        <v>50</v>
      </c>
      <c r="Y132" s="66">
        <f t="shared" si="11"/>
        <v>0.73680000000000012</v>
      </c>
      <c r="Z132" s="48" t="s">
        <v>1221</v>
      </c>
    </row>
    <row r="133" spans="1:26" x14ac:dyDescent="0.25">
      <c r="A133" s="4" t="str">
        <f t="shared" si="10"/>
        <v>Green Honey Milk|16 oz|25%</v>
      </c>
      <c r="B133" s="4" t="s">
        <v>80</v>
      </c>
      <c r="C133" s="4" t="s">
        <v>5</v>
      </c>
      <c r="D133" s="4" t="s">
        <v>64</v>
      </c>
      <c r="E133" s="63">
        <v>0</v>
      </c>
      <c r="F133" s="63">
        <v>130</v>
      </c>
      <c r="G133" s="63">
        <f>ROUND(55-$AD$2*F133,1)</f>
        <v>38.4</v>
      </c>
      <c r="H133" s="63">
        <v>0</v>
      </c>
      <c r="I133" s="63">
        <v>0</v>
      </c>
      <c r="J133" s="63">
        <f>ROUND(3+$AD$2*F133,1)</f>
        <v>19.600000000000001</v>
      </c>
      <c r="K133" s="63">
        <v>4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240</v>
      </c>
      <c r="T133" s="63">
        <v>0</v>
      </c>
      <c r="U133" s="63">
        <v>0</v>
      </c>
      <c r="V133" s="65">
        <f t="shared" si="12"/>
        <v>192</v>
      </c>
      <c r="W133" s="8">
        <f>ROUND(E133*ต้นทุนและราคา!$C$4+F133*ต้นทุนและราคา!$C$5+G133*ต้นทุนและราคา!$C$6+H133*ต้นทุนและราคา!$C$7+I133*ต้นทุนและราคา!$C$8+J133*ต้นทุนและราคา!$C$9+K133*ต้นทุนและราคา!$C$10+L133*ต้นทุนและราคา!$C$11+M133*ต้นทุนและราคา!$C$12+N133*ต้นทุนและราคา!$C$13+O133*ต้นทุนและราคา!$C$14+P133*ต้นทุนและราคา!$C$15+Q133*ต้นทุนและราคา!$C$16+R133*ต้นทุนและราคา!$C$17+S133*ต้นทุนและราคา!$C$18+T133*ต้นทุนและราคา!$C$19+U133*ต้นทุนและราคา!$C$20+IF($C133="16 oz",ต้นทุนและราคา!$C$21,IF($C133="20 oz",ต้นทุนและราคา!$C$22,ต้นทุนและราคา!$C$23)),2)</f>
        <v>13.63</v>
      </c>
      <c r="X133" s="64" cm="1">
        <f t="array" ref="X133">IFERROR(INDEX(ต้นทุนและราคา!$C$26:$E$101,MATCH($B133,ต้นทุนและราคา!$A$26:$A$101,0),IF($C133="16 oz",1,IF($C133="20 oz",2,3))),"")</f>
        <v>50</v>
      </c>
      <c r="Y133" s="66">
        <f t="shared" si="11"/>
        <v>0.72739999999999994</v>
      </c>
      <c r="Z133" s="48" t="s">
        <v>1222</v>
      </c>
    </row>
    <row r="134" spans="1:26" x14ac:dyDescent="0.25">
      <c r="A134" s="4" t="str">
        <f t="shared" si="10"/>
        <v>Green Honey Milk|16 oz|50%</v>
      </c>
      <c r="B134" s="4" t="s">
        <v>80</v>
      </c>
      <c r="C134" s="4" t="s">
        <v>5</v>
      </c>
      <c r="D134" s="4" t="s">
        <v>7</v>
      </c>
      <c r="E134" s="63">
        <v>0</v>
      </c>
      <c r="F134" s="63">
        <v>130</v>
      </c>
      <c r="G134" s="63">
        <f>ROUND(55-$AD$2*F134,1)</f>
        <v>38.4</v>
      </c>
      <c r="H134" s="63">
        <v>0</v>
      </c>
      <c r="I134" s="63">
        <v>0</v>
      </c>
      <c r="J134" s="63">
        <f>ROUND(6+$AD$2*F134,1)</f>
        <v>22.6</v>
      </c>
      <c r="K134" s="63">
        <v>8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240</v>
      </c>
      <c r="T134" s="63">
        <v>0</v>
      </c>
      <c r="U134" s="63">
        <v>0</v>
      </c>
      <c r="V134" s="65">
        <f t="shared" si="12"/>
        <v>199</v>
      </c>
      <c r="W134" s="8">
        <f>ROUND(E134*ต้นทุนและราคา!$C$4+F134*ต้นทุนและราคา!$C$5+G134*ต้นทุนและราคา!$C$6+H134*ต้นทุนและราคา!$C$7+I134*ต้นทุนและราคา!$C$8+J134*ต้นทุนและราคา!$C$9+K134*ต้นทุนและราคา!$C$10+L134*ต้นทุนและราคา!$C$11+M134*ต้นทุนและราคา!$C$12+N134*ต้นทุนและราคา!$C$13+O134*ต้นทุนและราคา!$C$14+P134*ต้นทุนและราคา!$C$15+Q134*ต้นทุนและราคา!$C$16+R134*ต้นทุนและราคา!$C$17+S134*ต้นทุนและราคา!$C$18+T134*ต้นทุนและราคา!$C$19+U134*ต้นทุนและราคา!$C$20+IF($C134="16 oz",ต้นทุนและราคา!$C$21,IF($C134="20 oz",ต้นทุนและราคา!$C$22,ต้นทุนและราคา!$C$23)),2)</f>
        <v>14.61</v>
      </c>
      <c r="X134" s="64" cm="1">
        <f t="array" ref="X134">IFERROR(INDEX(ต้นทุนและราคา!$C$26:$E$101,MATCH($B134,ต้นทุนและราคา!$A$26:$A$101,0),IF($C134="16 oz",1,IF($C134="20 oz",2,3))),"")</f>
        <v>50</v>
      </c>
      <c r="Y134" s="66">
        <f t="shared" si="11"/>
        <v>0.70779999999999998</v>
      </c>
      <c r="Z134" s="48" t="s">
        <v>1222</v>
      </c>
    </row>
    <row r="135" spans="1:26" x14ac:dyDescent="0.25">
      <c r="A135" s="4" t="str">
        <f t="shared" si="10"/>
        <v>Green Honey Milk|16 oz|75%</v>
      </c>
      <c r="B135" s="4" t="s">
        <v>80</v>
      </c>
      <c r="C135" s="4" t="s">
        <v>5</v>
      </c>
      <c r="D135" s="4" t="s">
        <v>65</v>
      </c>
      <c r="E135" s="63">
        <v>0</v>
      </c>
      <c r="F135" s="63">
        <v>130</v>
      </c>
      <c r="G135" s="63">
        <f>ROUND(55-$AD$2*F135,1)</f>
        <v>38.4</v>
      </c>
      <c r="H135" s="63">
        <v>0</v>
      </c>
      <c r="I135" s="63">
        <v>0</v>
      </c>
      <c r="J135" s="63">
        <f>ROUND(9+$AD$2*F135,1)</f>
        <v>25.6</v>
      </c>
      <c r="K135" s="63">
        <v>12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240</v>
      </c>
      <c r="T135" s="63">
        <v>0</v>
      </c>
      <c r="U135" s="63">
        <v>0</v>
      </c>
      <c r="V135" s="65">
        <f t="shared" si="12"/>
        <v>206</v>
      </c>
      <c r="W135" s="8">
        <f>ROUND(E135*ต้นทุนและราคา!$C$4+F135*ต้นทุนและราคา!$C$5+G135*ต้นทุนและราคา!$C$6+H135*ต้นทุนและราคา!$C$7+I135*ต้นทุนและราคา!$C$8+J135*ต้นทุนและราคา!$C$9+K135*ต้นทุนและราคา!$C$10+L135*ต้นทุนและราคา!$C$11+M135*ต้นทุนและราคา!$C$12+N135*ต้นทุนและราคา!$C$13+O135*ต้นทุนและราคา!$C$14+P135*ต้นทุนและราคา!$C$15+Q135*ต้นทุนและราคา!$C$16+R135*ต้นทุนและราคา!$C$17+S135*ต้นทุนและราคา!$C$18+T135*ต้นทุนและราคา!$C$19+U135*ต้นทุนและราคา!$C$20+IF($C135="16 oz",ต้นทุนและราคา!$C$21,IF($C135="20 oz",ต้นทุนและราคา!$C$22,ต้นทุนและราคา!$C$23)),2)</f>
        <v>15.6</v>
      </c>
      <c r="X135" s="64" cm="1">
        <f t="array" ref="X135">IFERROR(INDEX(ต้นทุนและราคา!$C$26:$E$101,MATCH($B135,ต้นทุนและราคา!$A$26:$A$101,0),IF($C135="16 oz",1,IF($C135="20 oz",2,3))),"")</f>
        <v>50</v>
      </c>
      <c r="Y135" s="66">
        <f t="shared" si="11"/>
        <v>0.68799999999999994</v>
      </c>
      <c r="Z135" s="48" t="s">
        <v>1222</v>
      </c>
    </row>
    <row r="136" spans="1:26" x14ac:dyDescent="0.25">
      <c r="A136" s="4" t="str">
        <f t="shared" si="10"/>
        <v>Green Honey Milk|16 oz|100%</v>
      </c>
      <c r="B136" s="4" t="s">
        <v>80</v>
      </c>
      <c r="C136" s="4" t="s">
        <v>5</v>
      </c>
      <c r="D136" s="4" t="s">
        <v>66</v>
      </c>
      <c r="E136" s="63">
        <v>0</v>
      </c>
      <c r="F136" s="63">
        <v>130</v>
      </c>
      <c r="G136" s="63">
        <f>ROUND(55-$AD$2*F136,1)</f>
        <v>38.4</v>
      </c>
      <c r="H136" s="63">
        <v>0</v>
      </c>
      <c r="I136" s="63">
        <v>0</v>
      </c>
      <c r="J136" s="63">
        <f>ROUND(12+$AD$2*F136,1)</f>
        <v>28.6</v>
      </c>
      <c r="K136" s="63">
        <v>16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240</v>
      </c>
      <c r="T136" s="63">
        <v>0</v>
      </c>
      <c r="U136" s="63">
        <v>0</v>
      </c>
      <c r="V136" s="65">
        <f t="shared" si="12"/>
        <v>213</v>
      </c>
      <c r="W136" s="8">
        <f>ROUND(E136*ต้นทุนและราคา!$C$4+F136*ต้นทุนและราคา!$C$5+G136*ต้นทุนและราคา!$C$6+H136*ต้นทุนและราคา!$C$7+I136*ต้นทุนและราคา!$C$8+J136*ต้นทุนและราคา!$C$9+K136*ต้นทุนและราคา!$C$10+L136*ต้นทุนและราคา!$C$11+M136*ต้นทุนและราคา!$C$12+N136*ต้นทุนและราคา!$C$13+O136*ต้นทุนและราคา!$C$14+P136*ต้นทุนและราคา!$C$15+Q136*ต้นทุนและราคา!$C$16+R136*ต้นทุนและราคา!$C$17+S136*ต้นทุนและราคา!$C$18+T136*ต้นทุนและราคา!$C$19+U136*ต้นทุนและราคา!$C$20+IF($C136="16 oz",ต้นทุนและราคา!$C$21,IF($C136="20 oz",ต้นทุนและราคา!$C$22,ต้นทุนและราคา!$C$23)),2)</f>
        <v>16.579999999999998</v>
      </c>
      <c r="X136" s="64" cm="1">
        <f t="array" ref="X136">IFERROR(INDEX(ต้นทุนและราคา!$C$26:$E$101,MATCH($B136,ต้นทุนและราคา!$A$26:$A$101,0),IF($C136="16 oz",1,IF($C136="20 oz",2,3))),"")</f>
        <v>50</v>
      </c>
      <c r="Y136" s="66">
        <f t="shared" si="11"/>
        <v>0.66839999999999999</v>
      </c>
      <c r="Z136" s="48" t="s">
        <v>1222</v>
      </c>
    </row>
    <row r="137" spans="1:26" x14ac:dyDescent="0.25">
      <c r="A137" s="4" t="str">
        <f t="shared" si="10"/>
        <v>Green Honey Milk|22 oz|0%</v>
      </c>
      <c r="B137" s="4" t="s">
        <v>80</v>
      </c>
      <c r="C137" s="4" t="s">
        <v>67</v>
      </c>
      <c r="D137" s="4" t="s">
        <v>63</v>
      </c>
      <c r="E137" s="63">
        <v>0</v>
      </c>
      <c r="F137" s="63">
        <v>179</v>
      </c>
      <c r="G137" s="63">
        <v>75.5</v>
      </c>
      <c r="H137" s="63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330</v>
      </c>
      <c r="T137" s="63">
        <v>0</v>
      </c>
      <c r="U137" s="63">
        <v>0</v>
      </c>
      <c r="V137" s="65">
        <f t="shared" si="12"/>
        <v>254.5</v>
      </c>
      <c r="W137" s="8">
        <f>ROUND(E137*ต้นทุนและราคา!$C$4+F137*ต้นทุนและราคา!$C$5+G137*ต้นทุนและราคา!$C$6+H137*ต้นทุนและราคา!$C$7+I137*ต้นทุนและราคา!$C$8+J137*ต้นทุนและราคา!$C$9+K137*ต้นทุนและราคา!$C$10+L137*ต้นทุนและราคา!$C$11+M137*ต้นทุนและราคา!$C$12+N137*ต้นทุนและราคา!$C$13+O137*ต้นทุนและราคา!$C$14+P137*ต้นทุนและราคา!$C$15+Q137*ต้นทุนและราคา!$C$16+R137*ต้นทุนและราคา!$C$17+S137*ต้นทุนและราคา!$C$18+T137*ต้นทุนและราคา!$C$19+U137*ต้นทุนและราคา!$C$20+IF($C137="16 oz",ต้นทุนและราคา!$C$21,IF($C137="20 oz",ต้นทุนและราคา!$C$22,ต้นทุนและราคา!$C$23)),2)</f>
        <v>17.399999999999999</v>
      </c>
      <c r="X137" s="64" cm="1">
        <f t="array" ref="X137">IFERROR(INDEX(ต้นทุนและราคา!$C$26:$E$101,MATCH($B137,ต้นทุนและราคา!$A$26:$A$101,0),IF($C137="16 oz",1,IF($C137="20 oz",2,3))),"")</f>
        <v>60</v>
      </c>
      <c r="Y137" s="66">
        <f t="shared" si="11"/>
        <v>0.71000000000000008</v>
      </c>
      <c r="Z137" s="48" t="s">
        <v>1221</v>
      </c>
    </row>
    <row r="138" spans="1:26" x14ac:dyDescent="0.25">
      <c r="A138" s="4" t="str">
        <f t="shared" si="10"/>
        <v>Green Honey Milk|22 oz|25%</v>
      </c>
      <c r="B138" s="4" t="s">
        <v>80</v>
      </c>
      <c r="C138" s="4" t="s">
        <v>67</v>
      </c>
      <c r="D138" s="4" t="s">
        <v>64</v>
      </c>
      <c r="E138" s="63">
        <v>0</v>
      </c>
      <c r="F138" s="63">
        <v>179</v>
      </c>
      <c r="G138" s="63">
        <f>ROUND(75.5-$AD$2*F138,1)</f>
        <v>52.6</v>
      </c>
      <c r="H138" s="63">
        <v>0</v>
      </c>
      <c r="I138" s="63">
        <v>0</v>
      </c>
      <c r="J138" s="63">
        <f>ROUND(4+$AD$2*F138,1)</f>
        <v>26.9</v>
      </c>
      <c r="K138" s="63">
        <v>5.5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330</v>
      </c>
      <c r="T138" s="63">
        <v>0</v>
      </c>
      <c r="U138" s="63">
        <v>0</v>
      </c>
      <c r="V138" s="65">
        <f t="shared" si="12"/>
        <v>264</v>
      </c>
      <c r="W138" s="8">
        <f>ROUND(E138*ต้นทุนและราคา!$C$4+F138*ต้นทุนและราคา!$C$5+G138*ต้นทุนและราคา!$C$6+H138*ต้นทุนและราคา!$C$7+I138*ต้นทุนและราคา!$C$8+J138*ต้นทุนและราคา!$C$9+K138*ต้นทุนและราคา!$C$10+L138*ต้นทุนและราคา!$C$11+M138*ต้นทุนและราคา!$C$12+N138*ต้นทุนและราคา!$C$13+O138*ต้นทุนและราคา!$C$14+P138*ต้นทุนและราคา!$C$15+Q138*ต้นทุนและราคา!$C$16+R138*ต้นทุนและราคา!$C$17+S138*ต้นทุนและราคา!$C$18+T138*ต้นทุนและราคา!$C$19+U138*ต้นทุนและราคา!$C$20+IF($C138="16 oz",ต้นทุนและราคา!$C$21,IF($C138="20 oz",ต้นทุนและราคา!$C$22,ต้นทุนและราคา!$C$23)),2)</f>
        <v>18.04</v>
      </c>
      <c r="X138" s="64" cm="1">
        <f t="array" ref="X138">IFERROR(INDEX(ต้นทุนและราคา!$C$26:$E$101,MATCH($B138,ต้นทุนและราคา!$A$26:$A$101,0),IF($C138="16 oz",1,IF($C138="20 oz",2,3))),"")</f>
        <v>60</v>
      </c>
      <c r="Y138" s="66">
        <f t="shared" si="11"/>
        <v>0.69933333333333336</v>
      </c>
      <c r="Z138" s="48" t="s">
        <v>1222</v>
      </c>
    </row>
    <row r="139" spans="1:26" x14ac:dyDescent="0.25">
      <c r="A139" s="4" t="str">
        <f t="shared" si="10"/>
        <v>Green Honey Milk|22 oz|50%</v>
      </c>
      <c r="B139" s="4" t="s">
        <v>80</v>
      </c>
      <c r="C139" s="4" t="s">
        <v>67</v>
      </c>
      <c r="D139" s="4" t="s">
        <v>7</v>
      </c>
      <c r="E139" s="63">
        <v>0</v>
      </c>
      <c r="F139" s="63">
        <v>179</v>
      </c>
      <c r="G139" s="63">
        <f>ROUND(75.5-$AD$2*F139,1)</f>
        <v>52.6</v>
      </c>
      <c r="H139" s="63">
        <v>0</v>
      </c>
      <c r="I139" s="63">
        <v>0</v>
      </c>
      <c r="J139" s="63">
        <f>ROUND(8+$AD$2*F139,1)</f>
        <v>30.9</v>
      </c>
      <c r="K139" s="63">
        <v>11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330</v>
      </c>
      <c r="T139" s="63">
        <v>0</v>
      </c>
      <c r="U139" s="63">
        <v>0</v>
      </c>
      <c r="V139" s="65">
        <f t="shared" si="12"/>
        <v>273.5</v>
      </c>
      <c r="W139" s="8">
        <f>ROUND(E139*ต้นทุนและราคา!$C$4+F139*ต้นทุนและราคา!$C$5+G139*ต้นทุนและราคา!$C$6+H139*ต้นทุนและราคา!$C$7+I139*ต้นทุนและราคา!$C$8+J139*ต้นทุนและราคา!$C$9+K139*ต้นทุนและราคา!$C$10+L139*ต้นทุนและราคา!$C$11+M139*ต้นทุนและราคา!$C$12+N139*ต้นทุนและราคา!$C$13+O139*ต้นทุนและราคา!$C$14+P139*ต้นทุนและราคา!$C$15+Q139*ต้นทุนและราคา!$C$16+R139*ต้นทุนและราคา!$C$17+S139*ต้นทุนและราคา!$C$18+T139*ต้นทุนและราคา!$C$19+U139*ต้นทุนและราคา!$C$20+IF($C139="16 oz",ต้นทุนและราคา!$C$21,IF($C139="20 oz",ต้นทุนและราคา!$C$22,ต้นทุนและราคา!$C$23)),2)</f>
        <v>19.39</v>
      </c>
      <c r="X139" s="64" cm="1">
        <f t="array" ref="X139">IFERROR(INDEX(ต้นทุนและราคา!$C$26:$E$101,MATCH($B139,ต้นทุนและราคา!$A$26:$A$101,0),IF($C139="16 oz",1,IF($C139="20 oz",2,3))),"")</f>
        <v>60</v>
      </c>
      <c r="Y139" s="66">
        <f t="shared" si="11"/>
        <v>0.67683333333333329</v>
      </c>
      <c r="Z139" s="48" t="s">
        <v>1222</v>
      </c>
    </row>
    <row r="140" spans="1:26" x14ac:dyDescent="0.25">
      <c r="A140" s="4" t="str">
        <f t="shared" si="10"/>
        <v>Green Honey Milk|22 oz|75%</v>
      </c>
      <c r="B140" s="4" t="s">
        <v>80</v>
      </c>
      <c r="C140" s="4" t="s">
        <v>67</v>
      </c>
      <c r="D140" s="4" t="s">
        <v>65</v>
      </c>
      <c r="E140" s="63">
        <v>0</v>
      </c>
      <c r="F140" s="63">
        <v>179</v>
      </c>
      <c r="G140" s="63">
        <f>ROUND(75.5-$AD$2*F140,1)</f>
        <v>52.6</v>
      </c>
      <c r="H140" s="63">
        <v>0</v>
      </c>
      <c r="I140" s="63">
        <v>0</v>
      </c>
      <c r="J140" s="63">
        <f>ROUND(12.5+$AD$2*F140,1)</f>
        <v>35.4</v>
      </c>
      <c r="K140" s="63">
        <v>16.5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330</v>
      </c>
      <c r="T140" s="63">
        <v>0</v>
      </c>
      <c r="U140" s="63">
        <v>0</v>
      </c>
      <c r="V140" s="65">
        <f t="shared" si="12"/>
        <v>283.5</v>
      </c>
      <c r="W140" s="8">
        <f>ROUND(E140*ต้นทุนและราคา!$C$4+F140*ต้นทุนและราคา!$C$5+G140*ต้นทุนและราคา!$C$6+H140*ต้นทุนและราคา!$C$7+I140*ต้นทุนและราคา!$C$8+J140*ต้นทุนและราคา!$C$9+K140*ต้นทุนและราคา!$C$10+L140*ต้นทุนและราคา!$C$11+M140*ต้นทุนและราคา!$C$12+N140*ต้นทุนและราคา!$C$13+O140*ต้นทุนและราคา!$C$14+P140*ต้นทุนและราคา!$C$15+Q140*ต้นทุนและราคา!$C$16+R140*ต้นทุนและราคา!$C$17+S140*ต้นทุนและราคา!$C$18+T140*ต้นทุนและราคา!$C$19+U140*ต้นทุนและราคา!$C$20+IF($C140="16 oz",ต้นทุนและราคา!$C$21,IF($C140="20 oz",ต้นทุนและราคา!$C$22,ต้นทุนและราคา!$C$23)),2)</f>
        <v>20.75</v>
      </c>
      <c r="X140" s="64" cm="1">
        <f t="array" ref="X140">IFERROR(INDEX(ต้นทุนและราคา!$C$26:$E$101,MATCH($B140,ต้นทุนและราคา!$A$26:$A$101,0),IF($C140="16 oz",1,IF($C140="20 oz",2,3))),"")</f>
        <v>60</v>
      </c>
      <c r="Y140" s="66">
        <f t="shared" si="11"/>
        <v>0.65416666666666667</v>
      </c>
      <c r="Z140" s="48" t="s">
        <v>1222</v>
      </c>
    </row>
    <row r="141" spans="1:26" x14ac:dyDescent="0.25">
      <c r="A141" s="4" t="str">
        <f t="shared" si="10"/>
        <v>Green Honey Milk|22 oz|100%</v>
      </c>
      <c r="B141" s="4" t="s">
        <v>80</v>
      </c>
      <c r="C141" s="4" t="s">
        <v>67</v>
      </c>
      <c r="D141" s="4" t="s">
        <v>66</v>
      </c>
      <c r="E141" s="63">
        <v>0</v>
      </c>
      <c r="F141" s="63">
        <v>179</v>
      </c>
      <c r="G141" s="63">
        <f>ROUND(75.5-$AD$2*F141,1)</f>
        <v>52.6</v>
      </c>
      <c r="H141" s="63">
        <v>0</v>
      </c>
      <c r="I141" s="63">
        <v>0</v>
      </c>
      <c r="J141" s="63">
        <f>ROUND(16.5+$AD$2*F141,1)</f>
        <v>39.4</v>
      </c>
      <c r="K141" s="63">
        <v>22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330</v>
      </c>
      <c r="T141" s="63">
        <v>0</v>
      </c>
      <c r="U141" s="63">
        <v>0</v>
      </c>
      <c r="V141" s="65">
        <f t="shared" si="12"/>
        <v>293</v>
      </c>
      <c r="W141" s="8">
        <f>ROUND(E141*ต้นทุนและราคา!$C$4+F141*ต้นทุนและราคา!$C$5+G141*ต้นทุนและราคา!$C$6+H141*ต้นทุนและราคา!$C$7+I141*ต้นทุนและราคา!$C$8+J141*ต้นทุนและราคา!$C$9+K141*ต้นทุนและราคา!$C$10+L141*ต้นทุนและราคา!$C$11+M141*ต้นทุนและราคา!$C$12+N141*ต้นทุนและราคา!$C$13+O141*ต้นทุนและราคา!$C$14+P141*ต้นทุนและราคา!$C$15+Q141*ต้นทุนและราคา!$C$16+R141*ต้นทุนและราคา!$C$17+S141*ต้นทุนและราคา!$C$18+T141*ต้นทุนและราคา!$C$19+U141*ต้นทุนและราคา!$C$20+IF($C141="16 oz",ต้นทุนและราคา!$C$21,IF($C141="20 oz",ต้นทุนและราคา!$C$22,ต้นทุนและราคา!$C$23)),2)</f>
        <v>22.1</v>
      </c>
      <c r="X141" s="64" cm="1">
        <f t="array" ref="X141">IFERROR(INDEX(ต้นทุนและราคา!$C$26:$E$101,MATCH($B141,ต้นทุนและราคา!$A$26:$A$101,0),IF($C141="16 oz",1,IF($C141="20 oz",2,3))),"")</f>
        <v>60</v>
      </c>
      <c r="Y141" s="66">
        <f t="shared" si="11"/>
        <v>0.6316666666666666</v>
      </c>
      <c r="Z141" s="48" t="s">
        <v>1222</v>
      </c>
    </row>
    <row r="142" spans="1:26" x14ac:dyDescent="0.25">
      <c r="A142" s="4" t="str">
        <f t="shared" si="10"/>
        <v>Green Berry Soda|16 oz|0%</v>
      </c>
      <c r="B142" s="4" t="s">
        <v>81</v>
      </c>
      <c r="C142" s="4" t="s">
        <v>5</v>
      </c>
      <c r="D142" s="4" t="s">
        <v>63</v>
      </c>
      <c r="E142" s="63">
        <v>0</v>
      </c>
      <c r="F142" s="63">
        <v>100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28</v>
      </c>
      <c r="P142" s="63">
        <v>6</v>
      </c>
      <c r="Q142" s="63">
        <v>80</v>
      </c>
      <c r="R142" s="63">
        <v>0</v>
      </c>
      <c r="S142" s="63">
        <v>240</v>
      </c>
      <c r="T142" s="63">
        <v>0</v>
      </c>
      <c r="U142" s="63">
        <v>0</v>
      </c>
      <c r="V142" s="65">
        <f t="shared" si="12"/>
        <v>186</v>
      </c>
      <c r="W142" s="8">
        <f>ROUND(E142*ต้นทุนและราคา!$C$4+F142*ต้นทุนและราคา!$C$5+G142*ต้นทุนและราคา!$C$6+H142*ต้นทุนและราคา!$C$7+I142*ต้นทุนและราคา!$C$8+J142*ต้นทุนและราคา!$C$9+K142*ต้นทุนและราคา!$C$10+L142*ต้นทุนและราคา!$C$11+M142*ต้นทุนและราคา!$C$12+N142*ต้นทุนและราคา!$C$13+O142*ต้นทุนและราคา!$C$14+P142*ต้นทุนและราคา!$C$15+Q142*ต้นทุนและราคา!$C$16+R142*ต้นทุนและราคา!$C$17+S142*ต้นทุนและราคา!$C$18+T142*ต้นทุนและราคา!$C$19+U142*ต้นทุนและราคา!$C$20+IF($C142="16 oz",ต้นทุนและราคา!$C$21,IF($C142="20 oz",ต้นทุนและราคา!$C$22,ต้นทุนและราคา!$C$23)),2)</f>
        <v>18</v>
      </c>
      <c r="X142" s="64" cm="1">
        <f t="array" ref="X142">IFERROR(INDEX(ต้นทุนและราคา!$C$26:$E$101,MATCH($B142,ต้นทุนและราคา!$A$26:$A$101,0),IF($C142="16 oz",1,IF($C142="20 oz",2,3))),"")</f>
        <v>50</v>
      </c>
      <c r="Y142" s="66">
        <f t="shared" si="11"/>
        <v>0.64</v>
      </c>
      <c r="Z142" s="48" t="s">
        <v>1223</v>
      </c>
    </row>
    <row r="143" spans="1:26" x14ac:dyDescent="0.25">
      <c r="A143" s="4" t="str">
        <f t="shared" si="10"/>
        <v>Green Berry Soda|16 oz|25%</v>
      </c>
      <c r="B143" s="4" t="s">
        <v>81</v>
      </c>
      <c r="C143" s="4" t="s">
        <v>5</v>
      </c>
      <c r="D143" s="4" t="s">
        <v>64</v>
      </c>
      <c r="E143" s="63">
        <v>0</v>
      </c>
      <c r="F143" s="63">
        <v>100</v>
      </c>
      <c r="G143" s="63">
        <v>0</v>
      </c>
      <c r="H143" s="63">
        <v>0</v>
      </c>
      <c r="I143" s="63">
        <v>0</v>
      </c>
      <c r="J143" s="63">
        <f>ROUND(4+$AD$2*F143,1)</f>
        <v>16.8</v>
      </c>
      <c r="K143" s="63">
        <v>0</v>
      </c>
      <c r="L143" s="63">
        <v>0</v>
      </c>
      <c r="M143" s="63">
        <v>0</v>
      </c>
      <c r="N143" s="63">
        <v>0</v>
      </c>
      <c r="O143" s="63">
        <v>28</v>
      </c>
      <c r="P143" s="63">
        <v>6</v>
      </c>
      <c r="Q143" s="63">
        <v>80</v>
      </c>
      <c r="R143" s="63">
        <v>0</v>
      </c>
      <c r="S143" s="63">
        <v>240</v>
      </c>
      <c r="T143" s="63">
        <v>0</v>
      </c>
      <c r="U143" s="63">
        <v>0</v>
      </c>
      <c r="V143" s="65">
        <f t="shared" si="12"/>
        <v>202.8</v>
      </c>
      <c r="W143" s="8">
        <f>ROUND(E143*ต้นทุนและราคา!$C$4+F143*ต้นทุนและราคา!$C$5+G143*ต้นทุนและราคา!$C$6+H143*ต้นทุนและราคา!$C$7+I143*ต้นทุนและราคา!$C$8+J143*ต้นทุนและราคา!$C$9+K143*ต้นทุนและราคา!$C$10+L143*ต้นทุนและราคา!$C$11+M143*ต้นทุนและราคา!$C$12+N143*ต้นทุนและราคา!$C$13+O143*ต้นทุนและราคา!$C$14+P143*ต้นทุนและราคา!$C$15+Q143*ต้นทุนและราคา!$C$16+R143*ต้นทุนและราคา!$C$17+S143*ต้นทุนและราคา!$C$18+T143*ต้นทุนและราคา!$C$19+U143*ต้นทุนและราคา!$C$20+IF($C143="16 oz",ต้นทุนและราคา!$C$21,IF($C143="20 oz",ต้นทุนและราคา!$C$22,ต้นทุนและราคา!$C$23)),2)</f>
        <v>18.28</v>
      </c>
      <c r="X143" s="64" cm="1">
        <f t="array" ref="X143">IFERROR(INDEX(ต้นทุนและราคา!$C$26:$E$101,MATCH($B143,ต้นทุนและราคา!$A$26:$A$101,0),IF($C143="16 oz",1,IF($C143="20 oz",2,3))),"")</f>
        <v>50</v>
      </c>
      <c r="Y143" s="66">
        <f t="shared" si="11"/>
        <v>0.63439999999999996</v>
      </c>
      <c r="Z143" s="48" t="s">
        <v>1224</v>
      </c>
    </row>
    <row r="144" spans="1:26" x14ac:dyDescent="0.25">
      <c r="A144" s="4" t="str">
        <f t="shared" si="10"/>
        <v>Green Berry Soda|16 oz|50%</v>
      </c>
      <c r="B144" s="4" t="s">
        <v>81</v>
      </c>
      <c r="C144" s="4" t="s">
        <v>5</v>
      </c>
      <c r="D144" s="4" t="s">
        <v>7</v>
      </c>
      <c r="E144" s="63">
        <v>0</v>
      </c>
      <c r="F144" s="63">
        <v>100</v>
      </c>
      <c r="G144" s="63">
        <v>0</v>
      </c>
      <c r="H144" s="63">
        <v>0</v>
      </c>
      <c r="I144" s="63">
        <v>0</v>
      </c>
      <c r="J144" s="63">
        <f>ROUND(8+$AD$2*F144,1)</f>
        <v>20.8</v>
      </c>
      <c r="K144" s="63">
        <v>0</v>
      </c>
      <c r="L144" s="63">
        <v>0</v>
      </c>
      <c r="M144" s="63">
        <v>0</v>
      </c>
      <c r="N144" s="63">
        <v>0</v>
      </c>
      <c r="O144" s="63">
        <v>28</v>
      </c>
      <c r="P144" s="63">
        <v>6</v>
      </c>
      <c r="Q144" s="63">
        <v>80</v>
      </c>
      <c r="R144" s="63">
        <v>0</v>
      </c>
      <c r="S144" s="63">
        <v>240</v>
      </c>
      <c r="T144" s="63">
        <v>0</v>
      </c>
      <c r="U144" s="63">
        <v>0</v>
      </c>
      <c r="V144" s="65">
        <f t="shared" si="12"/>
        <v>206.8</v>
      </c>
      <c r="W144" s="8">
        <f>ROUND(E144*ต้นทุนและราคา!$C$4+F144*ต้นทุนและราคา!$C$5+G144*ต้นทุนและราคา!$C$6+H144*ต้นทุนและราคา!$C$7+I144*ต้นทุนและราคา!$C$8+J144*ต้นทุนและราคา!$C$9+K144*ต้นทุนและราคา!$C$10+L144*ต้นทุนและราคา!$C$11+M144*ต้นทุนและราคา!$C$12+N144*ต้นทุนและราคา!$C$13+O144*ต้นทุนและราคา!$C$14+P144*ต้นทุนและราคา!$C$15+Q144*ต้นทุนและราคา!$C$16+R144*ต้นทุนและราคา!$C$17+S144*ต้นทุนและราคา!$C$18+T144*ต้นทุนและราคา!$C$19+U144*ต้นทุนและราคา!$C$20+IF($C144="16 oz",ต้นทุนและราคา!$C$21,IF($C144="20 oz",ต้นทุนและราคา!$C$22,ต้นทุนและราคา!$C$23)),2)</f>
        <v>18.34</v>
      </c>
      <c r="X144" s="64" cm="1">
        <f t="array" ref="X144">IFERROR(INDEX(ต้นทุนและราคา!$C$26:$E$101,MATCH($B144,ต้นทุนและราคา!$A$26:$A$101,0),IF($C144="16 oz",1,IF($C144="20 oz",2,3))),"")</f>
        <v>50</v>
      </c>
      <c r="Y144" s="66">
        <f t="shared" si="11"/>
        <v>0.63319999999999999</v>
      </c>
      <c r="Z144" s="48" t="s">
        <v>1224</v>
      </c>
    </row>
    <row r="145" spans="1:26" x14ac:dyDescent="0.25">
      <c r="A145" s="4" t="str">
        <f t="shared" si="10"/>
        <v>Green Berry Soda|16 oz|75%</v>
      </c>
      <c r="B145" s="4" t="s">
        <v>81</v>
      </c>
      <c r="C145" s="4" t="s">
        <v>5</v>
      </c>
      <c r="D145" s="4" t="s">
        <v>65</v>
      </c>
      <c r="E145" s="63">
        <v>0</v>
      </c>
      <c r="F145" s="63">
        <v>100</v>
      </c>
      <c r="G145" s="63">
        <v>0</v>
      </c>
      <c r="H145" s="63">
        <v>0</v>
      </c>
      <c r="I145" s="63">
        <v>0</v>
      </c>
      <c r="J145" s="63">
        <f>ROUND(12+$AD$2*F145,1)</f>
        <v>24.8</v>
      </c>
      <c r="K145" s="63">
        <v>0</v>
      </c>
      <c r="L145" s="63">
        <v>0</v>
      </c>
      <c r="M145" s="63">
        <v>0</v>
      </c>
      <c r="N145" s="63">
        <v>0</v>
      </c>
      <c r="O145" s="63">
        <v>28</v>
      </c>
      <c r="P145" s="63">
        <v>6</v>
      </c>
      <c r="Q145" s="63">
        <v>80</v>
      </c>
      <c r="R145" s="63">
        <v>0</v>
      </c>
      <c r="S145" s="63">
        <v>240</v>
      </c>
      <c r="T145" s="63">
        <v>0</v>
      </c>
      <c r="U145" s="63">
        <v>0</v>
      </c>
      <c r="V145" s="65">
        <f t="shared" si="12"/>
        <v>210.8</v>
      </c>
      <c r="W145" s="8">
        <f>ROUND(E145*ต้นทุนและราคา!$C$4+F145*ต้นทุนและราคา!$C$5+G145*ต้นทุนและราคา!$C$6+H145*ต้นทุนและราคา!$C$7+I145*ต้นทุนและราคา!$C$8+J145*ต้นทุนและราคา!$C$9+K145*ต้นทุนและราคา!$C$10+L145*ต้นทุนและราคา!$C$11+M145*ต้นทุนและราคา!$C$12+N145*ต้นทุนและราคา!$C$13+O145*ต้นทุนและราคา!$C$14+P145*ต้นทุนและราคา!$C$15+Q145*ต้นทุนและราคา!$C$16+R145*ต้นทุนและราคา!$C$17+S145*ต้นทุนและราคา!$C$18+T145*ต้นทุนและราคา!$C$19+U145*ต้นทุนและราคา!$C$20+IF($C145="16 oz",ต้นทุนและราคา!$C$21,IF($C145="20 oz",ต้นทุนและราคา!$C$22,ต้นทุนและราคา!$C$23)),2)</f>
        <v>18.41</v>
      </c>
      <c r="X145" s="64" cm="1">
        <f t="array" ref="X145">IFERROR(INDEX(ต้นทุนและราคา!$C$26:$E$101,MATCH($B145,ต้นทุนและราคา!$A$26:$A$101,0),IF($C145="16 oz",1,IF($C145="20 oz",2,3))),"")</f>
        <v>50</v>
      </c>
      <c r="Y145" s="66">
        <f t="shared" si="11"/>
        <v>0.63180000000000003</v>
      </c>
      <c r="Z145" s="48" t="s">
        <v>1224</v>
      </c>
    </row>
    <row r="146" spans="1:26" x14ac:dyDescent="0.25">
      <c r="A146" s="4" t="str">
        <f t="shared" si="10"/>
        <v>Green Berry Soda|16 oz|100%</v>
      </c>
      <c r="B146" s="4" t="s">
        <v>81</v>
      </c>
      <c r="C146" s="4" t="s">
        <v>5</v>
      </c>
      <c r="D146" s="4" t="s">
        <v>66</v>
      </c>
      <c r="E146" s="63">
        <v>0</v>
      </c>
      <c r="F146" s="63">
        <v>100</v>
      </c>
      <c r="G146" s="63">
        <v>0</v>
      </c>
      <c r="H146" s="63">
        <v>0</v>
      </c>
      <c r="I146" s="63">
        <v>0</v>
      </c>
      <c r="J146" s="63">
        <f>ROUND(16+$AD$2*F146,1)</f>
        <v>28.8</v>
      </c>
      <c r="K146" s="63">
        <v>0</v>
      </c>
      <c r="L146" s="63">
        <v>0</v>
      </c>
      <c r="M146" s="63">
        <v>0</v>
      </c>
      <c r="N146" s="63">
        <v>0</v>
      </c>
      <c r="O146" s="63">
        <v>28</v>
      </c>
      <c r="P146" s="63">
        <v>6</v>
      </c>
      <c r="Q146" s="63">
        <v>80</v>
      </c>
      <c r="R146" s="63">
        <v>0</v>
      </c>
      <c r="S146" s="63">
        <v>240</v>
      </c>
      <c r="T146" s="63">
        <v>0</v>
      </c>
      <c r="U146" s="63">
        <v>0</v>
      </c>
      <c r="V146" s="65">
        <f t="shared" si="12"/>
        <v>214.8</v>
      </c>
      <c r="W146" s="8">
        <f>ROUND(E146*ต้นทุนและราคา!$C$4+F146*ต้นทุนและราคา!$C$5+G146*ต้นทุนและราคา!$C$6+H146*ต้นทุนและราคา!$C$7+I146*ต้นทุนและราคา!$C$8+J146*ต้นทุนและราคา!$C$9+K146*ต้นทุนและราคา!$C$10+L146*ต้นทุนและราคา!$C$11+M146*ต้นทุนและราคา!$C$12+N146*ต้นทุนและราคา!$C$13+O146*ต้นทุนและราคา!$C$14+P146*ต้นทุนและราคา!$C$15+Q146*ต้นทุนและราคา!$C$16+R146*ต้นทุนและราคา!$C$17+S146*ต้นทุนและราคา!$C$18+T146*ต้นทุนและราคา!$C$19+U146*ต้นทุนและราคา!$C$20+IF($C146="16 oz",ต้นทุนและราคา!$C$21,IF($C146="20 oz",ต้นทุนและราคา!$C$22,ต้นทุนและราคา!$C$23)),2)</f>
        <v>18.48</v>
      </c>
      <c r="X146" s="64" cm="1">
        <f t="array" ref="X146">IFERROR(INDEX(ต้นทุนและราคา!$C$26:$E$101,MATCH($B146,ต้นทุนและราคา!$A$26:$A$101,0),IF($C146="16 oz",1,IF($C146="20 oz",2,3))),"")</f>
        <v>50</v>
      </c>
      <c r="Y146" s="66">
        <f t="shared" si="11"/>
        <v>0.63039999999999996</v>
      </c>
      <c r="Z146" s="48" t="s">
        <v>1224</v>
      </c>
    </row>
    <row r="147" spans="1:26" x14ac:dyDescent="0.25">
      <c r="A147" s="4" t="str">
        <f t="shared" si="10"/>
        <v>Green Berry Soda|22 oz|0%</v>
      </c>
      <c r="B147" s="4" t="s">
        <v>81</v>
      </c>
      <c r="C147" s="4" t="s">
        <v>67</v>
      </c>
      <c r="D147" s="4" t="s">
        <v>63</v>
      </c>
      <c r="E147" s="63">
        <v>0</v>
      </c>
      <c r="F147" s="63">
        <v>137.5</v>
      </c>
      <c r="G147" s="63">
        <v>0</v>
      </c>
      <c r="H147" s="63">
        <v>0</v>
      </c>
      <c r="I147" s="63">
        <v>0</v>
      </c>
      <c r="J147" s="63">
        <v>0</v>
      </c>
      <c r="K147" s="63">
        <v>0</v>
      </c>
      <c r="L147" s="63">
        <v>0</v>
      </c>
      <c r="M147" s="63">
        <v>0</v>
      </c>
      <c r="N147" s="63">
        <v>0</v>
      </c>
      <c r="O147" s="63">
        <v>38.5</v>
      </c>
      <c r="P147" s="63">
        <v>8</v>
      </c>
      <c r="Q147" s="63">
        <v>110</v>
      </c>
      <c r="R147" s="63">
        <v>0</v>
      </c>
      <c r="S147" s="63">
        <v>330</v>
      </c>
      <c r="T147" s="63">
        <v>0</v>
      </c>
      <c r="U147" s="63">
        <v>0</v>
      </c>
      <c r="V147" s="65">
        <f t="shared" si="12"/>
        <v>255.5</v>
      </c>
      <c r="W147" s="8">
        <f>ROUND(E147*ต้นทุนและราคา!$C$4+F147*ต้นทุนและราคา!$C$5+G147*ต้นทุนและราคา!$C$6+H147*ต้นทุนและราคา!$C$7+I147*ต้นทุนและราคา!$C$8+J147*ต้นทุนและราคา!$C$9+K147*ต้นทุนและราคา!$C$10+L147*ต้นทุนและราคา!$C$11+M147*ต้นทุนและราคา!$C$12+N147*ต้นทุนและราคา!$C$13+O147*ต้นทุนและราคา!$C$14+P147*ต้นทุนและราคา!$C$15+Q147*ต้นทุนและราคา!$C$16+R147*ต้นทุนและราคา!$C$17+S147*ต้นทุนและราคา!$C$18+T147*ต้นทุนและราคา!$C$19+U147*ต้นทุนและราคา!$C$20+IF($C147="16 oz",ต้นทุนและราคา!$C$21,IF($C147="20 oz",ต้นทุนและราคา!$C$22,ต้นทุนและราคา!$C$23)),2)</f>
        <v>23.98</v>
      </c>
      <c r="X147" s="64" cm="1">
        <f t="array" ref="X147">IFERROR(INDEX(ต้นทุนและราคา!$C$26:$E$101,MATCH($B147,ต้นทุนและราคา!$A$26:$A$101,0),IF($C147="16 oz",1,IF($C147="20 oz",2,3))),"")</f>
        <v>65</v>
      </c>
      <c r="Y147" s="66">
        <f t="shared" si="11"/>
        <v>0.63107692307692298</v>
      </c>
      <c r="Z147" s="48" t="s">
        <v>1223</v>
      </c>
    </row>
    <row r="148" spans="1:26" x14ac:dyDescent="0.25">
      <c r="A148" s="4" t="str">
        <f t="shared" si="10"/>
        <v>Green Berry Soda|22 oz|25%</v>
      </c>
      <c r="B148" s="4" t="s">
        <v>81</v>
      </c>
      <c r="C148" s="4" t="s">
        <v>67</v>
      </c>
      <c r="D148" s="4" t="s">
        <v>64</v>
      </c>
      <c r="E148" s="63">
        <v>0</v>
      </c>
      <c r="F148" s="63">
        <v>137.5</v>
      </c>
      <c r="G148" s="63">
        <v>0</v>
      </c>
      <c r="H148" s="63">
        <v>0</v>
      </c>
      <c r="I148" s="63">
        <v>0</v>
      </c>
      <c r="J148" s="63">
        <f>ROUND(5.5+$AD$2*F148,1)</f>
        <v>23.1</v>
      </c>
      <c r="K148" s="63">
        <v>0</v>
      </c>
      <c r="L148" s="63">
        <v>0</v>
      </c>
      <c r="M148" s="63">
        <v>0</v>
      </c>
      <c r="N148" s="63">
        <v>0</v>
      </c>
      <c r="O148" s="63">
        <v>38.5</v>
      </c>
      <c r="P148" s="63">
        <v>8</v>
      </c>
      <c r="Q148" s="63">
        <v>110</v>
      </c>
      <c r="R148" s="63">
        <v>0</v>
      </c>
      <c r="S148" s="63">
        <v>330</v>
      </c>
      <c r="T148" s="63">
        <v>0</v>
      </c>
      <c r="U148" s="63">
        <v>0</v>
      </c>
      <c r="V148" s="65">
        <f t="shared" si="12"/>
        <v>278.60000000000002</v>
      </c>
      <c r="W148" s="8">
        <f>ROUND(E148*ต้นทุนและราคา!$C$4+F148*ต้นทุนและราคา!$C$5+G148*ต้นทุนและราคา!$C$6+H148*ต้นทุนและราคา!$C$7+I148*ต้นทุนและราคา!$C$8+J148*ต้นทุนและราคา!$C$9+K148*ต้นทุนและราคา!$C$10+L148*ต้นทุนและราคา!$C$11+M148*ต้นทุนและราคา!$C$12+N148*ต้นทุนและราคา!$C$13+O148*ต้นทุนและราคา!$C$14+P148*ต้นทุนและราคา!$C$15+Q148*ต้นทุนและราคา!$C$16+R148*ต้นทุนและราคา!$C$17+S148*ต้นทุนและราคา!$C$18+T148*ต้นทุนและราคา!$C$19+U148*ต้นทุนและราคา!$C$20+IF($C148="16 oz",ต้นทุนและราคา!$C$21,IF($C148="20 oz",ต้นทุนและราคา!$C$22,ต้นทุนและราคา!$C$23)),2)</f>
        <v>24.37</v>
      </c>
      <c r="X148" s="64" cm="1">
        <f t="array" ref="X148">IFERROR(INDEX(ต้นทุนและราคา!$C$26:$E$101,MATCH($B148,ต้นทุนและราคา!$A$26:$A$101,0),IF($C148="16 oz",1,IF($C148="20 oz",2,3))),"")</f>
        <v>65</v>
      </c>
      <c r="Y148" s="66">
        <f t="shared" si="11"/>
        <v>0.62507692307692297</v>
      </c>
      <c r="Z148" s="48" t="s">
        <v>1224</v>
      </c>
    </row>
    <row r="149" spans="1:26" x14ac:dyDescent="0.25">
      <c r="A149" s="4" t="str">
        <f t="shared" si="10"/>
        <v>Green Berry Soda|22 oz|50%</v>
      </c>
      <c r="B149" s="4" t="s">
        <v>81</v>
      </c>
      <c r="C149" s="4" t="s">
        <v>67</v>
      </c>
      <c r="D149" s="4" t="s">
        <v>7</v>
      </c>
      <c r="E149" s="63">
        <v>0</v>
      </c>
      <c r="F149" s="63">
        <v>137.5</v>
      </c>
      <c r="G149" s="63">
        <v>0</v>
      </c>
      <c r="H149" s="63">
        <v>0</v>
      </c>
      <c r="I149" s="63">
        <v>0</v>
      </c>
      <c r="J149" s="63">
        <f>ROUND(11+$AD$2*F149,1)</f>
        <v>28.6</v>
      </c>
      <c r="K149" s="63">
        <v>0</v>
      </c>
      <c r="L149" s="63">
        <v>0</v>
      </c>
      <c r="M149" s="63">
        <v>0</v>
      </c>
      <c r="N149" s="63">
        <v>0</v>
      </c>
      <c r="O149" s="63">
        <v>38.5</v>
      </c>
      <c r="P149" s="63">
        <v>8</v>
      </c>
      <c r="Q149" s="63">
        <v>110</v>
      </c>
      <c r="R149" s="63">
        <v>0</v>
      </c>
      <c r="S149" s="63">
        <v>330</v>
      </c>
      <c r="T149" s="63">
        <v>0</v>
      </c>
      <c r="U149" s="63">
        <v>0</v>
      </c>
      <c r="V149" s="65">
        <f t="shared" si="12"/>
        <v>284.10000000000002</v>
      </c>
      <c r="W149" s="8">
        <f>ROUND(E149*ต้นทุนและราคา!$C$4+F149*ต้นทุนและราคา!$C$5+G149*ต้นทุนและราคา!$C$6+H149*ต้นทุนและราคา!$C$7+I149*ต้นทุนและราคา!$C$8+J149*ต้นทุนและราคา!$C$9+K149*ต้นทุนและราคา!$C$10+L149*ต้นทุนและราคา!$C$11+M149*ต้นทุนและราคา!$C$12+N149*ต้นทุนและราคา!$C$13+O149*ต้นทุนและราคา!$C$14+P149*ต้นทุนและราคา!$C$15+Q149*ต้นทุนและราคา!$C$16+R149*ต้นทุนและราคา!$C$17+S149*ต้นทุนและราคา!$C$18+T149*ต้นทุนและราคา!$C$19+U149*ต้นทุนและราคา!$C$20+IF($C149="16 oz",ต้นทุนและราคา!$C$21,IF($C149="20 oz",ต้นทุนและราคา!$C$22,ต้นทุนและราคา!$C$23)),2)</f>
        <v>24.46</v>
      </c>
      <c r="X149" s="64" cm="1">
        <f t="array" ref="X149">IFERROR(INDEX(ต้นทุนและราคา!$C$26:$E$101,MATCH($B149,ต้นทุนและราคา!$A$26:$A$101,0),IF($C149="16 oz",1,IF($C149="20 oz",2,3))),"")</f>
        <v>65</v>
      </c>
      <c r="Y149" s="66">
        <f t="shared" si="11"/>
        <v>0.62369230769230766</v>
      </c>
      <c r="Z149" s="48" t="s">
        <v>1224</v>
      </c>
    </row>
    <row r="150" spans="1:26" x14ac:dyDescent="0.25">
      <c r="A150" s="4" t="str">
        <f t="shared" si="10"/>
        <v>Green Berry Soda|22 oz|75%</v>
      </c>
      <c r="B150" s="4" t="s">
        <v>81</v>
      </c>
      <c r="C150" s="4" t="s">
        <v>67</v>
      </c>
      <c r="D150" s="4" t="s">
        <v>65</v>
      </c>
      <c r="E150" s="63">
        <v>0</v>
      </c>
      <c r="F150" s="63">
        <v>137.5</v>
      </c>
      <c r="G150" s="63">
        <v>0</v>
      </c>
      <c r="H150" s="63">
        <v>0</v>
      </c>
      <c r="I150" s="63">
        <v>0</v>
      </c>
      <c r="J150" s="63">
        <f>ROUND(16.5+$AD$2*F150,1)</f>
        <v>34.1</v>
      </c>
      <c r="K150" s="63">
        <v>0</v>
      </c>
      <c r="L150" s="63">
        <v>0</v>
      </c>
      <c r="M150" s="63">
        <v>0</v>
      </c>
      <c r="N150" s="63">
        <v>0</v>
      </c>
      <c r="O150" s="63">
        <v>38.5</v>
      </c>
      <c r="P150" s="63">
        <v>8</v>
      </c>
      <c r="Q150" s="63">
        <v>110</v>
      </c>
      <c r="R150" s="63">
        <v>0</v>
      </c>
      <c r="S150" s="63">
        <v>330</v>
      </c>
      <c r="T150" s="63">
        <v>0</v>
      </c>
      <c r="U150" s="63">
        <v>0</v>
      </c>
      <c r="V150" s="65">
        <f t="shared" si="12"/>
        <v>289.60000000000002</v>
      </c>
      <c r="W150" s="8">
        <f>ROUND(E150*ต้นทุนและราคา!$C$4+F150*ต้นทุนและราคา!$C$5+G150*ต้นทุนและราคา!$C$6+H150*ต้นทุนและราคา!$C$7+I150*ต้นทุนและราคา!$C$8+J150*ต้นทุนและราคา!$C$9+K150*ต้นทุนและราคา!$C$10+L150*ต้นทุนและราคา!$C$11+M150*ต้นทุนและราคา!$C$12+N150*ต้นทุนและราคา!$C$13+O150*ต้นทุนและราคา!$C$14+P150*ต้นทุนและราคา!$C$15+Q150*ต้นทุนและราคา!$C$16+R150*ต้นทุนและราคา!$C$17+S150*ต้นทุนและราคา!$C$18+T150*ต้นทุนและราคา!$C$19+U150*ต้นทุนและราคา!$C$20+IF($C150="16 oz",ต้นทุนและราคา!$C$21,IF($C150="20 oz",ต้นทุนและราคา!$C$22,ต้นทุนและราคา!$C$23)),2)</f>
        <v>24.56</v>
      </c>
      <c r="X150" s="64" cm="1">
        <f t="array" ref="X150">IFERROR(INDEX(ต้นทุนและราคา!$C$26:$E$101,MATCH($B150,ต้นทุนและราคา!$A$26:$A$101,0),IF($C150="16 oz",1,IF($C150="20 oz",2,3))),"")</f>
        <v>65</v>
      </c>
      <c r="Y150" s="66">
        <f t="shared" si="11"/>
        <v>0.62215384615384617</v>
      </c>
      <c r="Z150" s="48" t="s">
        <v>1224</v>
      </c>
    </row>
    <row r="151" spans="1:26" x14ac:dyDescent="0.25">
      <c r="A151" s="4" t="str">
        <f t="shared" si="10"/>
        <v>Green Berry Soda|22 oz|100%</v>
      </c>
      <c r="B151" s="4" t="s">
        <v>81</v>
      </c>
      <c r="C151" s="4" t="s">
        <v>67</v>
      </c>
      <c r="D151" s="4" t="s">
        <v>66</v>
      </c>
      <c r="E151" s="63">
        <v>0</v>
      </c>
      <c r="F151" s="63">
        <v>137.5</v>
      </c>
      <c r="G151" s="63">
        <v>0</v>
      </c>
      <c r="H151" s="63">
        <v>0</v>
      </c>
      <c r="I151" s="63">
        <v>0</v>
      </c>
      <c r="J151" s="63">
        <f>ROUND(22+$AD$2*F151,1)</f>
        <v>39.6</v>
      </c>
      <c r="K151" s="63">
        <v>0</v>
      </c>
      <c r="L151" s="63">
        <v>0</v>
      </c>
      <c r="M151" s="63">
        <v>0</v>
      </c>
      <c r="N151" s="63">
        <v>0</v>
      </c>
      <c r="O151" s="63">
        <v>38.5</v>
      </c>
      <c r="P151" s="63">
        <v>8</v>
      </c>
      <c r="Q151" s="63">
        <v>110</v>
      </c>
      <c r="R151" s="63">
        <v>0</v>
      </c>
      <c r="S151" s="63">
        <v>330</v>
      </c>
      <c r="T151" s="63">
        <v>0</v>
      </c>
      <c r="U151" s="63">
        <v>0</v>
      </c>
      <c r="V151" s="65">
        <f t="shared" si="12"/>
        <v>295.10000000000002</v>
      </c>
      <c r="W151" s="8">
        <f>ROUND(E151*ต้นทุนและราคา!$C$4+F151*ต้นทุนและราคา!$C$5+G151*ต้นทุนและราคา!$C$6+H151*ต้นทุนและราคา!$C$7+I151*ต้นทุนและราคา!$C$8+J151*ต้นทุนและราคา!$C$9+K151*ต้นทุนและราคา!$C$10+L151*ต้นทุนและราคา!$C$11+M151*ต้นทุนและราคา!$C$12+N151*ต้นทุนและราคา!$C$13+O151*ต้นทุนและราคา!$C$14+P151*ต้นทุนและราคา!$C$15+Q151*ต้นทุนและราคา!$C$16+R151*ต้นทุนและราคา!$C$17+S151*ต้นทุนและราคา!$C$18+T151*ต้นทุนและราคา!$C$19+U151*ต้นทุนและราคา!$C$20+IF($C151="16 oz",ต้นทุนและราคา!$C$21,IF($C151="20 oz",ต้นทุนและราคา!$C$22,ต้นทุนและราคา!$C$23)),2)</f>
        <v>24.65</v>
      </c>
      <c r="X151" s="64" cm="1">
        <f t="array" ref="X151">IFERROR(INDEX(ต้นทุนและราคา!$C$26:$E$101,MATCH($B151,ต้นทุนและราคา!$A$26:$A$101,0),IF($C151="16 oz",1,IF($C151="20 oz",2,3))),"")</f>
        <v>65</v>
      </c>
      <c r="Y151" s="66">
        <f t="shared" si="11"/>
        <v>0.62076923076923074</v>
      </c>
      <c r="Z151" s="48" t="s">
        <v>1224</v>
      </c>
    </row>
    <row r="152" spans="1:26" x14ac:dyDescent="0.25">
      <c r="A152" s="4" t="str">
        <f t="shared" si="10"/>
        <v>Green Tea Frappe|16 oz|0%</v>
      </c>
      <c r="B152" s="4" t="s">
        <v>82</v>
      </c>
      <c r="C152" s="4" t="s">
        <v>5</v>
      </c>
      <c r="D152" s="4" t="s">
        <v>63</v>
      </c>
      <c r="E152" s="63">
        <v>0</v>
      </c>
      <c r="F152" s="63">
        <v>90</v>
      </c>
      <c r="G152" s="63">
        <v>70</v>
      </c>
      <c r="H152" s="63">
        <v>20</v>
      </c>
      <c r="I152" s="63">
        <v>0</v>
      </c>
      <c r="J152" s="63">
        <v>0</v>
      </c>
      <c r="K152" s="63">
        <v>0</v>
      </c>
      <c r="L152" s="63">
        <v>0</v>
      </c>
      <c r="M152" s="63">
        <v>0</v>
      </c>
      <c r="N152" s="63">
        <v>0</v>
      </c>
      <c r="O152" s="63">
        <v>0</v>
      </c>
      <c r="P152" s="63">
        <v>0</v>
      </c>
      <c r="Q152" s="63">
        <v>0</v>
      </c>
      <c r="R152" s="63">
        <v>0</v>
      </c>
      <c r="S152" s="63">
        <v>200</v>
      </c>
      <c r="T152" s="63">
        <v>0</v>
      </c>
      <c r="U152" s="63">
        <v>0</v>
      </c>
      <c r="V152" s="65">
        <f t="shared" si="12"/>
        <v>180</v>
      </c>
      <c r="W152" s="8">
        <f>ROUND(E152*ต้นทุนและราคา!$C$4+F152*ต้นทุนและราคา!$C$5+G152*ต้นทุนและราคา!$C$6+H152*ต้นทุนและราคา!$C$7+I152*ต้นทุนและราคา!$C$8+J152*ต้นทุนและราคา!$C$9+K152*ต้นทุนและราคา!$C$10+L152*ต้นทุนและราคา!$C$11+M152*ต้นทุนและราคา!$C$12+N152*ต้นทุนและราคา!$C$13+O152*ต้นทุนและราคา!$C$14+P152*ต้นทุนและราคา!$C$15+Q152*ต้นทุนและราคา!$C$16+R152*ต้นทุนและราคา!$C$17+S152*ต้นทุนและราคา!$C$18+T152*ต้นทุนและราคา!$C$19+U152*ต้นทุนและราคา!$C$20+IF($C152="16 oz",ต้นทุนและราคา!$C$21,IF($C152="20 oz",ต้นทุนและราคา!$C$22,ต้นทุนและราคา!$C$23)),2)</f>
        <v>13.83</v>
      </c>
      <c r="X152" s="64" cm="1">
        <f t="array" ref="X152">IFERROR(INDEX(ต้นทุนและราคา!$C$26:$E$101,MATCH($B152,ต้นทุนและราคา!$A$26:$A$101,0),IF($C152="16 oz",1,IF($C152="20 oz",2,3))),"")</f>
        <v>65</v>
      </c>
      <c r="Y152" s="66">
        <f t="shared" si="11"/>
        <v>0.78723076923076929</v>
      </c>
      <c r="Z152" s="48" t="s">
        <v>1225</v>
      </c>
    </row>
    <row r="153" spans="1:26" x14ac:dyDescent="0.25">
      <c r="A153" s="4" t="str">
        <f t="shared" si="10"/>
        <v>Green Tea Frappe|16 oz|25%</v>
      </c>
      <c r="B153" s="4" t="s">
        <v>82</v>
      </c>
      <c r="C153" s="4" t="s">
        <v>5</v>
      </c>
      <c r="D153" s="4" t="s">
        <v>64</v>
      </c>
      <c r="E153" s="63">
        <v>0</v>
      </c>
      <c r="F153" s="63">
        <v>90</v>
      </c>
      <c r="G153" s="63">
        <f>ROUND(70-$AD$2*F153,1)</f>
        <v>58.5</v>
      </c>
      <c r="H153" s="63">
        <v>20</v>
      </c>
      <c r="I153" s="63">
        <v>8</v>
      </c>
      <c r="J153" s="63">
        <f>ROUND(0+$AD$2*F153,1)</f>
        <v>11.5</v>
      </c>
      <c r="K153" s="63">
        <v>0</v>
      </c>
      <c r="L153" s="63">
        <v>0</v>
      </c>
      <c r="M153" s="63">
        <v>0</v>
      </c>
      <c r="N153" s="63">
        <v>0</v>
      </c>
      <c r="O153" s="63">
        <v>0</v>
      </c>
      <c r="P153" s="63">
        <v>0</v>
      </c>
      <c r="Q153" s="63">
        <v>0</v>
      </c>
      <c r="R153" s="63">
        <v>0</v>
      </c>
      <c r="S153" s="63">
        <v>200</v>
      </c>
      <c r="T153" s="63">
        <v>0</v>
      </c>
      <c r="U153" s="63">
        <v>0</v>
      </c>
      <c r="V153" s="65">
        <f t="shared" si="12"/>
        <v>188</v>
      </c>
      <c r="W153" s="8">
        <f>ROUND(E153*ต้นทุนและราคา!$C$4+F153*ต้นทุนและราคา!$C$5+G153*ต้นทุนและราคา!$C$6+H153*ต้นทุนและราคา!$C$7+I153*ต้นทุนและราคา!$C$8+J153*ต้นทุนและราคา!$C$9+K153*ต้นทุนและราคา!$C$10+L153*ต้นทุนและราคา!$C$11+M153*ต้นทุนและราคา!$C$12+N153*ต้นทุนและราคา!$C$13+O153*ต้นทุนและราคา!$C$14+P153*ต้นทุนและราคา!$C$15+Q153*ต้นทุนและราคา!$C$16+R153*ต้นทุนและราคา!$C$17+S153*ต้นทุนและราคา!$C$18+T153*ต้นทุนและราคา!$C$19+U153*ต้นทุนและราคา!$C$20+IF($C153="16 oz",ต้นทุนและราคา!$C$21,IF($C153="20 oz",ต้นทุนและราคา!$C$22,ต้นทุนและราคา!$C$23)),2)</f>
        <v>14.03</v>
      </c>
      <c r="X153" s="64" cm="1">
        <f t="array" ref="X153">IFERROR(INDEX(ต้นทุนและราคา!$C$26:$E$101,MATCH($B153,ต้นทุนและราคา!$A$26:$A$101,0),IF($C153="16 oz",1,IF($C153="20 oz",2,3))),"")</f>
        <v>65</v>
      </c>
      <c r="Y153" s="66">
        <f t="shared" si="11"/>
        <v>0.78415384615384609</v>
      </c>
      <c r="Z153" s="48" t="s">
        <v>1226</v>
      </c>
    </row>
    <row r="154" spans="1:26" x14ac:dyDescent="0.25">
      <c r="A154" s="4" t="str">
        <f t="shared" si="10"/>
        <v>Green Tea Frappe|16 oz|50%</v>
      </c>
      <c r="B154" s="4" t="s">
        <v>82</v>
      </c>
      <c r="C154" s="4" t="s">
        <v>5</v>
      </c>
      <c r="D154" s="4" t="s">
        <v>7</v>
      </c>
      <c r="E154" s="63">
        <v>0</v>
      </c>
      <c r="F154" s="63">
        <v>90</v>
      </c>
      <c r="G154" s="63">
        <f>ROUND(70-$AD$2*F154,1)</f>
        <v>58.5</v>
      </c>
      <c r="H154" s="63">
        <v>20</v>
      </c>
      <c r="I154" s="63">
        <v>16</v>
      </c>
      <c r="J154" s="63">
        <f>ROUND(0+$AD$2*F154,1)</f>
        <v>11.5</v>
      </c>
      <c r="K154" s="63">
        <v>0</v>
      </c>
      <c r="L154" s="63">
        <v>0</v>
      </c>
      <c r="M154" s="63">
        <v>0</v>
      </c>
      <c r="N154" s="63">
        <v>0</v>
      </c>
      <c r="O154" s="63">
        <v>0</v>
      </c>
      <c r="P154" s="63">
        <v>0</v>
      </c>
      <c r="Q154" s="63">
        <v>0</v>
      </c>
      <c r="R154" s="63">
        <v>0</v>
      </c>
      <c r="S154" s="63">
        <v>200</v>
      </c>
      <c r="T154" s="63">
        <v>0</v>
      </c>
      <c r="U154" s="63">
        <v>0</v>
      </c>
      <c r="V154" s="65">
        <f t="shared" si="12"/>
        <v>196</v>
      </c>
      <c r="W154" s="8">
        <f>ROUND(E154*ต้นทุนและราคา!$C$4+F154*ต้นทุนและราคา!$C$5+G154*ต้นทุนและราคา!$C$6+H154*ต้นทุนและราคา!$C$7+I154*ต้นทุนและราคา!$C$8+J154*ต้นทุนและราคา!$C$9+K154*ต้นทุนและราคา!$C$10+L154*ต้นทุนและราคา!$C$11+M154*ต้นทุนและราคา!$C$12+N154*ต้นทุนและราคา!$C$13+O154*ต้นทุนและราคา!$C$14+P154*ต้นทุนและราคา!$C$15+Q154*ต้นทุนและราคา!$C$16+R154*ต้นทุนและราคา!$C$17+S154*ต้นทุนและราคา!$C$18+T154*ต้นทุนและราคา!$C$19+U154*ต้นทุนและราคา!$C$20+IF($C154="16 oz",ต้นทุนและราคา!$C$21,IF($C154="20 oz",ต้นทุนและราคา!$C$22,ต้นทุนและราคา!$C$23)),2)</f>
        <v>14.58</v>
      </c>
      <c r="X154" s="64" cm="1">
        <f t="array" ref="X154">IFERROR(INDEX(ต้นทุนและราคา!$C$26:$E$101,MATCH($B154,ต้นทุนและราคา!$A$26:$A$101,0),IF($C154="16 oz",1,IF($C154="20 oz",2,3))),"")</f>
        <v>65</v>
      </c>
      <c r="Y154" s="66">
        <f t="shared" si="11"/>
        <v>0.77569230769230768</v>
      </c>
      <c r="Z154" s="48" t="s">
        <v>1226</v>
      </c>
    </row>
    <row r="155" spans="1:26" x14ac:dyDescent="0.25">
      <c r="A155" s="4" t="str">
        <f t="shared" si="10"/>
        <v>Green Tea Frappe|16 oz|75%</v>
      </c>
      <c r="B155" s="4" t="s">
        <v>82</v>
      </c>
      <c r="C155" s="4" t="s">
        <v>5</v>
      </c>
      <c r="D155" s="4" t="s">
        <v>65</v>
      </c>
      <c r="E155" s="63">
        <v>0</v>
      </c>
      <c r="F155" s="63">
        <v>90</v>
      </c>
      <c r="G155" s="63">
        <f>ROUND(70-$AD$2*F155,1)</f>
        <v>58.5</v>
      </c>
      <c r="H155" s="63">
        <v>20</v>
      </c>
      <c r="I155" s="63">
        <v>24</v>
      </c>
      <c r="J155" s="63">
        <f>ROUND(0+$AD$2*F155,1)</f>
        <v>11.5</v>
      </c>
      <c r="K155" s="63">
        <v>0</v>
      </c>
      <c r="L155" s="63">
        <v>0</v>
      </c>
      <c r="M155" s="63">
        <v>0</v>
      </c>
      <c r="N155" s="63">
        <v>0</v>
      </c>
      <c r="O155" s="63">
        <v>0</v>
      </c>
      <c r="P155" s="63">
        <v>0</v>
      </c>
      <c r="Q155" s="63">
        <v>0</v>
      </c>
      <c r="R155" s="63">
        <v>0</v>
      </c>
      <c r="S155" s="63">
        <v>200</v>
      </c>
      <c r="T155" s="63">
        <v>0</v>
      </c>
      <c r="U155" s="63">
        <v>0</v>
      </c>
      <c r="V155" s="65">
        <f t="shared" si="12"/>
        <v>204</v>
      </c>
      <c r="W155" s="8">
        <f>ROUND(E155*ต้นทุนและราคา!$C$4+F155*ต้นทุนและราคา!$C$5+G155*ต้นทุนและราคา!$C$6+H155*ต้นทุนและราคา!$C$7+I155*ต้นทุนและราคา!$C$8+J155*ต้นทุนและราคา!$C$9+K155*ต้นทุนและราคา!$C$10+L155*ต้นทุนและราคา!$C$11+M155*ต้นทุนและราคา!$C$12+N155*ต้นทุนและราคา!$C$13+O155*ต้นทุนและราคา!$C$14+P155*ต้นทุนและราคา!$C$15+Q155*ต้นทุนและราคา!$C$16+R155*ต้นทุนและราคา!$C$17+S155*ต้นทุนและราคา!$C$18+T155*ต้นทุนและราคา!$C$19+U155*ต้นทุนและราคา!$C$20+IF($C155="16 oz",ต้นทุนและราคา!$C$21,IF($C155="20 oz",ต้นทุนและราคา!$C$22,ต้นทุนและราคา!$C$23)),2)</f>
        <v>15.14</v>
      </c>
      <c r="X155" s="64" cm="1">
        <f t="array" ref="X155">IFERROR(INDEX(ต้นทุนและราคา!$C$26:$E$101,MATCH($B155,ต้นทุนและราคา!$A$26:$A$101,0),IF($C155="16 oz",1,IF($C155="20 oz",2,3))),"")</f>
        <v>65</v>
      </c>
      <c r="Y155" s="66">
        <f t="shared" si="11"/>
        <v>0.7670769230769231</v>
      </c>
      <c r="Z155" s="48" t="s">
        <v>1226</v>
      </c>
    </row>
    <row r="156" spans="1:26" x14ac:dyDescent="0.25">
      <c r="A156" s="4" t="str">
        <f t="shared" si="10"/>
        <v>Green Tea Frappe|16 oz|100%</v>
      </c>
      <c r="B156" s="4" t="s">
        <v>82</v>
      </c>
      <c r="C156" s="4" t="s">
        <v>5</v>
      </c>
      <c r="D156" s="4" t="s">
        <v>66</v>
      </c>
      <c r="E156" s="63">
        <v>0</v>
      </c>
      <c r="F156" s="63">
        <v>90</v>
      </c>
      <c r="G156" s="63">
        <f>ROUND(70-$AD$2*F156,1)</f>
        <v>58.5</v>
      </c>
      <c r="H156" s="63">
        <v>20</v>
      </c>
      <c r="I156" s="63">
        <v>32</v>
      </c>
      <c r="J156" s="63">
        <f>ROUND(0+$AD$2*F156,1)</f>
        <v>11.5</v>
      </c>
      <c r="K156" s="63">
        <v>0</v>
      </c>
      <c r="L156" s="63">
        <v>0</v>
      </c>
      <c r="M156" s="63">
        <v>0</v>
      </c>
      <c r="N156" s="63">
        <v>0</v>
      </c>
      <c r="O156" s="63">
        <v>0</v>
      </c>
      <c r="P156" s="63">
        <v>0</v>
      </c>
      <c r="Q156" s="63">
        <v>0</v>
      </c>
      <c r="R156" s="63">
        <v>0</v>
      </c>
      <c r="S156" s="63">
        <v>200</v>
      </c>
      <c r="T156" s="63">
        <v>0</v>
      </c>
      <c r="U156" s="63">
        <v>0</v>
      </c>
      <c r="V156" s="65">
        <f t="shared" si="12"/>
        <v>212</v>
      </c>
      <c r="W156" s="8">
        <f>ROUND(E156*ต้นทุนและราคา!$C$4+F156*ต้นทุนและราคา!$C$5+G156*ต้นทุนและราคา!$C$6+H156*ต้นทุนและราคา!$C$7+I156*ต้นทุนและราคา!$C$8+J156*ต้นทุนและราคา!$C$9+K156*ต้นทุนและราคา!$C$10+L156*ต้นทุนและราคา!$C$11+M156*ต้นทุนและราคา!$C$12+N156*ต้นทุนและราคา!$C$13+O156*ต้นทุนและราคา!$C$14+P156*ต้นทุนและราคา!$C$15+Q156*ต้นทุนและราคา!$C$16+R156*ต้นทุนและราคา!$C$17+S156*ต้นทุนและราคา!$C$18+T156*ต้นทุนและราคา!$C$19+U156*ต้นทุนและราคา!$C$20+IF($C156="16 oz",ต้นทุนและราคา!$C$21,IF($C156="20 oz",ต้นทุนและราคา!$C$22,ต้นทุนและราคา!$C$23)),2)</f>
        <v>15.69</v>
      </c>
      <c r="X156" s="64" cm="1">
        <f t="array" ref="X156">IFERROR(INDEX(ต้นทุนและราคา!$C$26:$E$101,MATCH($B156,ต้นทุนและราคา!$A$26:$A$101,0),IF($C156="16 oz",1,IF($C156="20 oz",2,3))),"")</f>
        <v>65</v>
      </c>
      <c r="Y156" s="66">
        <f t="shared" si="11"/>
        <v>0.75861538461538469</v>
      </c>
      <c r="Z156" s="48" t="s">
        <v>1226</v>
      </c>
    </row>
    <row r="157" spans="1:26" x14ac:dyDescent="0.25">
      <c r="A157" s="4" t="str">
        <f t="shared" si="10"/>
        <v>Green Tea Frappe|22 oz|0%</v>
      </c>
      <c r="B157" s="4" t="s">
        <v>82</v>
      </c>
      <c r="C157" s="4" t="s">
        <v>67</v>
      </c>
      <c r="D157" s="4" t="s">
        <v>63</v>
      </c>
      <c r="E157" s="63">
        <v>0</v>
      </c>
      <c r="F157" s="63">
        <v>124</v>
      </c>
      <c r="G157" s="63">
        <v>96</v>
      </c>
      <c r="H157" s="63">
        <v>27.5</v>
      </c>
      <c r="I157" s="63">
        <v>0</v>
      </c>
      <c r="J157" s="63">
        <v>0</v>
      </c>
      <c r="K157" s="63">
        <v>0</v>
      </c>
      <c r="L157" s="63">
        <v>0</v>
      </c>
      <c r="M157" s="63">
        <v>0</v>
      </c>
      <c r="N157" s="63">
        <v>0</v>
      </c>
      <c r="O157" s="63">
        <v>0</v>
      </c>
      <c r="P157" s="63">
        <v>0</v>
      </c>
      <c r="Q157" s="63">
        <v>0</v>
      </c>
      <c r="R157" s="63">
        <v>0</v>
      </c>
      <c r="S157" s="63">
        <v>270</v>
      </c>
      <c r="T157" s="63">
        <v>0</v>
      </c>
      <c r="U157" s="63">
        <v>0</v>
      </c>
      <c r="V157" s="65">
        <f t="shared" si="12"/>
        <v>247.5</v>
      </c>
      <c r="W157" s="8">
        <f>ROUND(E157*ต้นทุนและราคา!$C$4+F157*ต้นทุนและราคา!$C$5+G157*ต้นทุนและราคา!$C$6+H157*ต้นทุนและราคา!$C$7+I157*ต้นทุนและราคา!$C$8+J157*ต้นทุนและราคา!$C$9+K157*ต้นทุนและราคา!$C$10+L157*ต้นทุนและราคา!$C$11+M157*ต้นทุนและราคา!$C$12+N157*ต้นทุนและราคา!$C$13+O157*ต้นทุนและราคา!$C$14+P157*ต้นทุนและราคา!$C$15+Q157*ต้นทุนและราคา!$C$16+R157*ต้นทุนและราคา!$C$17+S157*ต้นทุนและราคา!$C$18+T157*ต้นทุนและราคา!$C$19+U157*ต้นทุนและราคา!$C$20+IF($C157="16 oz",ต้นทุนและราคา!$C$21,IF($C157="20 oz",ต้นทุนและราคา!$C$22,ต้นทุนและราคา!$C$23)),2)</f>
        <v>18.239999999999998</v>
      </c>
      <c r="X157" s="64" cm="1">
        <f t="array" ref="X157">IFERROR(INDEX(ต้นทุนและราคา!$C$26:$E$101,MATCH($B157,ต้นทุนและราคา!$A$26:$A$101,0),IF($C157="16 oz",1,IF($C157="20 oz",2,3))),"")</f>
        <v>75</v>
      </c>
      <c r="Y157" s="66">
        <f t="shared" si="11"/>
        <v>0.75680000000000003</v>
      </c>
      <c r="Z157" s="48" t="s">
        <v>1225</v>
      </c>
    </row>
    <row r="158" spans="1:26" x14ac:dyDescent="0.25">
      <c r="A158" s="4" t="str">
        <f t="shared" si="10"/>
        <v>Green Tea Frappe|22 oz|25%</v>
      </c>
      <c r="B158" s="4" t="s">
        <v>82</v>
      </c>
      <c r="C158" s="4" t="s">
        <v>67</v>
      </c>
      <c r="D158" s="4" t="s">
        <v>64</v>
      </c>
      <c r="E158" s="63">
        <v>0</v>
      </c>
      <c r="F158" s="63">
        <v>124</v>
      </c>
      <c r="G158" s="63">
        <f>ROUND(96-$AD$2*F158,1)</f>
        <v>80.099999999999994</v>
      </c>
      <c r="H158" s="63">
        <v>27.5</v>
      </c>
      <c r="I158" s="63">
        <v>11</v>
      </c>
      <c r="J158" s="63">
        <f>ROUND(0+$AD$2*F158,1)</f>
        <v>15.9</v>
      </c>
      <c r="K158" s="63">
        <v>0</v>
      </c>
      <c r="L158" s="63">
        <v>0</v>
      </c>
      <c r="M158" s="63">
        <v>0</v>
      </c>
      <c r="N158" s="63">
        <v>0</v>
      </c>
      <c r="O158" s="63">
        <v>0</v>
      </c>
      <c r="P158" s="63">
        <v>0</v>
      </c>
      <c r="Q158" s="63">
        <v>0</v>
      </c>
      <c r="R158" s="63">
        <v>0</v>
      </c>
      <c r="S158" s="63">
        <v>270</v>
      </c>
      <c r="T158" s="63">
        <v>0</v>
      </c>
      <c r="U158" s="63">
        <v>0</v>
      </c>
      <c r="V158" s="65">
        <f t="shared" si="12"/>
        <v>258.5</v>
      </c>
      <c r="W158" s="8">
        <f>ROUND(E158*ต้นทุนและราคา!$C$4+F158*ต้นทุนและราคา!$C$5+G158*ต้นทุนและราคา!$C$6+H158*ต้นทุนและราคา!$C$7+I158*ต้นทุนและราคา!$C$8+J158*ต้นทุนและราคา!$C$9+K158*ต้นทุนและราคา!$C$10+L158*ต้นทุนและราคา!$C$11+M158*ต้นทุนและราคา!$C$12+N158*ต้นทุนและราคา!$C$13+O158*ต้นทุนและราคา!$C$14+P158*ต้นทุนและราคา!$C$15+Q158*ต้นทุนและราคา!$C$16+R158*ต้นทุนและราคา!$C$17+S158*ต้นทุนและราคา!$C$18+T158*ต้นทุนและราคา!$C$19+U158*ต้นทุนและราคา!$C$20+IF($C158="16 oz",ต้นทุนและราคา!$C$21,IF($C158="20 oz",ต้นทุนและราคา!$C$22,ต้นทุนและราคา!$C$23)),2)</f>
        <v>18.510000000000002</v>
      </c>
      <c r="X158" s="64" cm="1">
        <f t="array" ref="X158">IFERROR(INDEX(ต้นทุนและราคา!$C$26:$E$101,MATCH($B158,ต้นทุนและราคา!$A$26:$A$101,0),IF($C158="16 oz",1,IF($C158="20 oz",2,3))),"")</f>
        <v>75</v>
      </c>
      <c r="Y158" s="66">
        <f t="shared" si="11"/>
        <v>0.75319999999999998</v>
      </c>
      <c r="Z158" s="48" t="s">
        <v>1226</v>
      </c>
    </row>
    <row r="159" spans="1:26" x14ac:dyDescent="0.25">
      <c r="A159" s="4" t="str">
        <f t="shared" si="10"/>
        <v>Green Tea Frappe|22 oz|50%</v>
      </c>
      <c r="B159" s="4" t="s">
        <v>82</v>
      </c>
      <c r="C159" s="4" t="s">
        <v>67</v>
      </c>
      <c r="D159" s="4" t="s">
        <v>7</v>
      </c>
      <c r="E159" s="63">
        <v>0</v>
      </c>
      <c r="F159" s="63">
        <v>124</v>
      </c>
      <c r="G159" s="63">
        <f>ROUND(96-$AD$2*F159,1)</f>
        <v>80.099999999999994</v>
      </c>
      <c r="H159" s="63">
        <v>27.5</v>
      </c>
      <c r="I159" s="63">
        <v>22</v>
      </c>
      <c r="J159" s="63">
        <f>ROUND(0+$AD$2*F159,1)</f>
        <v>15.9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270</v>
      </c>
      <c r="T159" s="63">
        <v>0</v>
      </c>
      <c r="U159" s="63">
        <v>0</v>
      </c>
      <c r="V159" s="65">
        <f t="shared" si="12"/>
        <v>269.5</v>
      </c>
      <c r="W159" s="8">
        <f>ROUND(E159*ต้นทุนและราคา!$C$4+F159*ต้นทุนและราคา!$C$5+G159*ต้นทุนและราคา!$C$6+H159*ต้นทุนและราคา!$C$7+I159*ต้นทุนและราคา!$C$8+J159*ต้นทุนและราคา!$C$9+K159*ต้นทุนและราคา!$C$10+L159*ต้นทุนและราคา!$C$11+M159*ต้นทุนและราคา!$C$12+N159*ต้นทุนและราคา!$C$13+O159*ต้นทุนและราคา!$C$14+P159*ต้นทุนและราคา!$C$15+Q159*ต้นทุนและราคา!$C$16+R159*ต้นทุนและราคา!$C$17+S159*ต้นทุนและราคา!$C$18+T159*ต้นทุนและราคา!$C$19+U159*ต้นทุนและราคา!$C$20+IF($C159="16 oz",ต้นทุนและราคา!$C$21,IF($C159="20 oz",ต้นทุนและราคา!$C$22,ต้นทุนและราคา!$C$23)),2)</f>
        <v>19.27</v>
      </c>
      <c r="X159" s="64" cm="1">
        <f t="array" ref="X159">IFERROR(INDEX(ต้นทุนและราคา!$C$26:$E$101,MATCH($B159,ต้นทุนและราคา!$A$26:$A$101,0),IF($C159="16 oz",1,IF($C159="20 oz",2,3))),"")</f>
        <v>75</v>
      </c>
      <c r="Y159" s="66">
        <f t="shared" si="11"/>
        <v>0.74306666666666676</v>
      </c>
      <c r="Z159" s="48" t="s">
        <v>1226</v>
      </c>
    </row>
    <row r="160" spans="1:26" x14ac:dyDescent="0.25">
      <c r="A160" s="4" t="str">
        <f t="shared" si="10"/>
        <v>Green Tea Frappe|22 oz|75%</v>
      </c>
      <c r="B160" s="4" t="s">
        <v>82</v>
      </c>
      <c r="C160" s="4" t="s">
        <v>67</v>
      </c>
      <c r="D160" s="4" t="s">
        <v>65</v>
      </c>
      <c r="E160" s="63">
        <v>0</v>
      </c>
      <c r="F160" s="63">
        <v>124</v>
      </c>
      <c r="G160" s="63">
        <f>ROUND(96-$AD$2*F160,1)</f>
        <v>80.099999999999994</v>
      </c>
      <c r="H160" s="63">
        <v>27.5</v>
      </c>
      <c r="I160" s="63">
        <v>33</v>
      </c>
      <c r="J160" s="63">
        <f>ROUND(0+$AD$2*F160,1)</f>
        <v>15.9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270</v>
      </c>
      <c r="T160" s="63">
        <v>0</v>
      </c>
      <c r="U160" s="63">
        <v>0</v>
      </c>
      <c r="V160" s="65">
        <f t="shared" si="12"/>
        <v>280.5</v>
      </c>
      <c r="W160" s="8">
        <f>ROUND(E160*ต้นทุนและราคา!$C$4+F160*ต้นทุนและราคา!$C$5+G160*ต้นทุนและราคา!$C$6+H160*ต้นทุนและราคา!$C$7+I160*ต้นทุนและราคา!$C$8+J160*ต้นทุนและราคา!$C$9+K160*ต้นทุนและราคา!$C$10+L160*ต้นทุนและราคา!$C$11+M160*ต้นทุนและราคา!$C$12+N160*ต้นทุนและราคา!$C$13+O160*ต้นทุนและราคา!$C$14+P160*ต้นทุนและราคา!$C$15+Q160*ต้นทุนและราคา!$C$16+R160*ต้นทุนและราคา!$C$17+S160*ต้นทุนและราคา!$C$18+T160*ต้นทุนและราคา!$C$19+U160*ต้นทุนและราคา!$C$20+IF($C160="16 oz",ต้นทุนและราคา!$C$21,IF($C160="20 oz",ต้นทุนและราคา!$C$22,ต้นทุนและราคา!$C$23)),2)</f>
        <v>20.03</v>
      </c>
      <c r="X160" s="64" cm="1">
        <f t="array" ref="X160">IFERROR(INDEX(ต้นทุนและราคา!$C$26:$E$101,MATCH($B160,ต้นทุนและราคา!$A$26:$A$101,0),IF($C160="16 oz",1,IF($C160="20 oz",2,3))),"")</f>
        <v>75</v>
      </c>
      <c r="Y160" s="66">
        <f t="shared" si="11"/>
        <v>0.73293333333333333</v>
      </c>
      <c r="Z160" s="48" t="s">
        <v>1226</v>
      </c>
    </row>
    <row r="161" spans="1:26" x14ac:dyDescent="0.25">
      <c r="A161" s="4" t="str">
        <f t="shared" si="10"/>
        <v>Green Tea Frappe|22 oz|100%</v>
      </c>
      <c r="B161" s="4" t="s">
        <v>82</v>
      </c>
      <c r="C161" s="4" t="s">
        <v>67</v>
      </c>
      <c r="D161" s="4" t="s">
        <v>66</v>
      </c>
      <c r="E161" s="63">
        <v>0</v>
      </c>
      <c r="F161" s="63">
        <v>124</v>
      </c>
      <c r="G161" s="63">
        <f>ROUND(96-$AD$2*F161,1)</f>
        <v>80.099999999999994</v>
      </c>
      <c r="H161" s="63">
        <v>27.5</v>
      </c>
      <c r="I161" s="63">
        <v>44</v>
      </c>
      <c r="J161" s="63">
        <f>ROUND(0+$AD$2*F161,1)</f>
        <v>15.9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270</v>
      </c>
      <c r="T161" s="63">
        <v>0</v>
      </c>
      <c r="U161" s="63">
        <v>0</v>
      </c>
      <c r="V161" s="65">
        <f t="shared" si="12"/>
        <v>291.5</v>
      </c>
      <c r="W161" s="8">
        <f>ROUND(E161*ต้นทุนและราคา!$C$4+F161*ต้นทุนและราคา!$C$5+G161*ต้นทุนและราคา!$C$6+H161*ต้นทุนและราคา!$C$7+I161*ต้นทุนและราคา!$C$8+J161*ต้นทุนและราคา!$C$9+K161*ต้นทุนและราคา!$C$10+L161*ต้นทุนและราคา!$C$11+M161*ต้นทุนและราคา!$C$12+N161*ต้นทุนและราคา!$C$13+O161*ต้นทุนและราคา!$C$14+P161*ต้นทุนและราคา!$C$15+Q161*ต้นทุนและราคา!$C$16+R161*ต้นทุนและราคา!$C$17+S161*ต้นทุนและราคา!$C$18+T161*ต้นทุนและราคา!$C$19+U161*ต้นทุนและราคา!$C$20+IF($C161="16 oz",ต้นทุนและราคา!$C$21,IF($C161="20 oz",ต้นทุนและราคา!$C$22,ต้นทุนและราคา!$C$23)),2)</f>
        <v>20.79</v>
      </c>
      <c r="X161" s="64" cm="1">
        <f t="array" ref="X161">IFERROR(INDEX(ต้นทุนและราคา!$C$26:$E$101,MATCH($B161,ต้นทุนและราคา!$A$26:$A$101,0),IF($C161="16 oz",1,IF($C161="20 oz",2,3))),"")</f>
        <v>75</v>
      </c>
      <c r="Y161" s="66">
        <f t="shared" si="11"/>
        <v>0.7228</v>
      </c>
      <c r="Z161" s="48" t="s">
        <v>1226</v>
      </c>
    </row>
    <row r="162" spans="1:26" x14ac:dyDescent="0.25">
      <c r="A162" s="4" t="str">
        <f t="shared" si="10"/>
        <v>Green Latte|16 oz|0%</v>
      </c>
      <c r="B162" s="4" t="s">
        <v>303</v>
      </c>
      <c r="C162" s="4" t="s">
        <v>5</v>
      </c>
      <c r="D162" s="19" t="s">
        <v>63</v>
      </c>
      <c r="E162" s="63">
        <v>0</v>
      </c>
      <c r="F162" s="63">
        <v>130</v>
      </c>
      <c r="G162" s="63">
        <v>50</v>
      </c>
      <c r="H162" s="63">
        <v>20</v>
      </c>
      <c r="I162" s="63">
        <v>0</v>
      </c>
      <c r="J162" s="63">
        <v>0</v>
      </c>
      <c r="K162" s="63">
        <v>0</v>
      </c>
      <c r="L162" s="63">
        <v>0</v>
      </c>
      <c r="M162" s="63">
        <v>0</v>
      </c>
      <c r="N162" s="63">
        <v>0</v>
      </c>
      <c r="O162" s="63">
        <v>0</v>
      </c>
      <c r="P162" s="63">
        <v>0</v>
      </c>
      <c r="Q162" s="63">
        <v>0</v>
      </c>
      <c r="R162" s="63">
        <v>0</v>
      </c>
      <c r="S162" s="63">
        <v>240</v>
      </c>
      <c r="T162" s="63">
        <v>0</v>
      </c>
      <c r="U162" s="63">
        <v>0</v>
      </c>
      <c r="V162" s="65">
        <f t="shared" si="12"/>
        <v>200</v>
      </c>
      <c r="W162" s="8">
        <f>ROUND(E162*ต้นทุนและราคา!$C$4+F162*ต้นทุนและราคา!$C$5+G162*ต้นทุนและราคา!$C$6+H162*ต้นทุนและราคา!$C$7+I162*ต้นทุนและราคา!$C$8+J162*ต้นทุนและราคา!$C$9+K162*ต้นทุนและราคา!$C$10+L162*ต้นทุนและราคา!$C$11+M162*ต้นทุนและราคา!$C$12+N162*ต้นทุนและราคา!$C$13+O162*ต้นทุนและราคา!$C$14+P162*ต้นทุนและราคา!$C$15+Q162*ต้นทุนและราคา!$C$16+R162*ต้นทุนและราคา!$C$17+S162*ต้นทุนและราคา!$C$18+T162*ต้นทุนและราคา!$C$19+U162*ต้นทุนและราคา!$C$20+IF($C162="16 oz",ต้นทุนและราคา!$C$21,IF($C162="20 oz",ต้นทุนและราคา!$C$22,ต้นทุนและราคา!$C$23)),2)</f>
        <v>14.4</v>
      </c>
      <c r="X162" s="64" cm="1">
        <f t="array" ref="X162">IFERROR(INDEX(ต้นทุนและราคา!$C$26:$E$101,MATCH($B162,ต้นทุนและราคา!$A$26:$A$101,0),IF($C162="16 oz",1,IF($C162="20 oz",2,3))),"")</f>
        <v>50</v>
      </c>
      <c r="Y162" s="66">
        <f t="shared" si="11"/>
        <v>0.71200000000000008</v>
      </c>
      <c r="Z162" s="48" t="s">
        <v>1227</v>
      </c>
    </row>
    <row r="163" spans="1:26" x14ac:dyDescent="0.25">
      <c r="A163" s="4" t="str">
        <f t="shared" si="10"/>
        <v>Green Latte|16 oz|25%</v>
      </c>
      <c r="B163" s="4" t="s">
        <v>303</v>
      </c>
      <c r="C163" s="4" t="s">
        <v>5</v>
      </c>
      <c r="D163" s="19" t="s">
        <v>64</v>
      </c>
      <c r="E163" s="63">
        <v>0</v>
      </c>
      <c r="F163" s="63">
        <v>130</v>
      </c>
      <c r="G163" s="63">
        <f>ROUND(47-$AD$2*F163,1)</f>
        <v>30.4</v>
      </c>
      <c r="H163" s="63">
        <v>20</v>
      </c>
      <c r="I163" s="63">
        <v>0</v>
      </c>
      <c r="J163" s="63">
        <f>ROUND(7+$AD$2*F163,1)</f>
        <v>23.6</v>
      </c>
      <c r="K163" s="63">
        <v>0</v>
      </c>
      <c r="L163" s="63">
        <v>0</v>
      </c>
      <c r="M163" s="63">
        <v>0</v>
      </c>
      <c r="N163" s="63">
        <v>0</v>
      </c>
      <c r="O163" s="63">
        <v>0</v>
      </c>
      <c r="P163" s="63">
        <v>0</v>
      </c>
      <c r="Q163" s="63">
        <v>0</v>
      </c>
      <c r="R163" s="63">
        <v>0</v>
      </c>
      <c r="S163" s="63">
        <v>240</v>
      </c>
      <c r="T163" s="63">
        <v>0</v>
      </c>
      <c r="U163" s="63">
        <v>0</v>
      </c>
      <c r="V163" s="65">
        <f t="shared" si="12"/>
        <v>204</v>
      </c>
      <c r="W163" s="8">
        <f>ROUND(E163*ต้นทุนและราคา!$C$4+F163*ต้นทุนและราคา!$C$5+G163*ต้นทุนและราคา!$C$6+H163*ต้นทุนและราคา!$C$7+I163*ต้นทุนและราคา!$C$8+J163*ต้นทุนและราคา!$C$9+K163*ต้นทุนและราคา!$C$10+L163*ต้นทุนและราคา!$C$11+M163*ต้นทุนและราคา!$C$12+N163*ต้นทุนและราคา!$C$13+O163*ต้นทุนและราคา!$C$14+P163*ต้นทุนและราคา!$C$15+Q163*ต้นทุนและราคา!$C$16+R163*ต้นทุนและราคา!$C$17+S163*ต้นทุนและราคา!$C$18+T163*ต้นทุนและราคา!$C$19+U163*ต้นทุนและราคา!$C$20+IF($C163="16 oz",ต้นทุนและราคา!$C$21,IF($C163="20 oz",ต้นทุนและราคา!$C$22,ต้นทุนและราคา!$C$23)),2)</f>
        <v>13.86</v>
      </c>
      <c r="X163" s="64" cm="1">
        <f t="array" ref="X163">IFERROR(INDEX(ต้นทุนและราคา!$C$26:$E$101,MATCH($B163,ต้นทุนและราคา!$A$26:$A$101,0),IF($C163="16 oz",1,IF($C163="20 oz",2,3))),"")</f>
        <v>50</v>
      </c>
      <c r="Y163" s="66">
        <f t="shared" si="11"/>
        <v>0.7228</v>
      </c>
      <c r="Z163" s="48" t="s">
        <v>1228</v>
      </c>
    </row>
    <row r="164" spans="1:26" x14ac:dyDescent="0.25">
      <c r="A164" s="4" t="str">
        <f t="shared" si="10"/>
        <v>Green Latte|16 oz|50%</v>
      </c>
      <c r="B164" s="4" t="s">
        <v>303</v>
      </c>
      <c r="C164" s="4" t="s">
        <v>5</v>
      </c>
      <c r="D164" s="19" t="s">
        <v>7</v>
      </c>
      <c r="E164" s="63">
        <v>0</v>
      </c>
      <c r="F164" s="63">
        <v>130</v>
      </c>
      <c r="G164" s="63">
        <f>ROUND(44-$AD$2*F164,1)</f>
        <v>27.4</v>
      </c>
      <c r="H164" s="63">
        <v>20</v>
      </c>
      <c r="I164" s="63">
        <v>0</v>
      </c>
      <c r="J164" s="63">
        <f>ROUND(14+$AD$2*F164,1)</f>
        <v>30.6</v>
      </c>
      <c r="K164" s="63">
        <v>0</v>
      </c>
      <c r="L164" s="63">
        <v>0</v>
      </c>
      <c r="M164" s="63">
        <v>0</v>
      </c>
      <c r="N164" s="63">
        <v>0</v>
      </c>
      <c r="O164" s="63">
        <v>0</v>
      </c>
      <c r="P164" s="63">
        <v>0</v>
      </c>
      <c r="Q164" s="63">
        <v>0</v>
      </c>
      <c r="R164" s="63">
        <v>0</v>
      </c>
      <c r="S164" s="63">
        <v>240</v>
      </c>
      <c r="T164" s="63">
        <v>0</v>
      </c>
      <c r="U164" s="63">
        <v>0</v>
      </c>
      <c r="V164" s="65">
        <f t="shared" si="12"/>
        <v>208</v>
      </c>
      <c r="W164" s="8">
        <f>ROUND(E164*ต้นทุนและราคา!$C$4+F164*ต้นทุนและราคา!$C$5+G164*ต้นทุนและราคา!$C$6+H164*ต้นทุนและราคา!$C$7+I164*ต้นทุนและราคา!$C$8+J164*ต้นทุนและราคา!$C$9+K164*ต้นทุนและราคา!$C$10+L164*ต้นทุนและราคา!$C$11+M164*ต้นทุนและราคา!$C$12+N164*ต้นทุนและราคา!$C$13+O164*ต้นทุนและราคา!$C$14+P164*ต้นทุนและราคา!$C$15+Q164*ต้นทุนและราคา!$C$16+R164*ต้นทุนและราคา!$C$17+S164*ต้นทุนและราคา!$C$18+T164*ต้นทุนและราคา!$C$19+U164*ต้นทุนและราคา!$C$20+IF($C164="16 oz",ต้นทุนและราคา!$C$21,IF($C164="20 oz",ต้นทุนและราคา!$C$22,ต้นทุนและราคา!$C$23)),2)</f>
        <v>13.83</v>
      </c>
      <c r="X164" s="64" cm="1">
        <f t="array" ref="X164">IFERROR(INDEX(ต้นทุนและราคา!$C$26:$E$101,MATCH($B164,ต้นทุนและราคา!$A$26:$A$101,0),IF($C164="16 oz",1,IF($C164="20 oz",2,3))),"")</f>
        <v>50</v>
      </c>
      <c r="Y164" s="66">
        <f t="shared" si="11"/>
        <v>0.72340000000000004</v>
      </c>
      <c r="Z164" s="48" t="s">
        <v>1228</v>
      </c>
    </row>
    <row r="165" spans="1:26" x14ac:dyDescent="0.25">
      <c r="A165" s="4" t="str">
        <f t="shared" si="10"/>
        <v>Green Latte|16 oz|75%</v>
      </c>
      <c r="B165" s="4" t="s">
        <v>303</v>
      </c>
      <c r="C165" s="4" t="s">
        <v>5</v>
      </c>
      <c r="D165" s="19" t="s">
        <v>65</v>
      </c>
      <c r="E165" s="63">
        <v>0</v>
      </c>
      <c r="F165" s="63">
        <v>130</v>
      </c>
      <c r="G165" s="63">
        <f>ROUND(41-$AD$2*F165,1)</f>
        <v>24.4</v>
      </c>
      <c r="H165" s="63">
        <v>20</v>
      </c>
      <c r="I165" s="63">
        <v>0</v>
      </c>
      <c r="J165" s="63">
        <f>ROUND(21+$AD$2*F165,1)</f>
        <v>37.6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240</v>
      </c>
      <c r="T165" s="63">
        <v>0</v>
      </c>
      <c r="U165" s="63">
        <v>0</v>
      </c>
      <c r="V165" s="65">
        <f t="shared" si="12"/>
        <v>212</v>
      </c>
      <c r="W165" s="8">
        <f>ROUND(E165*ต้นทุนและราคา!$C$4+F165*ต้นทุนและราคา!$C$5+G165*ต้นทุนและราคา!$C$6+H165*ต้นทุนและราคา!$C$7+I165*ต้นทุนและราคา!$C$8+J165*ต้นทุนและราคา!$C$9+K165*ต้นทุนและราคา!$C$10+L165*ต้นทุนและราคา!$C$11+M165*ต้นทุนและราคา!$C$12+N165*ต้นทุนและราคา!$C$13+O165*ต้นทุนและราคา!$C$14+P165*ต้นทุนและราคา!$C$15+Q165*ต้นทุนและราคา!$C$16+R165*ต้นทุนและราคา!$C$17+S165*ต้นทุนและราคา!$C$18+T165*ต้นทุนและราคา!$C$19+U165*ต้นทุนและราคา!$C$20+IF($C165="16 oz",ต้นทุนและราคา!$C$21,IF($C165="20 oz",ต้นทุนและราคา!$C$22,ต้นทุนและราคา!$C$23)),2)</f>
        <v>13.81</v>
      </c>
      <c r="X165" s="64" cm="1">
        <f t="array" ref="X165">IFERROR(INDEX(ต้นทุนและราคา!$C$26:$E$101,MATCH($B165,ต้นทุนและราคา!$A$26:$A$101,0),IF($C165="16 oz",1,IF($C165="20 oz",2,3))),"")</f>
        <v>50</v>
      </c>
      <c r="Y165" s="66">
        <f t="shared" si="11"/>
        <v>0.7238</v>
      </c>
      <c r="Z165" s="48" t="s">
        <v>1228</v>
      </c>
    </row>
    <row r="166" spans="1:26" x14ac:dyDescent="0.25">
      <c r="A166" s="4" t="str">
        <f t="shared" si="10"/>
        <v>Green Latte|16 oz|100%</v>
      </c>
      <c r="B166" s="4" t="s">
        <v>303</v>
      </c>
      <c r="C166" s="4" t="s">
        <v>5</v>
      </c>
      <c r="D166" s="19" t="s">
        <v>66</v>
      </c>
      <c r="E166" s="63">
        <v>0</v>
      </c>
      <c r="F166" s="63">
        <v>130</v>
      </c>
      <c r="G166" s="63">
        <f>ROUND(38-$AD$2*F166,1)</f>
        <v>21.4</v>
      </c>
      <c r="H166" s="63">
        <v>20</v>
      </c>
      <c r="I166" s="63">
        <v>0</v>
      </c>
      <c r="J166" s="63">
        <f>ROUND(28+$AD$2*F166,1)</f>
        <v>44.6</v>
      </c>
      <c r="K166" s="63">
        <v>0</v>
      </c>
      <c r="L166" s="63">
        <v>0</v>
      </c>
      <c r="M166" s="63">
        <v>0</v>
      </c>
      <c r="N166" s="63">
        <v>0</v>
      </c>
      <c r="O166" s="63">
        <v>0</v>
      </c>
      <c r="P166" s="63">
        <v>0</v>
      </c>
      <c r="Q166" s="63">
        <v>0</v>
      </c>
      <c r="R166" s="63">
        <v>0</v>
      </c>
      <c r="S166" s="63">
        <v>240</v>
      </c>
      <c r="T166" s="63">
        <v>0</v>
      </c>
      <c r="U166" s="63">
        <v>0</v>
      </c>
      <c r="V166" s="65">
        <f t="shared" si="12"/>
        <v>216</v>
      </c>
      <c r="W166" s="8">
        <f>ROUND(E166*ต้นทุนและราคา!$C$4+F166*ต้นทุนและราคา!$C$5+G166*ต้นทุนและราคา!$C$6+H166*ต้นทุนและราคา!$C$7+I166*ต้นทุนและราคา!$C$8+J166*ต้นทุนและราคา!$C$9+K166*ต้นทุนและราคา!$C$10+L166*ต้นทุนและราคา!$C$11+M166*ต้นทุนและราคา!$C$12+N166*ต้นทุนและราคา!$C$13+O166*ต้นทุนและราคา!$C$14+P166*ต้นทุนและราคา!$C$15+Q166*ต้นทุนและราคา!$C$16+R166*ต้นทุนและราคา!$C$17+S166*ต้นทุนและราคา!$C$18+T166*ต้นทุนและราคา!$C$19+U166*ต้นทุนและราคา!$C$20+IF($C166="16 oz",ต้นทุนและราคา!$C$21,IF($C166="20 oz",ต้นทุนและราคา!$C$22,ต้นทุนและราคา!$C$23)),2)</f>
        <v>13.78</v>
      </c>
      <c r="X166" s="64" cm="1">
        <f t="array" ref="X166">IFERROR(INDEX(ต้นทุนและราคา!$C$26:$E$101,MATCH($B166,ต้นทุนและราคา!$A$26:$A$101,0),IF($C166="16 oz",1,IF($C166="20 oz",2,3))),"")</f>
        <v>50</v>
      </c>
      <c r="Y166" s="66">
        <f t="shared" si="11"/>
        <v>0.72439999999999993</v>
      </c>
      <c r="Z166" s="48" t="s">
        <v>1228</v>
      </c>
    </row>
    <row r="167" spans="1:26" x14ac:dyDescent="0.25">
      <c r="A167" s="4" t="str">
        <f t="shared" si="10"/>
        <v>Green Latte|22 oz|0%</v>
      </c>
      <c r="B167" s="4" t="s">
        <v>303</v>
      </c>
      <c r="C167" s="4" t="s">
        <v>67</v>
      </c>
      <c r="D167" s="19" t="s">
        <v>63</v>
      </c>
      <c r="E167" s="63">
        <v>0</v>
      </c>
      <c r="F167" s="63">
        <v>179</v>
      </c>
      <c r="G167" s="63">
        <v>69</v>
      </c>
      <c r="H167" s="63">
        <v>27.5</v>
      </c>
      <c r="I167" s="63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330</v>
      </c>
      <c r="T167" s="63">
        <v>0</v>
      </c>
      <c r="U167" s="63">
        <v>0</v>
      </c>
      <c r="V167" s="65">
        <f t="shared" si="12"/>
        <v>275.5</v>
      </c>
      <c r="W167" s="8">
        <f>ROUND(E167*ต้นทุนและราคา!$C$4+F167*ต้นทุนและราคา!$C$5+G167*ต้นทุนและราคา!$C$6+H167*ต้นทุนและราคา!$C$7+I167*ต้นทุนและราคา!$C$8+J167*ต้นทุนและราคา!$C$9+K167*ต้นทุนและราคา!$C$10+L167*ต้นทุนและราคา!$C$11+M167*ต้นทุนและราคา!$C$12+N167*ต้นทุนและราคา!$C$13+O167*ต้นทุนและราคา!$C$14+P167*ต้นทุนและราคา!$C$15+Q167*ต้นทุนและราคา!$C$16+R167*ต้นทุนและราคา!$C$17+S167*ต้นทุนและราคา!$C$18+T167*ต้นทุนและราคา!$C$19+U167*ต้นทุนและราคา!$C$20+IF($C167="16 oz",ต้นทุนและราคา!$C$21,IF($C167="20 oz",ต้นทุนและราคา!$C$22,ต้นทุนและราคา!$C$23)),2)</f>
        <v>19.12</v>
      </c>
      <c r="X167" s="64" cm="1">
        <f t="array" ref="X167">IFERROR(INDEX(ต้นทุนและราคา!$C$26:$E$101,MATCH($B167,ต้นทุนและราคา!$A$26:$A$101,0),IF($C167="16 oz",1,IF($C167="20 oz",2,3))),"")</f>
        <v>60</v>
      </c>
      <c r="Y167" s="66">
        <f t="shared" si="11"/>
        <v>0.68133333333333324</v>
      </c>
      <c r="Z167" s="48" t="s">
        <v>1229</v>
      </c>
    </row>
    <row r="168" spans="1:26" x14ac:dyDescent="0.25">
      <c r="A168" s="4" t="str">
        <f t="shared" si="10"/>
        <v>Green Latte|22 oz|25%</v>
      </c>
      <c r="B168" s="4" t="s">
        <v>303</v>
      </c>
      <c r="C168" s="4" t="s">
        <v>67</v>
      </c>
      <c r="D168" s="19" t="s">
        <v>64</v>
      </c>
      <c r="E168" s="63">
        <v>0</v>
      </c>
      <c r="F168" s="63">
        <v>179</v>
      </c>
      <c r="G168" s="63">
        <f>ROUND(64.5-$AD$2*F168,1)</f>
        <v>41.6</v>
      </c>
      <c r="H168" s="63">
        <v>27.5</v>
      </c>
      <c r="I168" s="63">
        <v>0</v>
      </c>
      <c r="J168" s="63">
        <f>ROUND(9.5+$AD$2*F168,1)</f>
        <v>32.4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330</v>
      </c>
      <c r="T168" s="63">
        <v>0</v>
      </c>
      <c r="U168" s="63">
        <v>0</v>
      </c>
      <c r="V168" s="65">
        <f t="shared" si="12"/>
        <v>280.5</v>
      </c>
      <c r="W168" s="8">
        <f>ROUND(E168*ต้นทุนและราคา!$C$4+F168*ต้นทุนและราคา!$C$5+G168*ต้นทุนและราคา!$C$6+H168*ต้นทุนและราคา!$C$7+I168*ต้นทุนและราคา!$C$8+J168*ต้นทุนและราคา!$C$9+K168*ต้นทุนและราคา!$C$10+L168*ต้นทุนและราคา!$C$11+M168*ต้นทุนและราคา!$C$12+N168*ต้นทุนและราคา!$C$13+O168*ต้นทุนและราคา!$C$14+P168*ต้นทุนและราคา!$C$15+Q168*ต้นทุนและราคา!$C$16+R168*ต้นทุนและราคา!$C$17+S168*ต้นทุนและราคา!$C$18+T168*ต้นทุนและราคา!$C$19+U168*ต้นทุนและราคา!$C$20+IF($C168="16 oz",ต้นทุนและราคา!$C$21,IF($C168="20 oz",ต้นทุนและราคา!$C$22,ต้นทุนและราคา!$C$23)),2)</f>
        <v>18.350000000000001</v>
      </c>
      <c r="X168" s="64" cm="1">
        <f t="array" ref="X168">IFERROR(INDEX(ต้นทุนและราคา!$C$26:$E$101,MATCH($B168,ต้นทุนและราคา!$A$26:$A$101,0),IF($C168="16 oz",1,IF($C168="20 oz",2,3))),"")</f>
        <v>60</v>
      </c>
      <c r="Y168" s="66">
        <f t="shared" si="11"/>
        <v>0.6941666666666666</v>
      </c>
      <c r="Z168" s="48" t="s">
        <v>1228</v>
      </c>
    </row>
    <row r="169" spans="1:26" x14ac:dyDescent="0.25">
      <c r="A169" s="4" t="str">
        <f t="shared" si="10"/>
        <v>Green Latte|22 oz|50%</v>
      </c>
      <c r="B169" s="4" t="s">
        <v>303</v>
      </c>
      <c r="C169" s="4" t="s">
        <v>67</v>
      </c>
      <c r="D169" s="19" t="s">
        <v>7</v>
      </c>
      <c r="E169" s="63">
        <v>0</v>
      </c>
      <c r="F169" s="63">
        <v>179</v>
      </c>
      <c r="G169" s="63">
        <f>ROUND(60.5-$AD$2*F169,1)</f>
        <v>37.6</v>
      </c>
      <c r="H169" s="63">
        <v>27.5</v>
      </c>
      <c r="I169" s="63">
        <v>0</v>
      </c>
      <c r="J169" s="63">
        <f>ROUND(19+$AD$2*F169,1)</f>
        <v>41.9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330</v>
      </c>
      <c r="T169" s="63">
        <v>0</v>
      </c>
      <c r="U169" s="63">
        <v>0</v>
      </c>
      <c r="V169" s="65">
        <f t="shared" si="12"/>
        <v>286</v>
      </c>
      <c r="W169" s="8">
        <f>ROUND(E169*ต้นทุนและราคา!$C$4+F169*ต้นทุนและราคา!$C$5+G169*ต้นทุนและราคา!$C$6+H169*ต้นทุนและราคา!$C$7+I169*ต้นทุนและราคา!$C$8+J169*ต้นทุนและราคา!$C$9+K169*ต้นทุนและราคา!$C$10+L169*ต้นทุนและราคา!$C$11+M169*ต้นทุนและราคา!$C$12+N169*ต้นทุนและราคา!$C$13+O169*ต้นทุนและราคา!$C$14+P169*ต้นทุนและราคา!$C$15+Q169*ต้นทุนและราคา!$C$16+R169*ต้นทุนและราคา!$C$17+S169*ต้นทุนและราคา!$C$18+T169*ต้นทุนและราคา!$C$19+U169*ต้นทุนและราคา!$C$20+IF($C169="16 oz",ต้นทุนและราคา!$C$21,IF($C169="20 oz",ต้นทุนและราคา!$C$22,ต้นทุนและราคา!$C$23)),2)</f>
        <v>18.32</v>
      </c>
      <c r="X169" s="64" cm="1">
        <f t="array" ref="X169">IFERROR(INDEX(ต้นทุนและราคา!$C$26:$E$101,MATCH($B169,ต้นทุนและราคา!$A$26:$A$101,0),IF($C169="16 oz",1,IF($C169="20 oz",2,3))),"")</f>
        <v>60</v>
      </c>
      <c r="Y169" s="66">
        <f t="shared" si="11"/>
        <v>0.69466666666666665</v>
      </c>
      <c r="Z169" s="48" t="s">
        <v>1228</v>
      </c>
    </row>
    <row r="170" spans="1:26" x14ac:dyDescent="0.25">
      <c r="A170" s="4" t="str">
        <f t="shared" si="10"/>
        <v>Green Latte|22 oz|75%</v>
      </c>
      <c r="B170" s="4" t="s">
        <v>303</v>
      </c>
      <c r="C170" s="4" t="s">
        <v>67</v>
      </c>
      <c r="D170" s="19" t="s">
        <v>65</v>
      </c>
      <c r="E170" s="63">
        <v>0</v>
      </c>
      <c r="F170" s="63">
        <v>179</v>
      </c>
      <c r="G170" s="63">
        <f>ROUND(56.5-$AD$2*F170,1)</f>
        <v>33.6</v>
      </c>
      <c r="H170" s="63">
        <v>27.5</v>
      </c>
      <c r="I170" s="63">
        <v>0</v>
      </c>
      <c r="J170" s="63">
        <f>ROUND(29+$AD$2*F170,1)</f>
        <v>51.9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330</v>
      </c>
      <c r="T170" s="63">
        <v>0</v>
      </c>
      <c r="U170" s="63">
        <v>0</v>
      </c>
      <c r="V170" s="65">
        <f t="shared" si="12"/>
        <v>292</v>
      </c>
      <c r="W170" s="8">
        <f>ROUND(E170*ต้นทุนและราคา!$C$4+F170*ต้นทุนและราคา!$C$5+G170*ต้นทุนและราคา!$C$6+H170*ต้นทุนและราคา!$C$7+I170*ต้นทุนและราคา!$C$8+J170*ต้นทุนและราคา!$C$9+K170*ต้นทุนและราคา!$C$10+L170*ต้นทุนและราคา!$C$11+M170*ต้นทุนและราคา!$C$12+N170*ต้นทุนและราคา!$C$13+O170*ต้นทุนและราคา!$C$14+P170*ต้นทุนและราคา!$C$15+Q170*ต้นทุนและราคา!$C$16+R170*ต้นทุนและราคา!$C$17+S170*ต้นทุนและราคา!$C$18+T170*ต้นทุนและราคา!$C$19+U170*ต้นทุนและราคา!$C$20+IF($C170="16 oz",ต้นทุนและราคา!$C$21,IF($C170="20 oz",ต้นทุนและราคา!$C$22,ต้นทุนและราคา!$C$23)),2)</f>
        <v>18.29</v>
      </c>
      <c r="X170" s="64" cm="1">
        <f t="array" ref="X170">IFERROR(INDEX(ต้นทุนและราคา!$C$26:$E$101,MATCH($B170,ต้นทุนและราคา!$A$26:$A$101,0),IF($C170="16 oz",1,IF($C170="20 oz",2,3))),"")</f>
        <v>60</v>
      </c>
      <c r="Y170" s="66">
        <f t="shared" si="11"/>
        <v>0.69516666666666671</v>
      </c>
      <c r="Z170" s="48" t="s">
        <v>1228</v>
      </c>
    </row>
    <row r="171" spans="1:26" x14ac:dyDescent="0.25">
      <c r="A171" s="4" t="str">
        <f t="shared" si="10"/>
        <v>Green Latte|22 oz|100%</v>
      </c>
      <c r="B171" s="4" t="s">
        <v>303</v>
      </c>
      <c r="C171" s="4" t="s">
        <v>67</v>
      </c>
      <c r="D171" s="19" t="s">
        <v>66</v>
      </c>
      <c r="E171" s="63">
        <v>0</v>
      </c>
      <c r="F171" s="63">
        <v>179</v>
      </c>
      <c r="G171" s="63">
        <f>ROUND(52-$AD$2*F171,1)</f>
        <v>29.1</v>
      </c>
      <c r="H171" s="63">
        <v>27.5</v>
      </c>
      <c r="I171" s="63">
        <v>0</v>
      </c>
      <c r="J171" s="63">
        <f>ROUND(38.5+$AD$2*F171,1)</f>
        <v>61.4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330</v>
      </c>
      <c r="T171" s="63">
        <v>0</v>
      </c>
      <c r="U171" s="63">
        <v>0</v>
      </c>
      <c r="V171" s="65">
        <f t="shared" si="12"/>
        <v>297</v>
      </c>
      <c r="W171" s="8">
        <f>ROUND(E171*ต้นทุนและราคา!$C$4+F171*ต้นทุนและราคา!$C$5+G171*ต้นทุนและราคา!$C$6+H171*ต้นทุนและราคา!$C$7+I171*ต้นทุนและราคา!$C$8+J171*ต้นทุนและราคา!$C$9+K171*ต้นทุนและราคา!$C$10+L171*ต้นทุนและราคา!$C$11+M171*ต้นทุนและราคา!$C$12+N171*ต้นทุนและราคา!$C$13+O171*ต้นทุนและราคา!$C$14+P171*ต้นทุนและราคา!$C$15+Q171*ต้นทุนและราคา!$C$16+R171*ต้นทุนและราคา!$C$17+S171*ต้นทุนและราคา!$C$18+T171*ต้นทุนและราคา!$C$19+U171*ต้นทุนและราคา!$C$20+IF($C171="16 oz",ต้นทุนและราคา!$C$21,IF($C171="20 oz",ต้นทุนและราคา!$C$22,ต้นทุนและราคา!$C$23)),2)</f>
        <v>18.239999999999998</v>
      </c>
      <c r="X171" s="64" cm="1">
        <f t="array" ref="X171">IFERROR(INDEX(ต้นทุนและราคา!$C$26:$E$101,MATCH($B171,ต้นทุนและราคา!$A$26:$A$101,0),IF($C171="16 oz",1,IF($C171="20 oz",2,3))),"")</f>
        <v>60</v>
      </c>
      <c r="Y171" s="66">
        <f t="shared" si="11"/>
        <v>0.69600000000000006</v>
      </c>
      <c r="Z171" s="48" t="s">
        <v>1228</v>
      </c>
    </row>
    <row r="172" spans="1:26" x14ac:dyDescent="0.25">
      <c r="A172" s="4" t="str">
        <f t="shared" si="10"/>
        <v>Green Lemon Tea|16 oz|0%</v>
      </c>
      <c r="B172" s="4" t="s">
        <v>305</v>
      </c>
      <c r="C172" s="4" t="s">
        <v>5</v>
      </c>
      <c r="D172" s="19" t="s">
        <v>63</v>
      </c>
      <c r="E172" s="63">
        <v>0</v>
      </c>
      <c r="F172" s="63">
        <v>165</v>
      </c>
      <c r="G172" s="63">
        <v>0</v>
      </c>
      <c r="H172" s="63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15</v>
      </c>
      <c r="Q172" s="63">
        <v>0</v>
      </c>
      <c r="R172" s="63">
        <v>0</v>
      </c>
      <c r="S172" s="63">
        <v>240</v>
      </c>
      <c r="T172" s="63">
        <v>0</v>
      </c>
      <c r="U172" s="63">
        <v>0</v>
      </c>
      <c r="V172" s="65">
        <f t="shared" si="12"/>
        <v>180</v>
      </c>
      <c r="W172" s="8">
        <f>ROUND(E172*ต้นทุนและราคา!$C$4+F172*ต้นทุนและราคา!$C$5+G172*ต้นทุนและราคา!$C$6+H172*ต้นทุนและราคา!$C$7+I172*ต้นทุนและราคา!$C$8+J172*ต้นทุนและราคา!$C$9+K172*ต้นทุนและราคา!$C$10+L172*ต้นทุนและราคา!$C$11+M172*ต้นทุนและราคา!$C$12+N172*ต้นทุนและราคา!$C$13+O172*ต้นทุนและราคา!$C$14+P172*ต้นทุนและราคา!$C$15+Q172*ต้นทุนและราคา!$C$16+R172*ต้นทุนและราคา!$C$17+S172*ต้นทุนและราคา!$C$18+T172*ต้นทุนและราคา!$C$19+U172*ต้นทุนและราคา!$C$20+IF($C172="16 oz",ต้นทุนและราคา!$C$21,IF($C172="20 oz",ต้นทุนและราคา!$C$22,ต้นทุนและราคา!$C$23)),2)</f>
        <v>14.97</v>
      </c>
      <c r="X172" s="64" cm="1">
        <f t="array" ref="X172">IFERROR(INDEX(ต้นทุนและราคา!$C$26:$E$101,MATCH($B172,ต้นทุนและราคา!$A$26:$A$101,0),IF($C172="16 oz",1,IF($C172="20 oz",2,3))),"")</f>
        <v>40</v>
      </c>
      <c r="Y172" s="66">
        <f t="shared" si="11"/>
        <v>0.62575000000000003</v>
      </c>
      <c r="Z172" s="48" t="s">
        <v>1230</v>
      </c>
    </row>
    <row r="173" spans="1:26" x14ac:dyDescent="0.25">
      <c r="A173" s="4" t="str">
        <f t="shared" si="10"/>
        <v>Green Lemon Tea|16 oz|25%</v>
      </c>
      <c r="B173" s="4" t="s">
        <v>305</v>
      </c>
      <c r="C173" s="4" t="s">
        <v>5</v>
      </c>
      <c r="D173" s="19" t="s">
        <v>64</v>
      </c>
      <c r="E173" s="63">
        <v>0</v>
      </c>
      <c r="F173" s="63">
        <f>ROUND(165/(1+$AD$2),1)</f>
        <v>146.30000000000001</v>
      </c>
      <c r="G173" s="63">
        <v>0</v>
      </c>
      <c r="H173" s="63">
        <v>0</v>
      </c>
      <c r="I173" s="63">
        <v>0</v>
      </c>
      <c r="J173" s="63">
        <f>ROUND(8+$AD$2*F173,1)</f>
        <v>26.7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15</v>
      </c>
      <c r="Q173" s="63">
        <v>0</v>
      </c>
      <c r="R173" s="63">
        <v>0</v>
      </c>
      <c r="S173" s="63">
        <v>240</v>
      </c>
      <c r="T173" s="63">
        <v>0</v>
      </c>
      <c r="U173" s="63">
        <v>0</v>
      </c>
      <c r="V173" s="65">
        <f t="shared" si="12"/>
        <v>188</v>
      </c>
      <c r="W173" s="8">
        <f>ROUND(E173*ต้นทุนและราคา!$C$4+F173*ต้นทุนและราคา!$C$5+G173*ต้นทุนและราคา!$C$6+H173*ต้นทุนและราคา!$C$7+I173*ต้นทุนและราคา!$C$8+J173*ต้นทุนและราคา!$C$9+K173*ต้นทุนและราคา!$C$10+L173*ต้นทุนและราคา!$C$11+M173*ต้นทุนและราคา!$C$12+N173*ต้นทุนและราคา!$C$13+O173*ต้นทุนและราคา!$C$14+P173*ต้นทุนและราคา!$C$15+Q173*ต้นทุนและราคา!$C$16+R173*ต้นทุนและราคา!$C$17+S173*ต้นทุนและราคา!$C$18+T173*ต้นทุนและราคา!$C$19+U173*ต้นทุนและราคา!$C$20+IF($C173="16 oz",ต้นทุนและราคา!$C$21,IF($C173="20 oz",ต้นทุนและราคา!$C$22,ต้นทุนและราคา!$C$23)),2)</f>
        <v>14.97</v>
      </c>
      <c r="X173" s="64" cm="1">
        <f t="array" ref="X173">IFERROR(INDEX(ต้นทุนและราคา!$C$26:$E$101,MATCH($B173,ต้นทุนและราคา!$A$26:$A$101,0),IF($C173="16 oz",1,IF($C173="20 oz",2,3))),"")</f>
        <v>40</v>
      </c>
      <c r="Y173" s="66">
        <f t="shared" si="11"/>
        <v>0.62575000000000003</v>
      </c>
      <c r="Z173" s="48" t="s">
        <v>1254</v>
      </c>
    </row>
    <row r="174" spans="1:26" x14ac:dyDescent="0.25">
      <c r="A174" s="4" t="str">
        <f t="shared" si="10"/>
        <v>Green Lemon Tea|16 oz|50%</v>
      </c>
      <c r="B174" s="4" t="s">
        <v>305</v>
      </c>
      <c r="C174" s="4" t="s">
        <v>5</v>
      </c>
      <c r="D174" s="19" t="s">
        <v>7</v>
      </c>
      <c r="E174" s="63">
        <v>0</v>
      </c>
      <c r="F174" s="63">
        <f>ROUND(165/(1+$AD$2),1)</f>
        <v>146.30000000000001</v>
      </c>
      <c r="G174" s="63">
        <v>0</v>
      </c>
      <c r="H174" s="63">
        <v>0</v>
      </c>
      <c r="I174" s="63">
        <v>0</v>
      </c>
      <c r="J174" s="63">
        <f>ROUND(16+$AD$2*F174,1)</f>
        <v>34.700000000000003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15</v>
      </c>
      <c r="Q174" s="63">
        <v>0</v>
      </c>
      <c r="R174" s="63">
        <v>0</v>
      </c>
      <c r="S174" s="63">
        <v>240</v>
      </c>
      <c r="T174" s="63">
        <v>0</v>
      </c>
      <c r="U174" s="63">
        <v>0</v>
      </c>
      <c r="V174" s="65">
        <f t="shared" si="12"/>
        <v>196</v>
      </c>
      <c r="W174" s="8">
        <f>ROUND(E174*ต้นทุนและราคา!$C$4+F174*ต้นทุนและราคา!$C$5+G174*ต้นทุนและราคา!$C$6+H174*ต้นทุนและราคา!$C$7+I174*ต้นทุนและราคา!$C$8+J174*ต้นทุนและราคา!$C$9+K174*ต้นทุนและราคา!$C$10+L174*ต้นทุนและราคา!$C$11+M174*ต้นทุนและราคา!$C$12+N174*ต้นทุนและราคา!$C$13+O174*ต้นทุนและราคา!$C$14+P174*ต้นทุนและราคา!$C$15+Q174*ต้นทุนและราคา!$C$16+R174*ต้นทุนและราคา!$C$17+S174*ต้นทุนและราคา!$C$18+T174*ต้นทุนและราคา!$C$19+U174*ต้นทุนและราคา!$C$20+IF($C174="16 oz",ต้นทุนและราคา!$C$21,IF($C174="20 oz",ต้นทุนและราคา!$C$22,ต้นทุนและราคา!$C$23)),2)</f>
        <v>15.1</v>
      </c>
      <c r="X174" s="64" cm="1">
        <f t="array" ref="X174">IFERROR(INDEX(ต้นทุนและราคา!$C$26:$E$101,MATCH($B174,ต้นทุนและราคา!$A$26:$A$101,0),IF($C174="16 oz",1,IF($C174="20 oz",2,3))),"")</f>
        <v>40</v>
      </c>
      <c r="Y174" s="66">
        <f t="shared" si="11"/>
        <v>0.62249999999999994</v>
      </c>
      <c r="Z174" s="48" t="s">
        <v>1254</v>
      </c>
    </row>
    <row r="175" spans="1:26" x14ac:dyDescent="0.25">
      <c r="A175" s="4" t="str">
        <f t="shared" si="10"/>
        <v>Green Lemon Tea|16 oz|75%</v>
      </c>
      <c r="B175" s="4" t="s">
        <v>305</v>
      </c>
      <c r="C175" s="4" t="s">
        <v>5</v>
      </c>
      <c r="D175" s="19" t="s">
        <v>65</v>
      </c>
      <c r="E175" s="63">
        <v>0</v>
      </c>
      <c r="F175" s="63">
        <f>ROUND(165/(1+$AD$2),1)</f>
        <v>146.30000000000001</v>
      </c>
      <c r="G175" s="63">
        <v>0</v>
      </c>
      <c r="H175" s="63">
        <v>0</v>
      </c>
      <c r="I175" s="63">
        <v>0</v>
      </c>
      <c r="J175" s="63">
        <f>ROUND(24+$AD$2*F175,1)</f>
        <v>42.7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15</v>
      </c>
      <c r="Q175" s="63">
        <v>0</v>
      </c>
      <c r="R175" s="63">
        <v>0</v>
      </c>
      <c r="S175" s="63">
        <v>240</v>
      </c>
      <c r="T175" s="63">
        <v>0</v>
      </c>
      <c r="U175" s="63">
        <v>0</v>
      </c>
      <c r="V175" s="65">
        <f t="shared" si="12"/>
        <v>204</v>
      </c>
      <c r="W175" s="8">
        <f>ROUND(E175*ต้นทุนและราคา!$C$4+F175*ต้นทุนและราคา!$C$5+G175*ต้นทุนและราคา!$C$6+H175*ต้นทุนและราคา!$C$7+I175*ต้นทุนและราคา!$C$8+J175*ต้นทุนและราคา!$C$9+K175*ต้นทุนและราคา!$C$10+L175*ต้นทุนและราคา!$C$11+M175*ต้นทุนและราคา!$C$12+N175*ต้นทุนและราคา!$C$13+O175*ต้นทุนและราคา!$C$14+P175*ต้นทุนและราคา!$C$15+Q175*ต้นทุนและราคา!$C$16+R175*ต้นทุนและราคา!$C$17+S175*ต้นทุนและราคา!$C$18+T175*ต้นทุนและราคา!$C$19+U175*ต้นทุนและราคา!$C$20+IF($C175="16 oz",ต้นทุนและราคา!$C$21,IF($C175="20 oz",ต้นทุนและราคา!$C$22,ต้นทุนและราคา!$C$23)),2)</f>
        <v>15.23</v>
      </c>
      <c r="X175" s="64" cm="1">
        <f t="array" ref="X175">IFERROR(INDEX(ต้นทุนและราคา!$C$26:$E$101,MATCH($B175,ต้นทุนและราคา!$A$26:$A$101,0),IF($C175="16 oz",1,IF($C175="20 oz",2,3))),"")</f>
        <v>40</v>
      </c>
      <c r="Y175" s="66">
        <f t="shared" si="11"/>
        <v>0.61924999999999997</v>
      </c>
      <c r="Z175" s="48" t="s">
        <v>1254</v>
      </c>
    </row>
    <row r="176" spans="1:26" x14ac:dyDescent="0.25">
      <c r="A176" s="4" t="str">
        <f t="shared" si="10"/>
        <v>Green Lemon Tea|16 oz|100%</v>
      </c>
      <c r="B176" s="4" t="s">
        <v>305</v>
      </c>
      <c r="C176" s="4" t="s">
        <v>5</v>
      </c>
      <c r="D176" s="19" t="s">
        <v>66</v>
      </c>
      <c r="E176" s="63">
        <v>0</v>
      </c>
      <c r="F176" s="63">
        <f>ROUND(165/(1+$AD$2),1)</f>
        <v>146.30000000000001</v>
      </c>
      <c r="G176" s="63">
        <v>0</v>
      </c>
      <c r="H176" s="63">
        <v>0</v>
      </c>
      <c r="I176" s="63">
        <v>0</v>
      </c>
      <c r="J176" s="63">
        <f>ROUND(32+$AD$2*F176,1)</f>
        <v>50.7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15</v>
      </c>
      <c r="Q176" s="63">
        <v>0</v>
      </c>
      <c r="R176" s="63">
        <v>0</v>
      </c>
      <c r="S176" s="63">
        <v>240</v>
      </c>
      <c r="T176" s="63">
        <v>0</v>
      </c>
      <c r="U176" s="63">
        <v>0</v>
      </c>
      <c r="V176" s="65">
        <f t="shared" si="12"/>
        <v>212</v>
      </c>
      <c r="W176" s="8">
        <f>ROUND(E176*ต้นทุนและราคา!$C$4+F176*ต้นทุนและราคา!$C$5+G176*ต้นทุนและราคา!$C$6+H176*ต้นทุนและราคา!$C$7+I176*ต้นทุนและราคา!$C$8+J176*ต้นทุนและราคา!$C$9+K176*ต้นทุนและราคา!$C$10+L176*ต้นทุนและราคา!$C$11+M176*ต้นทุนและราคา!$C$12+N176*ต้นทุนและราคา!$C$13+O176*ต้นทุนและราคา!$C$14+P176*ต้นทุนและราคา!$C$15+Q176*ต้นทุนและราคา!$C$16+R176*ต้นทุนและราคา!$C$17+S176*ต้นทุนและราคา!$C$18+T176*ต้นทุนและราคา!$C$19+U176*ต้นทุนและราคา!$C$20+IF($C176="16 oz",ต้นทุนและราคา!$C$21,IF($C176="20 oz",ต้นทุนและราคา!$C$22,ต้นทุนและราคา!$C$23)),2)</f>
        <v>15.37</v>
      </c>
      <c r="X176" s="64" cm="1">
        <f t="array" ref="X176">IFERROR(INDEX(ต้นทุนและราคา!$C$26:$E$101,MATCH($B176,ต้นทุนและราคา!$A$26:$A$101,0),IF($C176="16 oz",1,IF($C176="20 oz",2,3))),"")</f>
        <v>40</v>
      </c>
      <c r="Y176" s="66">
        <f t="shared" si="11"/>
        <v>0.61575000000000002</v>
      </c>
      <c r="Z176" s="48" t="s">
        <v>1254</v>
      </c>
    </row>
    <row r="177" spans="1:26" x14ac:dyDescent="0.25">
      <c r="A177" s="4" t="str">
        <f t="shared" si="10"/>
        <v>Green Lemon Tea|22 oz|0%</v>
      </c>
      <c r="B177" s="4" t="s">
        <v>305</v>
      </c>
      <c r="C177" s="4" t="s">
        <v>67</v>
      </c>
      <c r="D177" s="19" t="s">
        <v>63</v>
      </c>
      <c r="E177" s="63">
        <v>0</v>
      </c>
      <c r="F177" s="63">
        <v>227</v>
      </c>
      <c r="G177" s="63">
        <v>0</v>
      </c>
      <c r="H177" s="63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20.5</v>
      </c>
      <c r="Q177" s="63">
        <v>0</v>
      </c>
      <c r="R177" s="63">
        <v>0</v>
      </c>
      <c r="S177" s="63">
        <v>330</v>
      </c>
      <c r="T177" s="63">
        <v>0</v>
      </c>
      <c r="U177" s="63">
        <v>0</v>
      </c>
      <c r="V177" s="65">
        <f t="shared" si="12"/>
        <v>247.5</v>
      </c>
      <c r="W177" s="8">
        <f>ROUND(E177*ต้นทุนและราคา!$C$4+F177*ต้นทุนและราคา!$C$5+G177*ต้นทุนและราคา!$C$6+H177*ต้นทุนและราคา!$C$7+I177*ต้นทุนและราคา!$C$8+J177*ต้นทุนและราคา!$C$9+K177*ต้นทุนและราคา!$C$10+L177*ต้นทุนและราคา!$C$11+M177*ต้นทุนและราคา!$C$12+N177*ต้นทุนและราคา!$C$13+O177*ต้นทุนและราคา!$C$14+P177*ต้นทุนและราคา!$C$15+Q177*ต้นทุนและราคา!$C$16+R177*ต้นทุนและราคา!$C$17+S177*ต้นทุนและราคา!$C$18+T177*ต้นทุนและราคา!$C$19+U177*ต้นทุนและราคา!$C$20+IF($C177="16 oz",ต้นทุนและราคา!$C$21,IF($C177="20 oz",ต้นทุนและราคา!$C$22,ต้นทุนและราคา!$C$23)),2)</f>
        <v>19.86</v>
      </c>
      <c r="X177" s="64" cm="1">
        <f t="array" ref="X177">IFERROR(INDEX(ต้นทุนและราคา!$C$26:$E$101,MATCH($B177,ต้นทุนและราคา!$A$26:$A$101,0),IF($C177="16 oz",1,IF($C177="20 oz",2,3))),"")</f>
        <v>55</v>
      </c>
      <c r="Y177" s="66">
        <f t="shared" si="11"/>
        <v>0.63890909090909087</v>
      </c>
      <c r="Z177" s="48" t="s">
        <v>1231</v>
      </c>
    </row>
    <row r="178" spans="1:26" x14ac:dyDescent="0.25">
      <c r="A178" s="4" t="str">
        <f t="shared" si="10"/>
        <v>Green Lemon Tea|22 oz|25%</v>
      </c>
      <c r="B178" s="4" t="s">
        <v>305</v>
      </c>
      <c r="C178" s="4" t="s">
        <v>67</v>
      </c>
      <c r="D178" s="19" t="s">
        <v>64</v>
      </c>
      <c r="E178" s="63">
        <v>0</v>
      </c>
      <c r="F178" s="63">
        <f>ROUND(227/(1+$AD$2),1)</f>
        <v>201.2</v>
      </c>
      <c r="G178" s="63">
        <v>0</v>
      </c>
      <c r="H178" s="63">
        <v>0</v>
      </c>
      <c r="I178" s="63">
        <v>0</v>
      </c>
      <c r="J178" s="63">
        <f>ROUND(11+$AD$2*F178,1)</f>
        <v>36.799999999999997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20.5</v>
      </c>
      <c r="Q178" s="63">
        <v>0</v>
      </c>
      <c r="R178" s="63">
        <v>0</v>
      </c>
      <c r="S178" s="63">
        <v>330</v>
      </c>
      <c r="T178" s="63">
        <v>0</v>
      </c>
      <c r="U178" s="63">
        <v>0</v>
      </c>
      <c r="V178" s="65">
        <f t="shared" si="12"/>
        <v>258.5</v>
      </c>
      <c r="W178" s="8">
        <f>ROUND(E178*ต้นทุนและราคา!$C$4+F178*ต้นทุนและราคา!$C$5+G178*ต้นทุนและราคา!$C$6+H178*ต้นทุนและราคา!$C$7+I178*ต้นทุนและราคา!$C$8+J178*ต้นทุนและราคา!$C$9+K178*ต้นทุนและราคา!$C$10+L178*ต้นทุนและราคา!$C$11+M178*ต้นทุนและราคา!$C$12+N178*ต้นทุนและราคา!$C$13+O178*ต้นทุนและราคา!$C$14+P178*ต้นทุนและราคา!$C$15+Q178*ต้นทุนและราคา!$C$16+R178*ต้นทุนและราคา!$C$17+S178*ต้นทุนและราคา!$C$18+T178*ต้นทุนและราคา!$C$19+U178*ต้นทุนและราคา!$C$20+IF($C178="16 oz",ต้นทุนและราคา!$C$21,IF($C178="20 oz",ต้นทุนและราคา!$C$22,ต้นทุนและราคา!$C$23)),2)</f>
        <v>19.850000000000001</v>
      </c>
      <c r="X178" s="64" cm="1">
        <f t="array" ref="X178">IFERROR(INDEX(ต้นทุนและราคา!$C$26:$E$101,MATCH($B178,ต้นทุนและราคา!$A$26:$A$101,0),IF($C178="16 oz",1,IF($C178="20 oz",2,3))),"")</f>
        <v>55</v>
      </c>
      <c r="Y178" s="66">
        <f t="shared" si="11"/>
        <v>0.63909090909090904</v>
      </c>
      <c r="Z178" s="48" t="s">
        <v>1254</v>
      </c>
    </row>
    <row r="179" spans="1:26" x14ac:dyDescent="0.25">
      <c r="A179" s="4" t="str">
        <f t="shared" si="10"/>
        <v>Green Lemon Tea|22 oz|50%</v>
      </c>
      <c r="B179" s="4" t="s">
        <v>305</v>
      </c>
      <c r="C179" s="4" t="s">
        <v>67</v>
      </c>
      <c r="D179" s="19" t="s">
        <v>7</v>
      </c>
      <c r="E179" s="63">
        <v>0</v>
      </c>
      <c r="F179" s="63">
        <f>ROUND(227/(1+$AD$2),1)</f>
        <v>201.2</v>
      </c>
      <c r="G179" s="63">
        <v>0</v>
      </c>
      <c r="H179" s="63">
        <v>0</v>
      </c>
      <c r="I179" s="63">
        <v>0</v>
      </c>
      <c r="J179" s="63">
        <f>ROUND(22+$AD$2*F179,1)</f>
        <v>47.8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20.5</v>
      </c>
      <c r="Q179" s="63">
        <v>0</v>
      </c>
      <c r="R179" s="63">
        <v>0</v>
      </c>
      <c r="S179" s="63">
        <v>330</v>
      </c>
      <c r="T179" s="63">
        <v>0</v>
      </c>
      <c r="U179" s="63">
        <v>0</v>
      </c>
      <c r="V179" s="65">
        <f t="shared" si="12"/>
        <v>269.5</v>
      </c>
      <c r="W179" s="8">
        <f>ROUND(E179*ต้นทุนและราคา!$C$4+F179*ต้นทุนและราคา!$C$5+G179*ต้นทุนและราคา!$C$6+H179*ต้นทุนและราคา!$C$7+I179*ต้นทุนและราคา!$C$8+J179*ต้นทุนและราคา!$C$9+K179*ต้นทุนและราคา!$C$10+L179*ต้นทุนและราคา!$C$11+M179*ต้นทุนและราคา!$C$12+N179*ต้นทุนและราคา!$C$13+O179*ต้นทุนและราคา!$C$14+P179*ต้นทุนและราคา!$C$15+Q179*ต้นทุนและราคา!$C$16+R179*ต้นทุนและราคา!$C$17+S179*ต้นทุนและราคา!$C$18+T179*ต้นทุนและราคา!$C$19+U179*ต้นทุนและราคา!$C$20+IF($C179="16 oz",ต้นทุนและราคา!$C$21,IF($C179="20 oz",ต้นทุนและราคา!$C$22,ต้นทุนและราคา!$C$23)),2)</f>
        <v>20.04</v>
      </c>
      <c r="X179" s="64" cm="1">
        <f t="array" ref="X179">IFERROR(INDEX(ต้นทุนและราคา!$C$26:$E$101,MATCH($B179,ต้นทุนและราคา!$A$26:$A$101,0),IF($C179="16 oz",1,IF($C179="20 oz",2,3))),"")</f>
        <v>55</v>
      </c>
      <c r="Y179" s="66">
        <f t="shared" si="11"/>
        <v>0.63563636363636367</v>
      </c>
      <c r="Z179" s="48" t="s">
        <v>1254</v>
      </c>
    </row>
    <row r="180" spans="1:26" x14ac:dyDescent="0.25">
      <c r="A180" s="4" t="str">
        <f t="shared" si="10"/>
        <v>Green Lemon Tea|22 oz|75%</v>
      </c>
      <c r="B180" s="4" t="s">
        <v>305</v>
      </c>
      <c r="C180" s="4" t="s">
        <v>67</v>
      </c>
      <c r="D180" s="19" t="s">
        <v>65</v>
      </c>
      <c r="E180" s="63">
        <v>0</v>
      </c>
      <c r="F180" s="63">
        <f>ROUND(227/(1+$AD$2),1)</f>
        <v>201.2</v>
      </c>
      <c r="G180" s="63">
        <v>0</v>
      </c>
      <c r="H180" s="63">
        <v>0</v>
      </c>
      <c r="I180" s="63">
        <v>0</v>
      </c>
      <c r="J180" s="63">
        <f>ROUND(33+$AD$2*F180,1)</f>
        <v>58.8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20.5</v>
      </c>
      <c r="Q180" s="63">
        <v>0</v>
      </c>
      <c r="R180" s="63">
        <v>0</v>
      </c>
      <c r="S180" s="63">
        <v>330</v>
      </c>
      <c r="T180" s="63">
        <v>0</v>
      </c>
      <c r="U180" s="63">
        <v>0</v>
      </c>
      <c r="V180" s="65">
        <f t="shared" si="12"/>
        <v>280.5</v>
      </c>
      <c r="W180" s="8">
        <f>ROUND(E180*ต้นทุนและราคา!$C$4+F180*ต้นทุนและราคา!$C$5+G180*ต้นทุนและราคา!$C$6+H180*ต้นทุนและราคา!$C$7+I180*ต้นทุนและราคา!$C$8+J180*ต้นทุนและราคา!$C$9+K180*ต้นทุนและราคา!$C$10+L180*ต้นทุนและราคา!$C$11+M180*ต้นทุนและราคา!$C$12+N180*ต้นทุนและราคา!$C$13+O180*ต้นทุนและราคา!$C$14+P180*ต้นทุนและราคา!$C$15+Q180*ต้นทุนและราคา!$C$16+R180*ต้นทุนและราคา!$C$17+S180*ต้นทุนและราคา!$C$18+T180*ต้นทุนและราคา!$C$19+U180*ต้นทุนและราคา!$C$20+IF($C180="16 oz",ต้นทุนและราคา!$C$21,IF($C180="20 oz",ต้นทุนและราคา!$C$22,ต้นทุนและราคา!$C$23)),2)</f>
        <v>20.22</v>
      </c>
      <c r="X180" s="64" cm="1">
        <f t="array" ref="X180">IFERROR(INDEX(ต้นทุนและราคา!$C$26:$E$101,MATCH($B180,ต้นทุนและราคา!$A$26:$A$101,0),IF($C180="16 oz",1,IF($C180="20 oz",2,3))),"")</f>
        <v>55</v>
      </c>
      <c r="Y180" s="66">
        <f t="shared" si="11"/>
        <v>0.63236363636363635</v>
      </c>
      <c r="Z180" s="48" t="s">
        <v>1254</v>
      </c>
    </row>
    <row r="181" spans="1:26" x14ac:dyDescent="0.25">
      <c r="A181" s="4" t="str">
        <f t="shared" si="10"/>
        <v>Green Lemon Tea|22 oz|100%</v>
      </c>
      <c r="B181" s="4" t="s">
        <v>305</v>
      </c>
      <c r="C181" s="4" t="s">
        <v>67</v>
      </c>
      <c r="D181" s="19" t="s">
        <v>66</v>
      </c>
      <c r="E181" s="63">
        <v>0</v>
      </c>
      <c r="F181" s="63">
        <f>ROUND(227/(1+$AD$2),1)</f>
        <v>201.2</v>
      </c>
      <c r="G181" s="63">
        <v>0</v>
      </c>
      <c r="H181" s="63">
        <v>0</v>
      </c>
      <c r="I181" s="63">
        <v>0</v>
      </c>
      <c r="J181" s="63">
        <f>ROUND(44+$AD$2*F181,1)</f>
        <v>69.8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20.5</v>
      </c>
      <c r="Q181" s="63">
        <v>0</v>
      </c>
      <c r="R181" s="63">
        <v>0</v>
      </c>
      <c r="S181" s="63">
        <v>330</v>
      </c>
      <c r="T181" s="63">
        <v>0</v>
      </c>
      <c r="U181" s="63">
        <v>0</v>
      </c>
      <c r="V181" s="65">
        <f t="shared" si="12"/>
        <v>291.5</v>
      </c>
      <c r="W181" s="8">
        <f>ROUND(E181*ต้นทุนและราคา!$C$4+F181*ต้นทุนและราคา!$C$5+G181*ต้นทุนและราคา!$C$6+H181*ต้นทุนและราคา!$C$7+I181*ต้นทุนและราคา!$C$8+J181*ต้นทุนและราคา!$C$9+K181*ต้นทุนและราคา!$C$10+L181*ต้นทุนและราคา!$C$11+M181*ต้นทุนและราคา!$C$12+N181*ต้นทุนและราคา!$C$13+O181*ต้นทุนและราคา!$C$14+P181*ต้นทุนและราคา!$C$15+Q181*ต้นทุนและราคา!$C$16+R181*ต้นทุนและราคา!$C$17+S181*ต้นทุนและราคา!$C$18+T181*ต้นทุนและราคา!$C$19+U181*ต้นทุนและราคา!$C$20+IF($C181="16 oz",ต้นทุนและราคา!$C$21,IF($C181="20 oz",ต้นทุนและราคา!$C$22,ต้นทุนและราคา!$C$23)),2)</f>
        <v>20.399999999999999</v>
      </c>
      <c r="X181" s="64" cm="1">
        <f t="array" ref="X181">IFERROR(INDEX(ต้นทุนและราคา!$C$26:$E$101,MATCH($B181,ต้นทุนและราคา!$A$26:$A$101,0),IF($C181="16 oz",1,IF($C181="20 oz",2,3))),"")</f>
        <v>55</v>
      </c>
      <c r="Y181" s="66">
        <f t="shared" si="11"/>
        <v>0.62909090909090915</v>
      </c>
      <c r="Z181" s="48" t="s">
        <v>1254</v>
      </c>
    </row>
    <row r="182" spans="1:26" x14ac:dyDescent="0.25">
      <c r="A182" s="4" t="str">
        <f t="shared" si="10"/>
        <v>Green Honey Lemon|16 oz|0%</v>
      </c>
      <c r="B182" s="4" t="s">
        <v>307</v>
      </c>
      <c r="C182" s="4" t="s">
        <v>5</v>
      </c>
      <c r="D182" s="19" t="s">
        <v>63</v>
      </c>
      <c r="E182" s="63">
        <v>0</v>
      </c>
      <c r="F182" s="63">
        <v>165</v>
      </c>
      <c r="G182" s="63">
        <v>0</v>
      </c>
      <c r="H182" s="63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15</v>
      </c>
      <c r="Q182" s="63">
        <v>0</v>
      </c>
      <c r="R182" s="63">
        <v>0</v>
      </c>
      <c r="S182" s="63">
        <v>240</v>
      </c>
      <c r="T182" s="63">
        <v>0</v>
      </c>
      <c r="U182" s="63">
        <v>0</v>
      </c>
      <c r="V182" s="65">
        <f t="shared" si="12"/>
        <v>180</v>
      </c>
      <c r="W182" s="8">
        <f>ROUND(E182*ต้นทุนและราคา!$C$4+F182*ต้นทุนและราคา!$C$5+G182*ต้นทุนและราคา!$C$6+H182*ต้นทุนและราคา!$C$7+I182*ต้นทุนและราคา!$C$8+J182*ต้นทุนและราคา!$C$9+K182*ต้นทุนและราคา!$C$10+L182*ต้นทุนและราคา!$C$11+M182*ต้นทุนและราคา!$C$12+N182*ต้นทุนและราคา!$C$13+O182*ต้นทุนและราคา!$C$14+P182*ต้นทุนและราคา!$C$15+Q182*ต้นทุนและราคา!$C$16+R182*ต้นทุนและราคา!$C$17+S182*ต้นทุนและราคา!$C$18+T182*ต้นทุนและราคา!$C$19+U182*ต้นทุนและราคา!$C$20+IF($C182="16 oz",ต้นทุนและราคา!$C$21,IF($C182="20 oz",ต้นทุนและราคา!$C$22,ต้นทุนและราคา!$C$23)),2)</f>
        <v>14.97</v>
      </c>
      <c r="X182" s="64" cm="1">
        <f t="array" ref="X182">IFERROR(INDEX(ต้นทุนและราคา!$C$26:$E$101,MATCH($B182,ต้นทุนและราคา!$A$26:$A$101,0),IF($C182="16 oz",1,IF($C182="20 oz",2,3))),"")</f>
        <v>50</v>
      </c>
      <c r="Y182" s="66">
        <f t="shared" si="11"/>
        <v>0.7006</v>
      </c>
      <c r="Z182" s="48" t="s">
        <v>1232</v>
      </c>
    </row>
    <row r="183" spans="1:26" x14ac:dyDescent="0.25">
      <c r="A183" s="4" t="str">
        <f t="shared" si="10"/>
        <v>Green Honey Lemon|16 oz|25%</v>
      </c>
      <c r="B183" s="4" t="s">
        <v>307</v>
      </c>
      <c r="C183" s="4" t="s">
        <v>5</v>
      </c>
      <c r="D183" s="19" t="s">
        <v>64</v>
      </c>
      <c r="E183" s="63">
        <v>0</v>
      </c>
      <c r="F183" s="63">
        <f>ROUND(165/(1+$AD$2),1)</f>
        <v>146.30000000000001</v>
      </c>
      <c r="G183" s="63">
        <v>0</v>
      </c>
      <c r="H183" s="63">
        <v>0</v>
      </c>
      <c r="I183" s="63">
        <v>0</v>
      </c>
      <c r="J183" s="63">
        <f>ROUND(3+$AD$2*F183,1)</f>
        <v>21.7</v>
      </c>
      <c r="K183" s="63">
        <v>4</v>
      </c>
      <c r="L183" s="63">
        <v>0</v>
      </c>
      <c r="M183" s="63">
        <v>0</v>
      </c>
      <c r="N183" s="63">
        <v>0</v>
      </c>
      <c r="O183" s="63">
        <v>0</v>
      </c>
      <c r="P183" s="63">
        <v>15</v>
      </c>
      <c r="Q183" s="63">
        <v>0</v>
      </c>
      <c r="R183" s="63">
        <v>0</v>
      </c>
      <c r="S183" s="63">
        <v>240</v>
      </c>
      <c r="T183" s="63">
        <v>0</v>
      </c>
      <c r="U183" s="63">
        <v>0</v>
      </c>
      <c r="V183" s="65">
        <f t="shared" si="12"/>
        <v>187</v>
      </c>
      <c r="W183" s="8">
        <f>ROUND(E183*ต้นทุนและราคา!$C$4+F183*ต้นทุนและราคา!$C$5+G183*ต้นทุนและราคา!$C$6+H183*ต้นทุนและราคา!$C$7+I183*ต้นทุนและราคา!$C$8+J183*ต้นทุนและราคา!$C$9+K183*ต้นทุนและราคา!$C$10+L183*ต้นทุนและราคา!$C$11+M183*ต้นทุนและราคา!$C$12+N183*ต้นทุนและราคา!$C$13+O183*ต้นทุนและราคา!$C$14+P183*ต้นทุนและราคา!$C$15+Q183*ต้นทุนและราคา!$C$16+R183*ต้นทุนและราคา!$C$17+S183*ต้นทุนและราคา!$C$18+T183*ต้นทุนและราคา!$C$19+U183*ต้นทุนและราคา!$C$20+IF($C183="16 oz",ต้นทุนและราคา!$C$21,IF($C183="20 oz",ต้นทุนและราคา!$C$22,ต้นทุนและราคา!$C$23)),2)</f>
        <v>15.82</v>
      </c>
      <c r="X183" s="64" cm="1">
        <f t="array" ref="X183">IFERROR(INDEX(ต้นทุนและราคา!$C$26:$E$101,MATCH($B183,ต้นทุนและราคา!$A$26:$A$101,0),IF($C183="16 oz",1,IF($C183="20 oz",2,3))),"")</f>
        <v>50</v>
      </c>
      <c r="Y183" s="66">
        <f t="shared" si="11"/>
        <v>0.68359999999999999</v>
      </c>
      <c r="Z183" s="48" t="s">
        <v>1255</v>
      </c>
    </row>
    <row r="184" spans="1:26" x14ac:dyDescent="0.25">
      <c r="A184" s="4" t="str">
        <f t="shared" si="10"/>
        <v>Green Honey Lemon|16 oz|50%</v>
      </c>
      <c r="B184" s="4" t="s">
        <v>307</v>
      </c>
      <c r="C184" s="4" t="s">
        <v>5</v>
      </c>
      <c r="D184" s="19" t="s">
        <v>7</v>
      </c>
      <c r="E184" s="63">
        <v>0</v>
      </c>
      <c r="F184" s="63">
        <f>ROUND(165/(1+$AD$2),1)</f>
        <v>146.30000000000001</v>
      </c>
      <c r="G184" s="63">
        <v>0</v>
      </c>
      <c r="H184" s="63">
        <v>0</v>
      </c>
      <c r="I184" s="63">
        <v>0</v>
      </c>
      <c r="J184" s="63">
        <f>ROUND(6+$AD$2*F184,1)</f>
        <v>24.7</v>
      </c>
      <c r="K184" s="63">
        <v>8</v>
      </c>
      <c r="L184" s="63">
        <v>0</v>
      </c>
      <c r="M184" s="63">
        <v>0</v>
      </c>
      <c r="N184" s="63">
        <v>0</v>
      </c>
      <c r="O184" s="63">
        <v>0</v>
      </c>
      <c r="P184" s="63">
        <v>15</v>
      </c>
      <c r="Q184" s="63">
        <v>0</v>
      </c>
      <c r="R184" s="63">
        <v>0</v>
      </c>
      <c r="S184" s="63">
        <v>240</v>
      </c>
      <c r="T184" s="63">
        <v>0</v>
      </c>
      <c r="U184" s="63">
        <v>0</v>
      </c>
      <c r="V184" s="65">
        <f t="shared" si="12"/>
        <v>194</v>
      </c>
      <c r="W184" s="8">
        <f>ROUND(E184*ต้นทุนและราคา!$C$4+F184*ต้นทุนและราคา!$C$5+G184*ต้นทุนและราคา!$C$6+H184*ต้นทุนและราคา!$C$7+I184*ต้นทุนและราคา!$C$8+J184*ต้นทุนและราคา!$C$9+K184*ต้นทุนและราคา!$C$10+L184*ต้นทุนและราคา!$C$11+M184*ต้นทุนและราคา!$C$12+N184*ต้นทุนและราคา!$C$13+O184*ต้นทุนและราคา!$C$14+P184*ต้นทุนและราคา!$C$15+Q184*ต้นทุนและราคา!$C$16+R184*ต้นทุนและราคา!$C$17+S184*ต้นทุนและราคา!$C$18+T184*ต้นทุนและราคา!$C$19+U184*ต้นทุนและราคา!$C$20+IF($C184="16 oz",ต้นทุนและราคา!$C$21,IF($C184="20 oz",ต้นทุนและราคา!$C$22,ต้นทุนและราคา!$C$23)),2)</f>
        <v>16.8</v>
      </c>
      <c r="X184" s="64" cm="1">
        <f t="array" ref="X184">IFERROR(INDEX(ต้นทุนและราคา!$C$26:$E$101,MATCH($B184,ต้นทุนและราคา!$A$26:$A$101,0),IF($C184="16 oz",1,IF($C184="20 oz",2,3))),"")</f>
        <v>50</v>
      </c>
      <c r="Y184" s="66">
        <f t="shared" si="11"/>
        <v>0.66400000000000003</v>
      </c>
      <c r="Z184" s="48" t="s">
        <v>1255</v>
      </c>
    </row>
    <row r="185" spans="1:26" x14ac:dyDescent="0.25">
      <c r="A185" s="4" t="str">
        <f t="shared" si="10"/>
        <v>Green Honey Lemon|16 oz|75%</v>
      </c>
      <c r="B185" s="4" t="s">
        <v>307</v>
      </c>
      <c r="C185" s="4" t="s">
        <v>5</v>
      </c>
      <c r="D185" s="19" t="s">
        <v>65</v>
      </c>
      <c r="E185" s="63">
        <v>0</v>
      </c>
      <c r="F185" s="63">
        <f>ROUND(165/(1+$AD$2),1)</f>
        <v>146.30000000000001</v>
      </c>
      <c r="G185" s="63">
        <v>0</v>
      </c>
      <c r="H185" s="63">
        <v>0</v>
      </c>
      <c r="I185" s="63">
        <v>0</v>
      </c>
      <c r="J185" s="63">
        <f>ROUND(9+$AD$2*F185,1)</f>
        <v>27.7</v>
      </c>
      <c r="K185" s="63">
        <v>12</v>
      </c>
      <c r="L185" s="63">
        <v>0</v>
      </c>
      <c r="M185" s="63">
        <v>0</v>
      </c>
      <c r="N185" s="63">
        <v>0</v>
      </c>
      <c r="O185" s="63">
        <v>0</v>
      </c>
      <c r="P185" s="63">
        <v>15</v>
      </c>
      <c r="Q185" s="63">
        <v>0</v>
      </c>
      <c r="R185" s="63">
        <v>0</v>
      </c>
      <c r="S185" s="63">
        <v>240</v>
      </c>
      <c r="T185" s="63">
        <v>0</v>
      </c>
      <c r="U185" s="63">
        <v>0</v>
      </c>
      <c r="V185" s="65">
        <f t="shared" si="12"/>
        <v>201</v>
      </c>
      <c r="W185" s="8">
        <f>ROUND(E185*ต้นทุนและราคา!$C$4+F185*ต้นทุนและราคา!$C$5+G185*ต้นทุนและราคา!$C$6+H185*ต้นทุนและราคา!$C$7+I185*ต้นทุนและราคา!$C$8+J185*ต้นทุนและราคา!$C$9+K185*ต้นทุนและราคา!$C$10+L185*ต้นทุนและราคา!$C$11+M185*ต้นทุนและราคา!$C$12+N185*ต้นทุนและราคา!$C$13+O185*ต้นทุนและราคา!$C$14+P185*ต้นทุนและราคา!$C$15+Q185*ต้นทุนและราคา!$C$16+R185*ต้นทุนและราคา!$C$17+S185*ต้นทุนและราคา!$C$18+T185*ต้นทุนและราคา!$C$19+U185*ต้นทุนและราคา!$C$20+IF($C185="16 oz",ต้นทุนและราคา!$C$21,IF($C185="20 oz",ต้นทุนและราคา!$C$22,ต้นทุนและราคา!$C$23)),2)</f>
        <v>17.79</v>
      </c>
      <c r="X185" s="64" cm="1">
        <f t="array" ref="X185">IFERROR(INDEX(ต้นทุนและราคา!$C$26:$E$101,MATCH($B185,ต้นทุนและราคา!$A$26:$A$101,0),IF($C185="16 oz",1,IF($C185="20 oz",2,3))),"")</f>
        <v>50</v>
      </c>
      <c r="Y185" s="66">
        <f t="shared" si="11"/>
        <v>0.64419999999999999</v>
      </c>
      <c r="Z185" s="48" t="s">
        <v>1255</v>
      </c>
    </row>
    <row r="186" spans="1:26" x14ac:dyDescent="0.25">
      <c r="A186" s="4" t="str">
        <f t="shared" si="10"/>
        <v>Green Honey Lemon|16 oz|100%</v>
      </c>
      <c r="B186" s="4" t="s">
        <v>307</v>
      </c>
      <c r="C186" s="4" t="s">
        <v>5</v>
      </c>
      <c r="D186" s="19" t="s">
        <v>66</v>
      </c>
      <c r="E186" s="63">
        <v>0</v>
      </c>
      <c r="F186" s="63">
        <f>ROUND(165/(1+$AD$2),1)</f>
        <v>146.30000000000001</v>
      </c>
      <c r="G186" s="63">
        <v>0</v>
      </c>
      <c r="H186" s="63">
        <v>0</v>
      </c>
      <c r="I186" s="63">
        <v>0</v>
      </c>
      <c r="J186" s="63">
        <f>ROUND(12+$AD$2*F186,1)</f>
        <v>30.7</v>
      </c>
      <c r="K186" s="63">
        <v>16</v>
      </c>
      <c r="L186" s="63">
        <v>0</v>
      </c>
      <c r="M186" s="63">
        <v>0</v>
      </c>
      <c r="N186" s="63">
        <v>0</v>
      </c>
      <c r="O186" s="63">
        <v>0</v>
      </c>
      <c r="P186" s="63">
        <v>15</v>
      </c>
      <c r="Q186" s="63">
        <v>0</v>
      </c>
      <c r="R186" s="63">
        <v>0</v>
      </c>
      <c r="S186" s="63">
        <v>240</v>
      </c>
      <c r="T186" s="63">
        <v>0</v>
      </c>
      <c r="U186" s="63">
        <v>0</v>
      </c>
      <c r="V186" s="65">
        <f t="shared" si="12"/>
        <v>208</v>
      </c>
      <c r="W186" s="8">
        <f>ROUND(E186*ต้นทุนและราคา!$C$4+F186*ต้นทุนและราคา!$C$5+G186*ต้นทุนและราคา!$C$6+H186*ต้นทุนและราคา!$C$7+I186*ต้นทุนและราคา!$C$8+J186*ต้นทุนและราคา!$C$9+K186*ต้นทุนและราคา!$C$10+L186*ต้นทุนและราคา!$C$11+M186*ต้นทุนและราคา!$C$12+N186*ต้นทุนและราคา!$C$13+O186*ต้นทุนและราคา!$C$14+P186*ต้นทุนและราคา!$C$15+Q186*ต้นทุนและราคา!$C$16+R186*ต้นทุนและราคา!$C$17+S186*ต้นทุนและราคา!$C$18+T186*ต้นทุนและราคา!$C$19+U186*ต้นทุนและราคา!$C$20+IF($C186="16 oz",ต้นทุนและราคา!$C$21,IF($C186="20 oz",ต้นทุนและราคา!$C$22,ต้นทุนและราคา!$C$23)),2)</f>
        <v>18.77</v>
      </c>
      <c r="X186" s="64" cm="1">
        <f t="array" ref="X186">IFERROR(INDEX(ต้นทุนและราคา!$C$26:$E$101,MATCH($B186,ต้นทุนและราคา!$A$26:$A$101,0),IF($C186="16 oz",1,IF($C186="20 oz",2,3))),"")</f>
        <v>50</v>
      </c>
      <c r="Y186" s="66">
        <f t="shared" si="11"/>
        <v>0.62460000000000004</v>
      </c>
      <c r="Z186" s="48" t="s">
        <v>1255</v>
      </c>
    </row>
    <row r="187" spans="1:26" x14ac:dyDescent="0.25">
      <c r="A187" s="4" t="str">
        <f t="shared" si="10"/>
        <v>Green Honey Lemon|22 oz|0%</v>
      </c>
      <c r="B187" s="4" t="s">
        <v>307</v>
      </c>
      <c r="C187" s="4" t="s">
        <v>67</v>
      </c>
      <c r="D187" s="19" t="s">
        <v>63</v>
      </c>
      <c r="E187" s="63">
        <v>0</v>
      </c>
      <c r="F187" s="63">
        <v>227</v>
      </c>
      <c r="G187" s="63">
        <v>0</v>
      </c>
      <c r="H187" s="63">
        <v>0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20.5</v>
      </c>
      <c r="Q187" s="63">
        <v>0</v>
      </c>
      <c r="R187" s="63">
        <v>0</v>
      </c>
      <c r="S187" s="63">
        <v>330</v>
      </c>
      <c r="T187" s="63">
        <v>0</v>
      </c>
      <c r="U187" s="63">
        <v>0</v>
      </c>
      <c r="V187" s="65">
        <f t="shared" si="12"/>
        <v>247.5</v>
      </c>
      <c r="W187" s="8">
        <f>ROUND(E187*ต้นทุนและราคา!$C$4+F187*ต้นทุนและราคา!$C$5+G187*ต้นทุนและราคา!$C$6+H187*ต้นทุนและราคา!$C$7+I187*ต้นทุนและราคา!$C$8+J187*ต้นทุนและราคา!$C$9+K187*ต้นทุนและราคา!$C$10+L187*ต้นทุนและราคา!$C$11+M187*ต้นทุนและราคา!$C$12+N187*ต้นทุนและราคา!$C$13+O187*ต้นทุนและราคา!$C$14+P187*ต้นทุนและราคา!$C$15+Q187*ต้นทุนและราคา!$C$16+R187*ต้นทุนและราคา!$C$17+S187*ต้นทุนและราคา!$C$18+T187*ต้นทุนและราคา!$C$19+U187*ต้นทุนและราคา!$C$20+IF($C187="16 oz",ต้นทุนและราคา!$C$21,IF($C187="20 oz",ต้นทุนและราคา!$C$22,ต้นทุนและราคา!$C$23)),2)</f>
        <v>19.86</v>
      </c>
      <c r="X187" s="64" cm="1">
        <f t="array" ref="X187">IFERROR(INDEX(ต้นทุนและราคา!$C$26:$E$101,MATCH($B187,ต้นทุนและราคา!$A$26:$A$101,0),IF($C187="16 oz",1,IF($C187="20 oz",2,3))),"")</f>
        <v>65</v>
      </c>
      <c r="Y187" s="66">
        <f t="shared" si="11"/>
        <v>0.69446153846153846</v>
      </c>
      <c r="Z187" s="48" t="s">
        <v>1233</v>
      </c>
    </row>
    <row r="188" spans="1:26" x14ac:dyDescent="0.25">
      <c r="A188" s="4" t="str">
        <f t="shared" si="10"/>
        <v>Green Honey Lemon|22 oz|25%</v>
      </c>
      <c r="B188" s="4" t="s">
        <v>307</v>
      </c>
      <c r="C188" s="4" t="s">
        <v>67</v>
      </c>
      <c r="D188" s="19" t="s">
        <v>64</v>
      </c>
      <c r="E188" s="63">
        <v>0</v>
      </c>
      <c r="F188" s="63">
        <f>ROUND(227/(1+$AD$2),1)</f>
        <v>201.2</v>
      </c>
      <c r="G188" s="63">
        <v>0</v>
      </c>
      <c r="H188" s="63">
        <v>0</v>
      </c>
      <c r="I188" s="63">
        <v>0</v>
      </c>
      <c r="J188" s="63">
        <f>ROUND(4+$AD$2*F188,1)</f>
        <v>29.8</v>
      </c>
      <c r="K188" s="63">
        <v>5.5</v>
      </c>
      <c r="L188" s="63">
        <v>0</v>
      </c>
      <c r="M188" s="63">
        <v>0</v>
      </c>
      <c r="N188" s="63">
        <v>0</v>
      </c>
      <c r="O188" s="63">
        <v>0</v>
      </c>
      <c r="P188" s="63">
        <v>20.5</v>
      </c>
      <c r="Q188" s="63">
        <v>0</v>
      </c>
      <c r="R188" s="63">
        <v>0</v>
      </c>
      <c r="S188" s="63">
        <v>330</v>
      </c>
      <c r="T188" s="63">
        <v>0</v>
      </c>
      <c r="U188" s="63">
        <v>0</v>
      </c>
      <c r="V188" s="65">
        <f t="shared" si="12"/>
        <v>257</v>
      </c>
      <c r="W188" s="8">
        <f>ROUND(E188*ต้นทุนและราคา!$C$4+F188*ต้นทุนและราคา!$C$5+G188*ต้นทุนและราคา!$C$6+H188*ต้นทุนและราคา!$C$7+I188*ต้นทุนและราคา!$C$8+J188*ต้นทุนและราคา!$C$9+K188*ต้นทุนและราคา!$C$10+L188*ต้นทุนและราคา!$C$11+M188*ต้นทุนและราคา!$C$12+N188*ต้นทุนและราคา!$C$13+O188*ต้นทุนและราคา!$C$14+P188*ต้นทุนและราคา!$C$15+Q188*ต้นทุนและราคา!$C$16+R188*ต้นทุนและราคา!$C$17+S188*ต้นทุนและราคา!$C$18+T188*ต้นทุนและราคา!$C$19+U188*ต้นทุนและราคา!$C$20+IF($C188="16 oz",ต้นทุนและราคา!$C$21,IF($C188="20 oz",ต้นทุนและราคา!$C$22,ต้นทุนและราคา!$C$23)),2)</f>
        <v>21.02</v>
      </c>
      <c r="X188" s="64" cm="1">
        <f t="array" ref="X188">IFERROR(INDEX(ต้นทุนและราคา!$C$26:$E$101,MATCH($B188,ต้นทุนและราคา!$A$26:$A$101,0),IF($C188="16 oz",1,IF($C188="20 oz",2,3))),"")</f>
        <v>65</v>
      </c>
      <c r="Y188" s="66">
        <f t="shared" si="11"/>
        <v>0.67661538461538473</v>
      </c>
      <c r="Z188" s="48" t="s">
        <v>1255</v>
      </c>
    </row>
    <row r="189" spans="1:26" x14ac:dyDescent="0.25">
      <c r="A189" s="4" t="str">
        <f t="shared" si="10"/>
        <v>Green Honey Lemon|22 oz|50%</v>
      </c>
      <c r="B189" s="4" t="s">
        <v>307</v>
      </c>
      <c r="C189" s="4" t="s">
        <v>67</v>
      </c>
      <c r="D189" s="19" t="s">
        <v>7</v>
      </c>
      <c r="E189" s="63">
        <v>0</v>
      </c>
      <c r="F189" s="63">
        <f>ROUND(227/(1+$AD$2),1)</f>
        <v>201.2</v>
      </c>
      <c r="G189" s="63">
        <v>0</v>
      </c>
      <c r="H189" s="63">
        <v>0</v>
      </c>
      <c r="I189" s="63">
        <v>0</v>
      </c>
      <c r="J189" s="63">
        <f>ROUND(8+$AD$2*F189,1)</f>
        <v>33.799999999999997</v>
      </c>
      <c r="K189" s="63">
        <v>11</v>
      </c>
      <c r="L189" s="63">
        <v>0</v>
      </c>
      <c r="M189" s="63">
        <v>0</v>
      </c>
      <c r="N189" s="63">
        <v>0</v>
      </c>
      <c r="O189" s="63">
        <v>0</v>
      </c>
      <c r="P189" s="63">
        <v>20.5</v>
      </c>
      <c r="Q189" s="63">
        <v>0</v>
      </c>
      <c r="R189" s="63">
        <v>0</v>
      </c>
      <c r="S189" s="63">
        <v>330</v>
      </c>
      <c r="T189" s="63">
        <v>0</v>
      </c>
      <c r="U189" s="63">
        <v>0</v>
      </c>
      <c r="V189" s="65">
        <f t="shared" si="12"/>
        <v>266.5</v>
      </c>
      <c r="W189" s="8">
        <f>ROUND(E189*ต้นทุนและราคา!$C$4+F189*ต้นทุนและราคา!$C$5+G189*ต้นทุนและราคา!$C$6+H189*ต้นทุนและราคา!$C$7+I189*ต้นทุนและราคา!$C$8+J189*ต้นทุนและราคา!$C$9+K189*ต้นทุนและราคา!$C$10+L189*ต้นทุนและราคา!$C$11+M189*ต้นทุนและราคา!$C$12+N189*ต้นทุนและราคา!$C$13+O189*ต้นทุนและราคา!$C$14+P189*ต้นทุนและราคา!$C$15+Q189*ต้นทุนและราคา!$C$16+R189*ต้นทุนและราคา!$C$17+S189*ต้นทุนและราคา!$C$18+T189*ต้นทุนและราคา!$C$19+U189*ต้นทุนและราคา!$C$20+IF($C189="16 oz",ต้นทุนและราคา!$C$21,IF($C189="20 oz",ต้นทุนและราคา!$C$22,ต้นทุนและราคา!$C$23)),2)</f>
        <v>22.37</v>
      </c>
      <c r="X189" s="64" cm="1">
        <f t="array" ref="X189">IFERROR(INDEX(ต้นทุนและราคา!$C$26:$E$101,MATCH($B189,ต้นทุนและราคา!$A$26:$A$101,0),IF($C189="16 oz",1,IF($C189="20 oz",2,3))),"")</f>
        <v>65</v>
      </c>
      <c r="Y189" s="66">
        <f t="shared" si="11"/>
        <v>0.65584615384615375</v>
      </c>
      <c r="Z189" s="48" t="s">
        <v>1255</v>
      </c>
    </row>
    <row r="190" spans="1:26" x14ac:dyDescent="0.25">
      <c r="A190" s="4" t="str">
        <f t="shared" si="10"/>
        <v>Green Honey Lemon|22 oz|75%</v>
      </c>
      <c r="B190" s="4" t="s">
        <v>307</v>
      </c>
      <c r="C190" s="4" t="s">
        <v>67</v>
      </c>
      <c r="D190" s="19" t="s">
        <v>65</v>
      </c>
      <c r="E190" s="63">
        <v>0</v>
      </c>
      <c r="F190" s="63">
        <f>ROUND(227/(1+$AD$2),1)</f>
        <v>201.2</v>
      </c>
      <c r="G190" s="63">
        <v>0</v>
      </c>
      <c r="H190" s="63">
        <v>0</v>
      </c>
      <c r="I190" s="63">
        <v>0</v>
      </c>
      <c r="J190" s="63">
        <f>ROUND(12.5+$AD$2*F190,1)</f>
        <v>38.299999999999997</v>
      </c>
      <c r="K190" s="63">
        <v>16.5</v>
      </c>
      <c r="L190" s="63">
        <v>0</v>
      </c>
      <c r="M190" s="63">
        <v>0</v>
      </c>
      <c r="N190" s="63">
        <v>0</v>
      </c>
      <c r="O190" s="63">
        <v>0</v>
      </c>
      <c r="P190" s="63">
        <v>20.5</v>
      </c>
      <c r="Q190" s="63">
        <v>0</v>
      </c>
      <c r="R190" s="63">
        <v>0</v>
      </c>
      <c r="S190" s="63">
        <v>330</v>
      </c>
      <c r="T190" s="63">
        <v>0</v>
      </c>
      <c r="U190" s="63">
        <v>0</v>
      </c>
      <c r="V190" s="65">
        <f t="shared" si="12"/>
        <v>276.5</v>
      </c>
      <c r="W190" s="8">
        <f>ROUND(E190*ต้นทุนและราคา!$C$4+F190*ต้นทุนและราคา!$C$5+G190*ต้นทุนและราคา!$C$6+H190*ต้นทุนและราคา!$C$7+I190*ต้นทุนและราคา!$C$8+J190*ต้นทุนและราคา!$C$9+K190*ต้นทุนและราคา!$C$10+L190*ต้นทุนและราคา!$C$11+M190*ต้นทุนและราคา!$C$12+N190*ต้นทุนและราคา!$C$13+O190*ต้นทุนและราคา!$C$14+P190*ต้นทุนและราคา!$C$15+Q190*ต้นทุนและราคา!$C$16+R190*ต้นทุนและราคา!$C$17+S190*ต้นทุนและราคา!$C$18+T190*ต้นทุนและราคา!$C$19+U190*ต้นทุนและราคา!$C$20+IF($C190="16 oz",ต้นทุนและราคา!$C$21,IF($C190="20 oz",ต้นทุนและราคา!$C$22,ต้นทุนและราคา!$C$23)),2)</f>
        <v>23.73</v>
      </c>
      <c r="X190" s="64" cm="1">
        <f t="array" ref="X190">IFERROR(INDEX(ต้นทุนและราคา!$C$26:$E$101,MATCH($B190,ต้นทุนและราคา!$A$26:$A$101,0),IF($C190="16 oz",1,IF($C190="20 oz",2,3))),"")</f>
        <v>65</v>
      </c>
      <c r="Y190" s="66">
        <f t="shared" si="11"/>
        <v>0.63492307692307681</v>
      </c>
      <c r="Z190" s="48" t="s">
        <v>1255</v>
      </c>
    </row>
    <row r="191" spans="1:26" x14ac:dyDescent="0.25">
      <c r="A191" s="4" t="str">
        <f t="shared" si="10"/>
        <v>Green Honey Lemon|22 oz|100%</v>
      </c>
      <c r="B191" s="4" t="s">
        <v>307</v>
      </c>
      <c r="C191" s="4" t="s">
        <v>67</v>
      </c>
      <c r="D191" s="19" t="s">
        <v>66</v>
      </c>
      <c r="E191" s="63">
        <v>0</v>
      </c>
      <c r="F191" s="63">
        <f>ROUND(227/(1+$AD$2),1)</f>
        <v>201.2</v>
      </c>
      <c r="G191" s="63">
        <v>0</v>
      </c>
      <c r="H191" s="63">
        <v>0</v>
      </c>
      <c r="I191" s="63">
        <v>0</v>
      </c>
      <c r="J191" s="63">
        <f>ROUND(16.5+$AD$2*F191,1)</f>
        <v>42.3</v>
      </c>
      <c r="K191" s="63">
        <v>22</v>
      </c>
      <c r="L191" s="63">
        <v>0</v>
      </c>
      <c r="M191" s="63">
        <v>0</v>
      </c>
      <c r="N191" s="63">
        <v>0</v>
      </c>
      <c r="O191" s="63">
        <v>0</v>
      </c>
      <c r="P191" s="63">
        <v>20.5</v>
      </c>
      <c r="Q191" s="63">
        <v>0</v>
      </c>
      <c r="R191" s="63">
        <v>0</v>
      </c>
      <c r="S191" s="63">
        <v>330</v>
      </c>
      <c r="T191" s="63">
        <v>0</v>
      </c>
      <c r="U191" s="63">
        <v>0</v>
      </c>
      <c r="V191" s="65">
        <f t="shared" si="12"/>
        <v>286</v>
      </c>
      <c r="W191" s="8">
        <f>ROUND(E191*ต้นทุนและราคา!$C$4+F191*ต้นทุนและราคา!$C$5+G191*ต้นทุนและราคา!$C$6+H191*ต้นทุนและราคา!$C$7+I191*ต้นทุนและราคา!$C$8+J191*ต้นทุนและราคา!$C$9+K191*ต้นทุนและราคา!$C$10+L191*ต้นทุนและราคา!$C$11+M191*ต้นทุนและราคา!$C$12+N191*ต้นทุนและราคา!$C$13+O191*ต้นทุนและราคา!$C$14+P191*ต้นทุนและราคา!$C$15+Q191*ต้นทุนและราคา!$C$16+R191*ต้นทุนและราคา!$C$17+S191*ต้นทุนและราคา!$C$18+T191*ต้นทุนและราคา!$C$19+U191*ต้นทุนและราคา!$C$20+IF($C191="16 oz",ต้นทุนและราคา!$C$21,IF($C191="20 oz",ต้นทุนและราคา!$C$22,ต้นทุนและราคา!$C$23)),2)</f>
        <v>25.08</v>
      </c>
      <c r="X191" s="64" cm="1">
        <f t="array" ref="X191">IFERROR(INDEX(ต้นทุนและราคา!$C$26:$E$101,MATCH($B191,ต้นทุนและราคา!$A$26:$A$101,0),IF($C191="16 oz",1,IF($C191="20 oz",2,3))),"")</f>
        <v>65</v>
      </c>
      <c r="Y191" s="66">
        <f t="shared" si="11"/>
        <v>0.61415384615384616</v>
      </c>
      <c r="Z191" s="48" t="s">
        <v>1255</v>
      </c>
    </row>
    <row r="192" spans="1:26" x14ac:dyDescent="0.25">
      <c r="A192" s="4" t="str">
        <f t="shared" si="10"/>
        <v>Green Cream Cheese|16 oz|0%</v>
      </c>
      <c r="B192" s="4" t="s">
        <v>309</v>
      </c>
      <c r="C192" s="4" t="s">
        <v>5</v>
      </c>
      <c r="D192" s="19" t="s">
        <v>63</v>
      </c>
      <c r="E192" s="63">
        <v>0</v>
      </c>
      <c r="F192" s="63">
        <v>120</v>
      </c>
      <c r="G192" s="63">
        <v>0</v>
      </c>
      <c r="H192" s="63">
        <v>30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60</v>
      </c>
      <c r="S192" s="63">
        <v>200</v>
      </c>
      <c r="T192" s="63">
        <v>0</v>
      </c>
      <c r="U192" s="63">
        <v>0</v>
      </c>
      <c r="V192" s="65">
        <f t="shared" si="12"/>
        <v>150</v>
      </c>
      <c r="W192" s="8">
        <f>ROUND(E192*ต้นทุนและราคา!$C$4+F192*ต้นทุนและราคา!$C$5+G192*ต้นทุนและราคา!$C$6+H192*ต้นทุนและราคา!$C$7+I192*ต้นทุนและราคา!$C$8+J192*ต้นทุนและราคา!$C$9+K192*ต้นทุนและราคา!$C$10+L192*ต้นทุนและราคา!$C$11+M192*ต้นทุนและราคา!$C$12+N192*ต้นทุนและราคา!$C$13+O192*ต้นทุนและราคา!$C$14+P192*ต้นทุนและราคา!$C$15+Q192*ต้นทุนและราคา!$C$16+R192*ต้นทุนและราคา!$C$17+S192*ต้นทุนและราคา!$C$18+T192*ต้นทุนและราคา!$C$19+U192*ต้นทุนและราคา!$C$20+IF($C192="16 oz",ต้นทุนและราคา!$C$21,IF($C192="20 oz",ต้นทุนและราคา!$C$22,ต้นทุนและราคา!$C$23)),2)</f>
        <v>21.45</v>
      </c>
      <c r="X192" s="64" cm="1">
        <f t="array" ref="X192">IFERROR(INDEX(ต้นทุนและราคา!$C$26:$E$101,MATCH($B192,ต้นทุนและราคา!$A$26:$A$101,0),IF($C192="16 oz",1,IF($C192="20 oz",2,3))),"")</f>
        <v>65</v>
      </c>
      <c r="Y192" s="66">
        <f t="shared" si="11"/>
        <v>0.66999999999999993</v>
      </c>
      <c r="Z192" s="48" t="s">
        <v>1234</v>
      </c>
    </row>
    <row r="193" spans="1:26" x14ac:dyDescent="0.25">
      <c r="A193" s="4" t="str">
        <f t="shared" si="10"/>
        <v>Green Cream Cheese|16 oz|25%</v>
      </c>
      <c r="B193" s="4" t="s">
        <v>309</v>
      </c>
      <c r="C193" s="4" t="s">
        <v>5</v>
      </c>
      <c r="D193" s="19" t="s">
        <v>64</v>
      </c>
      <c r="E193" s="63">
        <v>0</v>
      </c>
      <c r="F193" s="63">
        <v>120</v>
      </c>
      <c r="G193" s="63">
        <v>0</v>
      </c>
      <c r="H193" s="63">
        <v>30</v>
      </c>
      <c r="I193" s="63">
        <v>7</v>
      </c>
      <c r="J193" s="63">
        <f>ROUND(0+$AD$2*F193,1)</f>
        <v>15.4</v>
      </c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  <c r="R193" s="63">
        <v>60</v>
      </c>
      <c r="S193" s="63">
        <v>200</v>
      </c>
      <c r="T193" s="63">
        <v>0</v>
      </c>
      <c r="U193" s="63">
        <v>0</v>
      </c>
      <c r="V193" s="65">
        <f t="shared" si="12"/>
        <v>172.4</v>
      </c>
      <c r="W193" s="8">
        <f>ROUND(E193*ต้นทุนและราคา!$C$4+F193*ต้นทุนและราคา!$C$5+G193*ต้นทุนและราคา!$C$6+H193*ต้นทุนและราคา!$C$7+I193*ต้นทุนและราคา!$C$8+J193*ต้นทุนและราคา!$C$9+K193*ต้นทุนและราคา!$C$10+L193*ต้นทุนและราคา!$C$11+M193*ต้นทุนและราคา!$C$12+N193*ต้นทุนและราคา!$C$13+O193*ต้นทุนและราคา!$C$14+P193*ต้นทุนและราคา!$C$15+Q193*ต้นทุนและราคา!$C$16+R193*ต้นทุนและราคา!$C$17+S193*ต้นทุนและราคา!$C$18+T193*ต้นทุนและราคา!$C$19+U193*ต้นทุนและราคา!$C$20+IF($C193="16 oz",ต้นทุนและราคา!$C$21,IF($C193="20 oz",ต้นทุนและราคา!$C$22,ต้นทุนและราคา!$C$23)),2)</f>
        <v>22.19</v>
      </c>
      <c r="X193" s="64" cm="1">
        <f t="array" ref="X193">IFERROR(INDEX(ต้นทุนและราคา!$C$26:$E$101,MATCH($B193,ต้นทุนและราคา!$A$26:$A$101,0),IF($C193="16 oz",1,IF($C193="20 oz",2,3))),"")</f>
        <v>65</v>
      </c>
      <c r="Y193" s="66">
        <f t="shared" si="11"/>
        <v>0.6586153846153846</v>
      </c>
      <c r="Z193" s="48" t="s">
        <v>1235</v>
      </c>
    </row>
    <row r="194" spans="1:26" x14ac:dyDescent="0.25">
      <c r="A194" s="4" t="str">
        <f t="shared" ref="A194:A257" si="13">IF($B194="","",$B194&amp;"|"&amp;$C194&amp;"|"&amp;$D194)</f>
        <v>Green Cream Cheese|16 oz|50%</v>
      </c>
      <c r="B194" s="4" t="s">
        <v>309</v>
      </c>
      <c r="C194" s="4" t="s">
        <v>5</v>
      </c>
      <c r="D194" s="19" t="s">
        <v>7</v>
      </c>
      <c r="E194" s="63">
        <v>0</v>
      </c>
      <c r="F194" s="63">
        <v>120</v>
      </c>
      <c r="G194" s="63">
        <v>0</v>
      </c>
      <c r="H194" s="63">
        <v>30</v>
      </c>
      <c r="I194" s="63">
        <v>14</v>
      </c>
      <c r="J194" s="63">
        <f>ROUND(0+$AD$2*F194,1)</f>
        <v>15.4</v>
      </c>
      <c r="K194" s="63">
        <v>0</v>
      </c>
      <c r="L194" s="63">
        <v>0</v>
      </c>
      <c r="M194" s="63">
        <v>0</v>
      </c>
      <c r="N194" s="63">
        <v>0</v>
      </c>
      <c r="O194" s="63">
        <v>0</v>
      </c>
      <c r="P194" s="63">
        <v>0</v>
      </c>
      <c r="Q194" s="63">
        <v>0</v>
      </c>
      <c r="R194" s="63">
        <v>60</v>
      </c>
      <c r="S194" s="63">
        <v>200</v>
      </c>
      <c r="T194" s="63">
        <v>0</v>
      </c>
      <c r="U194" s="63">
        <v>0</v>
      </c>
      <c r="V194" s="65">
        <f t="shared" si="12"/>
        <v>179.4</v>
      </c>
      <c r="W194" s="8">
        <f>ROUND(E194*ต้นทุนและราคา!$C$4+F194*ต้นทุนและราคา!$C$5+G194*ต้นทุนและราคา!$C$6+H194*ต้นทุนและราคา!$C$7+I194*ต้นทุนและราคา!$C$8+J194*ต้นทุนและราคา!$C$9+K194*ต้นทุนและราคา!$C$10+L194*ต้นทุนและราคา!$C$11+M194*ต้นทุนและราคา!$C$12+N194*ต้นทุนและราคา!$C$13+O194*ต้นทุนและราคา!$C$14+P194*ต้นทุนและราคา!$C$15+Q194*ต้นทุนและราคา!$C$16+R194*ต้นทุนและราคา!$C$17+S194*ต้นทุนและราคา!$C$18+T194*ต้นทุนและราคา!$C$19+U194*ต้นทุนและราคา!$C$20+IF($C194="16 oz",ต้นทุนและราคา!$C$21,IF($C194="20 oz",ต้นทุนและราคา!$C$22,ต้นทุนและราคา!$C$23)),2)</f>
        <v>22.67</v>
      </c>
      <c r="X194" s="64" cm="1">
        <f t="array" ref="X194">IFERROR(INDEX(ต้นทุนและราคา!$C$26:$E$101,MATCH($B194,ต้นทุนและราคา!$A$26:$A$101,0),IF($C194="16 oz",1,IF($C194="20 oz",2,3))),"")</f>
        <v>65</v>
      </c>
      <c r="Y194" s="66">
        <f t="shared" ref="Y194:Y257" si="14">IFERROR(($X194-$W194)/$X194,"")</f>
        <v>0.65123076923076917</v>
      </c>
      <c r="Z194" s="48" t="s">
        <v>1235</v>
      </c>
    </row>
    <row r="195" spans="1:26" x14ac:dyDescent="0.25">
      <c r="A195" s="4" t="str">
        <f t="shared" si="13"/>
        <v>Green Cream Cheese|16 oz|75%</v>
      </c>
      <c r="B195" s="4" t="s">
        <v>309</v>
      </c>
      <c r="C195" s="4" t="s">
        <v>5</v>
      </c>
      <c r="D195" s="19" t="s">
        <v>65</v>
      </c>
      <c r="E195" s="63">
        <v>0</v>
      </c>
      <c r="F195" s="63">
        <v>120</v>
      </c>
      <c r="G195" s="63">
        <v>0</v>
      </c>
      <c r="H195" s="63">
        <v>30</v>
      </c>
      <c r="I195" s="63">
        <v>21</v>
      </c>
      <c r="J195" s="63">
        <f>ROUND(0+$AD$2*F195,1)</f>
        <v>15.4</v>
      </c>
      <c r="K195" s="63">
        <v>0</v>
      </c>
      <c r="L195" s="63">
        <v>0</v>
      </c>
      <c r="M195" s="63">
        <v>0</v>
      </c>
      <c r="N195" s="63">
        <v>0</v>
      </c>
      <c r="O195" s="63">
        <v>0</v>
      </c>
      <c r="P195" s="63">
        <v>0</v>
      </c>
      <c r="Q195" s="63">
        <v>0</v>
      </c>
      <c r="R195" s="63">
        <v>60</v>
      </c>
      <c r="S195" s="63">
        <v>200</v>
      </c>
      <c r="T195" s="63">
        <v>0</v>
      </c>
      <c r="U195" s="63">
        <v>0</v>
      </c>
      <c r="V195" s="65">
        <f t="shared" ref="V195:V231" si="15">E195+F195+G195+H195+I195+J195+K195+M195+N195+P195+Q195+T195+U195</f>
        <v>186.4</v>
      </c>
      <c r="W195" s="8">
        <f>ROUND(E195*ต้นทุนและราคา!$C$4+F195*ต้นทุนและราคา!$C$5+G195*ต้นทุนและราคา!$C$6+H195*ต้นทุนและราคา!$C$7+I195*ต้นทุนและราคา!$C$8+J195*ต้นทุนและราคา!$C$9+K195*ต้นทุนและราคา!$C$10+L195*ต้นทุนและราคา!$C$11+M195*ต้นทุนและราคา!$C$12+N195*ต้นทุนและราคา!$C$13+O195*ต้นทุนและราคา!$C$14+P195*ต้นทุนและราคา!$C$15+Q195*ต้นทุนและราคา!$C$16+R195*ต้นทุนและราคา!$C$17+S195*ต้นทุนและราคา!$C$18+T195*ต้นทุนและราคา!$C$19+U195*ต้นทุนและราคา!$C$20+IF($C195="16 oz",ต้นทุนและราคา!$C$21,IF($C195="20 oz",ต้นทุนและราคา!$C$22,ต้นทุนและราคา!$C$23)),2)</f>
        <v>23.16</v>
      </c>
      <c r="X195" s="64" cm="1">
        <f t="array" ref="X195">IFERROR(INDEX(ต้นทุนและราคา!$C$26:$E$101,MATCH($B195,ต้นทุนและราคา!$A$26:$A$101,0),IF($C195="16 oz",1,IF($C195="20 oz",2,3))),"")</f>
        <v>65</v>
      </c>
      <c r="Y195" s="66">
        <f t="shared" si="14"/>
        <v>0.64369230769230779</v>
      </c>
      <c r="Z195" s="48" t="s">
        <v>1235</v>
      </c>
    </row>
    <row r="196" spans="1:26" x14ac:dyDescent="0.25">
      <c r="A196" s="4" t="str">
        <f t="shared" si="13"/>
        <v>Green Cream Cheese|16 oz|100%</v>
      </c>
      <c r="B196" s="4" t="s">
        <v>309</v>
      </c>
      <c r="C196" s="4" t="s">
        <v>5</v>
      </c>
      <c r="D196" s="19" t="s">
        <v>66</v>
      </c>
      <c r="E196" s="63">
        <v>0</v>
      </c>
      <c r="F196" s="63">
        <v>120</v>
      </c>
      <c r="G196" s="63">
        <v>0</v>
      </c>
      <c r="H196" s="63">
        <v>30</v>
      </c>
      <c r="I196" s="63">
        <v>28</v>
      </c>
      <c r="J196" s="63">
        <f>ROUND(0+$AD$2*F196,1)</f>
        <v>15.4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60</v>
      </c>
      <c r="S196" s="63">
        <v>200</v>
      </c>
      <c r="T196" s="63">
        <v>0</v>
      </c>
      <c r="U196" s="63">
        <v>0</v>
      </c>
      <c r="V196" s="65">
        <f t="shared" si="15"/>
        <v>193.4</v>
      </c>
      <c r="W196" s="8">
        <f>ROUND(E196*ต้นทุนและราคา!$C$4+F196*ต้นทุนและราคา!$C$5+G196*ต้นทุนและราคา!$C$6+H196*ต้นทุนและราคา!$C$7+I196*ต้นทุนและราคา!$C$8+J196*ต้นทุนและราคา!$C$9+K196*ต้นทุนและราคา!$C$10+L196*ต้นทุนและราคา!$C$11+M196*ต้นทุนและราคา!$C$12+N196*ต้นทุนและราคา!$C$13+O196*ต้นทุนและราคา!$C$14+P196*ต้นทุนและราคา!$C$15+Q196*ต้นทุนและราคา!$C$16+R196*ต้นทุนและราคา!$C$17+S196*ต้นทุนและราคา!$C$18+T196*ต้นทุนและราคา!$C$19+U196*ต้นทุนและราคา!$C$20+IF($C196="16 oz",ต้นทุนและราคา!$C$21,IF($C196="20 oz",ต้นทุนและราคา!$C$22,ต้นทุนและราคา!$C$23)),2)</f>
        <v>23.64</v>
      </c>
      <c r="X196" s="64" cm="1">
        <f t="array" ref="X196">IFERROR(INDEX(ต้นทุนและราคา!$C$26:$E$101,MATCH($B196,ต้นทุนและราคา!$A$26:$A$101,0),IF($C196="16 oz",1,IF($C196="20 oz",2,3))),"")</f>
        <v>65</v>
      </c>
      <c r="Y196" s="66">
        <f t="shared" si="14"/>
        <v>0.63630769230769235</v>
      </c>
      <c r="Z196" s="48" t="s">
        <v>1235</v>
      </c>
    </row>
    <row r="197" spans="1:26" x14ac:dyDescent="0.25">
      <c r="A197" s="4" t="str">
        <f t="shared" si="13"/>
        <v>Green Cream Cheese|22 oz|0%</v>
      </c>
      <c r="B197" s="4" t="s">
        <v>309</v>
      </c>
      <c r="C197" s="4" t="s">
        <v>67</v>
      </c>
      <c r="D197" s="19" t="s">
        <v>63</v>
      </c>
      <c r="E197" s="63">
        <v>0</v>
      </c>
      <c r="F197" s="63">
        <v>165</v>
      </c>
      <c r="G197" s="63">
        <v>0</v>
      </c>
      <c r="H197" s="63">
        <v>41</v>
      </c>
      <c r="I197" s="63">
        <v>0</v>
      </c>
      <c r="J197" s="63">
        <v>0</v>
      </c>
      <c r="K197" s="63">
        <v>0</v>
      </c>
      <c r="L197" s="63">
        <v>0</v>
      </c>
      <c r="M197" s="63">
        <v>0</v>
      </c>
      <c r="N197" s="63">
        <v>0</v>
      </c>
      <c r="O197" s="63">
        <v>0</v>
      </c>
      <c r="P197" s="63">
        <v>0</v>
      </c>
      <c r="Q197" s="63">
        <v>0</v>
      </c>
      <c r="R197" s="63">
        <v>82.5</v>
      </c>
      <c r="S197" s="63">
        <v>270</v>
      </c>
      <c r="T197" s="63">
        <v>0</v>
      </c>
      <c r="U197" s="63">
        <v>0</v>
      </c>
      <c r="V197" s="65">
        <f t="shared" si="15"/>
        <v>206</v>
      </c>
      <c r="W197" s="8">
        <f>ROUND(E197*ต้นทุนและราคา!$C$4+F197*ต้นทุนและราคา!$C$5+G197*ต้นทุนและราคา!$C$6+H197*ต้นทุนและราคา!$C$7+I197*ต้นทุนและราคา!$C$8+J197*ต้นทุนและราคา!$C$9+K197*ต้นทุนและราคา!$C$10+L197*ต้นทุนและราคา!$C$11+M197*ต้นทุนและราคา!$C$12+N197*ต้นทุนและราคา!$C$13+O197*ต้นทุนและราคา!$C$14+P197*ต้นทุนและราคา!$C$15+Q197*ต้นทุนและราคา!$C$16+R197*ต้นทุนและราคา!$C$17+S197*ต้นทุนและราคา!$C$18+T197*ต้นทุนและราคา!$C$19+U197*ต้นทุนและราคา!$C$20+IF($C197="16 oz",ต้นทุนและราคา!$C$21,IF($C197="20 oz",ต้นทุนและราคา!$C$22,ต้นทุนและราคา!$C$23)),2)</f>
        <v>28.7</v>
      </c>
      <c r="X197" s="64" cm="1">
        <f t="array" ref="X197">IFERROR(INDEX(ต้นทุนและราคา!$C$26:$E$101,MATCH($B197,ต้นทุนและราคา!$A$26:$A$101,0),IF($C197="16 oz",1,IF($C197="20 oz",2,3))),"")</f>
        <v>85</v>
      </c>
      <c r="Y197" s="66">
        <f t="shared" si="14"/>
        <v>0.66235294117647059</v>
      </c>
      <c r="Z197" s="48" t="s">
        <v>1236</v>
      </c>
    </row>
    <row r="198" spans="1:26" x14ac:dyDescent="0.25">
      <c r="A198" s="4" t="str">
        <f t="shared" si="13"/>
        <v>Green Cream Cheese|22 oz|25%</v>
      </c>
      <c r="B198" s="4" t="s">
        <v>309</v>
      </c>
      <c r="C198" s="4" t="s">
        <v>67</v>
      </c>
      <c r="D198" s="19" t="s">
        <v>64</v>
      </c>
      <c r="E198" s="63">
        <v>0</v>
      </c>
      <c r="F198" s="63">
        <v>165</v>
      </c>
      <c r="G198" s="63">
        <v>0</v>
      </c>
      <c r="H198" s="63">
        <v>41</v>
      </c>
      <c r="I198" s="63">
        <v>9.5</v>
      </c>
      <c r="J198" s="63">
        <f>ROUND(0+$AD$2*F198,1)</f>
        <v>21.1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82.5</v>
      </c>
      <c r="S198" s="63">
        <v>270</v>
      </c>
      <c r="T198" s="63">
        <v>0</v>
      </c>
      <c r="U198" s="63">
        <v>0</v>
      </c>
      <c r="V198" s="65">
        <f t="shared" si="15"/>
        <v>236.6</v>
      </c>
      <c r="W198" s="8">
        <f>ROUND(E198*ต้นทุนและราคา!$C$4+F198*ต้นทุนและราคา!$C$5+G198*ต้นทุนและราคา!$C$6+H198*ต้นทุนและราคา!$C$7+I198*ต้นทุนและราคา!$C$8+J198*ต้นทุนและราคา!$C$9+K198*ต้นทุนและราคา!$C$10+L198*ต้นทุนและราคา!$C$11+M198*ต้นทุนและราคา!$C$12+N198*ต้นทุนและราคา!$C$13+O198*ต้นทุนและราคา!$C$14+P198*ต้นทุนและราคา!$C$15+Q198*ต้นทุนและราคา!$C$16+R198*ต้นทุนและราคา!$C$17+S198*ต้นทุนและราคา!$C$18+T198*ต้นทุนและราคา!$C$19+U198*ต้นทุนและราคา!$C$20+IF($C198="16 oz",ต้นทุนและราคา!$C$21,IF($C198="20 oz",ต้นทุนและราคา!$C$22,ต้นทุนและราคา!$C$23)),2)</f>
        <v>29.71</v>
      </c>
      <c r="X198" s="64" cm="1">
        <f t="array" ref="X198">IFERROR(INDEX(ต้นทุนและราคา!$C$26:$E$101,MATCH($B198,ต้นทุนและราคา!$A$26:$A$101,0),IF($C198="16 oz",1,IF($C198="20 oz",2,3))),"")</f>
        <v>85</v>
      </c>
      <c r="Y198" s="66">
        <f t="shared" si="14"/>
        <v>0.65047058823529413</v>
      </c>
      <c r="Z198" s="48" t="s">
        <v>1235</v>
      </c>
    </row>
    <row r="199" spans="1:26" x14ac:dyDescent="0.25">
      <c r="A199" s="4" t="str">
        <f t="shared" si="13"/>
        <v>Green Cream Cheese|22 oz|50%</v>
      </c>
      <c r="B199" s="4" t="s">
        <v>309</v>
      </c>
      <c r="C199" s="4" t="s">
        <v>67</v>
      </c>
      <c r="D199" s="19" t="s">
        <v>7</v>
      </c>
      <c r="E199" s="63">
        <v>0</v>
      </c>
      <c r="F199" s="63">
        <v>165</v>
      </c>
      <c r="G199" s="63">
        <v>0</v>
      </c>
      <c r="H199" s="63">
        <v>41</v>
      </c>
      <c r="I199" s="63">
        <v>19</v>
      </c>
      <c r="J199" s="63">
        <f>ROUND(0+$AD$2*F199,1)</f>
        <v>21.1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82.5</v>
      </c>
      <c r="S199" s="63">
        <v>270</v>
      </c>
      <c r="T199" s="63">
        <v>0</v>
      </c>
      <c r="U199" s="63">
        <v>0</v>
      </c>
      <c r="V199" s="65">
        <f t="shared" si="15"/>
        <v>246.1</v>
      </c>
      <c r="W199" s="8">
        <f>ROUND(E199*ต้นทุนและราคา!$C$4+F199*ต้นทุนและราคา!$C$5+G199*ต้นทุนและราคา!$C$6+H199*ต้นทุนและราคา!$C$7+I199*ต้นทุนและราคา!$C$8+J199*ต้นทุนและราคา!$C$9+K199*ต้นทุนและราคา!$C$10+L199*ต้นทุนและราคา!$C$11+M199*ต้นทุนและราคา!$C$12+N199*ต้นทุนและราคา!$C$13+O199*ต้นทุนและราคา!$C$14+P199*ต้นทุนและราคา!$C$15+Q199*ต้นทุนและราคา!$C$16+R199*ต้นทุนและราคา!$C$17+S199*ต้นทุนและราคา!$C$18+T199*ต้นทุนและราคา!$C$19+U199*ต้นทุนและราคา!$C$20+IF($C199="16 oz",ต้นทุนและราคา!$C$21,IF($C199="20 oz",ต้นทุนและราคา!$C$22,ต้นทุนและราคา!$C$23)),2)</f>
        <v>30.37</v>
      </c>
      <c r="X199" s="64" cm="1">
        <f t="array" ref="X199">IFERROR(INDEX(ต้นทุนและราคา!$C$26:$E$101,MATCH($B199,ต้นทุนและราคา!$A$26:$A$101,0),IF($C199="16 oz",1,IF($C199="20 oz",2,3))),"")</f>
        <v>85</v>
      </c>
      <c r="Y199" s="66">
        <f t="shared" si="14"/>
        <v>0.64270588235294113</v>
      </c>
      <c r="Z199" s="48" t="s">
        <v>1235</v>
      </c>
    </row>
    <row r="200" spans="1:26" x14ac:dyDescent="0.25">
      <c r="A200" s="4" t="str">
        <f t="shared" si="13"/>
        <v>Green Cream Cheese|22 oz|75%</v>
      </c>
      <c r="B200" s="4" t="s">
        <v>309</v>
      </c>
      <c r="C200" s="4" t="s">
        <v>67</v>
      </c>
      <c r="D200" s="19" t="s">
        <v>65</v>
      </c>
      <c r="E200" s="63">
        <v>0</v>
      </c>
      <c r="F200" s="63">
        <v>165</v>
      </c>
      <c r="G200" s="63">
        <v>0</v>
      </c>
      <c r="H200" s="63">
        <v>41</v>
      </c>
      <c r="I200" s="63">
        <v>29</v>
      </c>
      <c r="J200" s="63">
        <f>ROUND(0+$AD$2*F200,1)</f>
        <v>21.1</v>
      </c>
      <c r="K200" s="63">
        <v>0</v>
      </c>
      <c r="L200" s="63">
        <v>0</v>
      </c>
      <c r="M200" s="63">
        <v>0</v>
      </c>
      <c r="N200" s="63">
        <v>0</v>
      </c>
      <c r="O200" s="63">
        <v>0</v>
      </c>
      <c r="P200" s="63">
        <v>0</v>
      </c>
      <c r="Q200" s="63">
        <v>0</v>
      </c>
      <c r="R200" s="63">
        <v>82.5</v>
      </c>
      <c r="S200" s="63">
        <v>270</v>
      </c>
      <c r="T200" s="63">
        <v>0</v>
      </c>
      <c r="U200" s="63">
        <v>0</v>
      </c>
      <c r="V200" s="65">
        <f t="shared" si="15"/>
        <v>256.10000000000002</v>
      </c>
      <c r="W200" s="8">
        <f>ROUND(E200*ต้นทุนและราคา!$C$4+F200*ต้นทุนและราคา!$C$5+G200*ต้นทุนและราคา!$C$6+H200*ต้นทุนและราคา!$C$7+I200*ต้นทุนและราคา!$C$8+J200*ต้นทุนและราคา!$C$9+K200*ต้นทุนและราคา!$C$10+L200*ต้นทุนและราคา!$C$11+M200*ต้นทุนและราคา!$C$12+N200*ต้นทุนและราคา!$C$13+O200*ต้นทุนและราคา!$C$14+P200*ต้นทุนและราคา!$C$15+Q200*ต้นทุนและราคา!$C$16+R200*ต้นทุนและราคา!$C$17+S200*ต้นทุนและราคา!$C$18+T200*ต้นทุนและราคา!$C$19+U200*ต้นทุนและราคา!$C$20+IF($C200="16 oz",ต้นทุนและราคา!$C$21,IF($C200="20 oz",ต้นทุนและราคา!$C$22,ต้นทุนและราคา!$C$23)),2)</f>
        <v>31.06</v>
      </c>
      <c r="X200" s="64" cm="1">
        <f t="array" ref="X200">IFERROR(INDEX(ต้นทุนและราคา!$C$26:$E$101,MATCH($B200,ต้นทุนและราคา!$A$26:$A$101,0),IF($C200="16 oz",1,IF($C200="20 oz",2,3))),"")</f>
        <v>85</v>
      </c>
      <c r="Y200" s="66">
        <f t="shared" si="14"/>
        <v>0.63458823529411768</v>
      </c>
      <c r="Z200" s="48" t="s">
        <v>1235</v>
      </c>
    </row>
    <row r="201" spans="1:26" x14ac:dyDescent="0.25">
      <c r="A201" s="4" t="str">
        <f t="shared" si="13"/>
        <v>Green Cream Cheese|22 oz|100%</v>
      </c>
      <c r="B201" s="4" t="s">
        <v>309</v>
      </c>
      <c r="C201" s="4" t="s">
        <v>67</v>
      </c>
      <c r="D201" s="19" t="s">
        <v>66</v>
      </c>
      <c r="E201" s="63">
        <v>0</v>
      </c>
      <c r="F201" s="63">
        <v>165</v>
      </c>
      <c r="G201" s="63">
        <v>0</v>
      </c>
      <c r="H201" s="63">
        <v>41</v>
      </c>
      <c r="I201" s="63">
        <v>38.5</v>
      </c>
      <c r="J201" s="63">
        <f>ROUND(0+$AD$2*F201,1)</f>
        <v>21.1</v>
      </c>
      <c r="K201" s="63">
        <v>0</v>
      </c>
      <c r="L201" s="63">
        <v>0</v>
      </c>
      <c r="M201" s="63">
        <v>0</v>
      </c>
      <c r="N201" s="63">
        <v>0</v>
      </c>
      <c r="O201" s="63">
        <v>0</v>
      </c>
      <c r="P201" s="63">
        <v>0</v>
      </c>
      <c r="Q201" s="63">
        <v>0</v>
      </c>
      <c r="R201" s="63">
        <v>82.5</v>
      </c>
      <c r="S201" s="63">
        <v>270</v>
      </c>
      <c r="T201" s="63">
        <v>0</v>
      </c>
      <c r="U201" s="63">
        <v>0</v>
      </c>
      <c r="V201" s="65">
        <f t="shared" si="15"/>
        <v>265.60000000000002</v>
      </c>
      <c r="W201" s="8">
        <f>ROUND(E201*ต้นทุนและราคา!$C$4+F201*ต้นทุนและราคา!$C$5+G201*ต้นทุนและราคา!$C$6+H201*ต้นทุนและราคา!$C$7+I201*ต้นทุนและราคา!$C$8+J201*ต้นทุนและราคา!$C$9+K201*ต้นทุนและราคา!$C$10+L201*ต้นทุนและราคา!$C$11+M201*ต้นทุนและราคา!$C$12+N201*ต้นทุนและราคา!$C$13+O201*ต้นทุนและราคา!$C$14+P201*ต้นทุนและราคา!$C$15+Q201*ต้นทุนและราคา!$C$16+R201*ต้นทุนและราคา!$C$17+S201*ต้นทุนและราคา!$C$18+T201*ต้นทุนและราคา!$C$19+U201*ต้นทุนและราคา!$C$20+IF($C201="16 oz",ต้นทุนและราคา!$C$21,IF($C201="20 oz",ต้นทุนและราคา!$C$22,ต้นทุนและราคา!$C$23)),2)</f>
        <v>31.72</v>
      </c>
      <c r="X201" s="64" cm="1">
        <f t="array" ref="X201">IFERROR(INDEX(ต้นทุนและราคา!$C$26:$E$101,MATCH($B201,ต้นทุนและราคา!$A$26:$A$101,0),IF($C201="16 oz",1,IF($C201="20 oz",2,3))),"")</f>
        <v>85</v>
      </c>
      <c r="Y201" s="66">
        <f t="shared" si="14"/>
        <v>0.62682352941176467</v>
      </c>
      <c r="Z201" s="48" t="s">
        <v>1235</v>
      </c>
    </row>
    <row r="202" spans="1:26" x14ac:dyDescent="0.25">
      <c r="A202" s="4" t="str">
        <f t="shared" si="13"/>
        <v>Pure Matcha Premium|16 oz|0%</v>
      </c>
      <c r="B202" s="4" t="s">
        <v>830</v>
      </c>
      <c r="C202" s="4" t="s">
        <v>5</v>
      </c>
      <c r="D202" s="19" t="s">
        <v>63</v>
      </c>
      <c r="E202" s="63">
        <v>0</v>
      </c>
      <c r="F202" s="63">
        <v>0</v>
      </c>
      <c r="G202" s="63">
        <v>0</v>
      </c>
      <c r="H202" s="63">
        <v>0</v>
      </c>
      <c r="I202" s="63">
        <v>0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3">
        <v>240</v>
      </c>
      <c r="T202" s="63">
        <v>40</v>
      </c>
      <c r="U202" s="63">
        <v>150</v>
      </c>
      <c r="V202" s="65">
        <f t="shared" si="15"/>
        <v>190</v>
      </c>
      <c r="W202" s="8">
        <f>ROUND(E202*ต้นทุนและราคา!$C$4+F202*ต้นทุนและราคา!$C$5+G202*ต้นทุนและราคา!$C$6+H202*ต้นทุนและราคา!$C$7+I202*ต้นทุนและราคา!$C$8+J202*ต้นทุนและราคา!$C$9+K202*ต้นทุนและราคา!$C$10+L202*ต้นทุนและราคา!$C$11+M202*ต้นทุนและราคา!$C$12+N202*ต้นทุนและราคา!$C$13+O202*ต้นทุนและราคา!$C$14+P202*ต้นทุนและราคา!$C$15+Q202*ต้นทุนและราคา!$C$16+R202*ต้นทุนและราคา!$C$17+S202*ต้นทุนและราคา!$C$18+T202*ต้นทุนและราคา!$C$19+U202*ต้นทุนและราคา!$C$20+IF($C202="16 oz",ต้นทุนและราคา!$C$21,IF($C202="20 oz",ต้นทุนและราคา!$C$22,ต้นทุนและราคา!$C$23)),2)</f>
        <v>45.93</v>
      </c>
      <c r="X202" s="64" cm="1">
        <f t="array" ref="X202">IFERROR(INDEX(ต้นทุนและราคา!$C$26:$E$101,MATCH($B202,ต้นทุนและราคา!$A$26:$A$101,0),IF($C202="16 oz",1,IF($C202="20 oz",2,3))),"")</f>
        <v>75</v>
      </c>
      <c r="Y202" s="66">
        <f t="shared" si="14"/>
        <v>0.3876</v>
      </c>
      <c r="Z202" s="48" t="s">
        <v>832</v>
      </c>
    </row>
    <row r="203" spans="1:26" x14ac:dyDescent="0.25">
      <c r="A203" s="4" t="str">
        <f t="shared" si="13"/>
        <v>Pure Matcha Premium|16 oz|25%</v>
      </c>
      <c r="B203" s="4" t="s">
        <v>830</v>
      </c>
      <c r="C203" s="4" t="s">
        <v>5</v>
      </c>
      <c r="D203" s="19" t="s">
        <v>64</v>
      </c>
      <c r="E203" s="63">
        <v>0</v>
      </c>
      <c r="F203" s="63">
        <v>0</v>
      </c>
      <c r="G203" s="63">
        <v>0</v>
      </c>
      <c r="H203" s="63">
        <v>0</v>
      </c>
      <c r="I203" s="63">
        <v>0</v>
      </c>
      <c r="J203" s="63">
        <v>6</v>
      </c>
      <c r="K203" s="63">
        <v>0</v>
      </c>
      <c r="L203" s="63">
        <v>0</v>
      </c>
      <c r="M203" s="63">
        <v>0</v>
      </c>
      <c r="N203" s="63">
        <v>0</v>
      </c>
      <c r="O203" s="63">
        <v>0</v>
      </c>
      <c r="P203" s="63">
        <v>0</v>
      </c>
      <c r="Q203" s="63">
        <v>0</v>
      </c>
      <c r="R203" s="63">
        <v>0</v>
      </c>
      <c r="S203" s="63">
        <v>240</v>
      </c>
      <c r="T203" s="63">
        <v>40</v>
      </c>
      <c r="U203" s="63">
        <v>150</v>
      </c>
      <c r="V203" s="65">
        <f t="shared" si="15"/>
        <v>196</v>
      </c>
      <c r="W203" s="8">
        <f>ROUND(E203*ต้นทุนและราคา!$C$4+F203*ต้นทุนและราคา!$C$5+G203*ต้นทุนและราคา!$C$6+H203*ต้นทุนและราคา!$C$7+I203*ต้นทุนและราคา!$C$8+J203*ต้นทุนและราคา!$C$9+K203*ต้นทุนและราคา!$C$10+L203*ต้นทุนและราคา!$C$11+M203*ต้นทุนและราคา!$C$12+N203*ต้นทุนและราคา!$C$13+O203*ต้นทุนและราคา!$C$14+P203*ต้นทุนและราคา!$C$15+Q203*ต้นทุนและราคา!$C$16+R203*ต้นทุนและราคา!$C$17+S203*ต้นทุนและราคา!$C$18+T203*ต้นทุนและราคา!$C$19+U203*ต้นทุนและราคา!$C$20+IF($C203="16 oz",ต้นทุนและราคา!$C$21,IF($C203="20 oz",ต้นทุนและราคา!$C$22,ต้นทุนและราคา!$C$23)),2)</f>
        <v>46.03</v>
      </c>
      <c r="X203" s="64" cm="1">
        <f t="array" ref="X203">IFERROR(INDEX(ต้นทุนและราคา!$C$26:$E$101,MATCH($B203,ต้นทุนและราคา!$A$26:$A$101,0),IF($C203="16 oz",1,IF($C203="20 oz",2,3))),"")</f>
        <v>75</v>
      </c>
      <c r="Y203" s="66">
        <f t="shared" si="14"/>
        <v>0.38626666666666665</v>
      </c>
      <c r="Z203" s="48" t="s">
        <v>832</v>
      </c>
    </row>
    <row r="204" spans="1:26" x14ac:dyDescent="0.25">
      <c r="A204" s="4" t="str">
        <f t="shared" si="13"/>
        <v>Pure Matcha Premium|16 oz|50%</v>
      </c>
      <c r="B204" s="4" t="s">
        <v>830</v>
      </c>
      <c r="C204" s="4" t="s">
        <v>5</v>
      </c>
      <c r="D204" s="19" t="s">
        <v>7</v>
      </c>
      <c r="E204" s="63">
        <v>0</v>
      </c>
      <c r="F204" s="63">
        <v>0</v>
      </c>
      <c r="G204" s="63">
        <v>0</v>
      </c>
      <c r="H204" s="63">
        <v>0</v>
      </c>
      <c r="I204" s="63">
        <v>0</v>
      </c>
      <c r="J204" s="63">
        <v>12</v>
      </c>
      <c r="K204" s="63">
        <v>0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3">
        <v>240</v>
      </c>
      <c r="T204" s="63">
        <v>40</v>
      </c>
      <c r="U204" s="63">
        <v>150</v>
      </c>
      <c r="V204" s="65">
        <f t="shared" si="15"/>
        <v>202</v>
      </c>
      <c r="W204" s="8">
        <f>ROUND(E204*ต้นทุนและราคา!$C$4+F204*ต้นทุนและราคา!$C$5+G204*ต้นทุนและราคา!$C$6+H204*ต้นทุนและราคา!$C$7+I204*ต้นทุนและราคา!$C$8+J204*ต้นทุนและราคา!$C$9+K204*ต้นทุนและราคา!$C$10+L204*ต้นทุนและราคา!$C$11+M204*ต้นทุนและราคา!$C$12+N204*ต้นทุนและราคา!$C$13+O204*ต้นทุนและราคา!$C$14+P204*ต้นทุนและราคา!$C$15+Q204*ต้นทุนและราคา!$C$16+R204*ต้นทุนและราคา!$C$17+S204*ต้นทุนและราคา!$C$18+T204*ต้นทุนและราคา!$C$19+U204*ต้นทุนและราคา!$C$20+IF($C204="16 oz",ต้นทุนและราคา!$C$21,IF($C204="20 oz",ต้นทุนและราคา!$C$22,ต้นทุนและราคา!$C$23)),2)</f>
        <v>46.13</v>
      </c>
      <c r="X204" s="64" cm="1">
        <f t="array" ref="X204">IFERROR(INDEX(ต้นทุนและราคา!$C$26:$E$101,MATCH($B204,ต้นทุนและราคา!$A$26:$A$101,0),IF($C204="16 oz",1,IF($C204="20 oz",2,3))),"")</f>
        <v>75</v>
      </c>
      <c r="Y204" s="66">
        <f t="shared" si="14"/>
        <v>0.38493333333333329</v>
      </c>
      <c r="Z204" s="48" t="s">
        <v>832</v>
      </c>
    </row>
    <row r="205" spans="1:26" x14ac:dyDescent="0.25">
      <c r="A205" s="4" t="str">
        <f t="shared" si="13"/>
        <v>Pure Matcha Premium|16 oz|75%</v>
      </c>
      <c r="B205" s="4" t="s">
        <v>830</v>
      </c>
      <c r="C205" s="4" t="s">
        <v>5</v>
      </c>
      <c r="D205" s="19" t="s">
        <v>65</v>
      </c>
      <c r="E205" s="63">
        <v>0</v>
      </c>
      <c r="F205" s="63">
        <v>0</v>
      </c>
      <c r="G205" s="63">
        <v>0</v>
      </c>
      <c r="H205" s="63">
        <v>0</v>
      </c>
      <c r="I205" s="63">
        <v>0</v>
      </c>
      <c r="J205" s="63">
        <v>18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  <c r="Q205" s="63">
        <v>0</v>
      </c>
      <c r="R205" s="63">
        <v>0</v>
      </c>
      <c r="S205" s="63">
        <v>240</v>
      </c>
      <c r="T205" s="63">
        <v>40</v>
      </c>
      <c r="U205" s="63">
        <v>150</v>
      </c>
      <c r="V205" s="65">
        <f t="shared" si="15"/>
        <v>208</v>
      </c>
      <c r="W205" s="8">
        <f>ROUND(E205*ต้นทุนและราคา!$C$4+F205*ต้นทุนและราคา!$C$5+G205*ต้นทุนและราคา!$C$6+H205*ต้นทุนและราคา!$C$7+I205*ต้นทุนและราคา!$C$8+J205*ต้นทุนและราคา!$C$9+K205*ต้นทุนและราคา!$C$10+L205*ต้นทุนและราคา!$C$11+M205*ต้นทุนและราคา!$C$12+N205*ต้นทุนและราคา!$C$13+O205*ต้นทุนและราคา!$C$14+P205*ต้นทุนและราคา!$C$15+Q205*ต้นทุนและราคา!$C$16+R205*ต้นทุนและราคา!$C$17+S205*ต้นทุนและราคา!$C$18+T205*ต้นทุนและราคา!$C$19+U205*ต้นทุนและราคา!$C$20+IF($C205="16 oz",ต้นทุนและราคา!$C$21,IF($C205="20 oz",ต้นทุนและราคา!$C$22,ต้นทุนและราคา!$C$23)),2)</f>
        <v>46.23</v>
      </c>
      <c r="X205" s="64" cm="1">
        <f t="array" ref="X205">IFERROR(INDEX(ต้นทุนและราคา!$C$26:$E$101,MATCH($B205,ต้นทุนและราคา!$A$26:$A$101,0),IF($C205="16 oz",1,IF($C205="20 oz",2,3))),"")</f>
        <v>75</v>
      </c>
      <c r="Y205" s="66">
        <f t="shared" si="14"/>
        <v>0.38360000000000005</v>
      </c>
      <c r="Z205" s="48" t="s">
        <v>832</v>
      </c>
    </row>
    <row r="206" spans="1:26" x14ac:dyDescent="0.25">
      <c r="A206" s="4" t="str">
        <f t="shared" si="13"/>
        <v>Pure Matcha Premium|16 oz|100%</v>
      </c>
      <c r="B206" s="4" t="s">
        <v>830</v>
      </c>
      <c r="C206" s="4" t="s">
        <v>5</v>
      </c>
      <c r="D206" s="19" t="s">
        <v>66</v>
      </c>
      <c r="E206" s="63">
        <v>0</v>
      </c>
      <c r="F206" s="63">
        <v>0</v>
      </c>
      <c r="G206" s="63">
        <v>0</v>
      </c>
      <c r="H206" s="63">
        <v>0</v>
      </c>
      <c r="I206" s="63">
        <v>0</v>
      </c>
      <c r="J206" s="63">
        <v>24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240</v>
      </c>
      <c r="T206" s="63">
        <v>40</v>
      </c>
      <c r="U206" s="63">
        <v>150</v>
      </c>
      <c r="V206" s="65">
        <f t="shared" si="15"/>
        <v>214</v>
      </c>
      <c r="W206" s="8">
        <f>ROUND(E206*ต้นทุนและราคา!$C$4+F206*ต้นทุนและราคา!$C$5+G206*ต้นทุนและราคา!$C$6+H206*ต้นทุนและราคา!$C$7+I206*ต้นทุนและราคา!$C$8+J206*ต้นทุนและราคา!$C$9+K206*ต้นทุนและราคา!$C$10+L206*ต้นทุนและราคา!$C$11+M206*ต้นทุนและราคา!$C$12+N206*ต้นทุนและราคา!$C$13+O206*ต้นทุนและราคา!$C$14+P206*ต้นทุนและราคา!$C$15+Q206*ต้นทุนและราคา!$C$16+R206*ต้นทุนและราคา!$C$17+S206*ต้นทุนและราคา!$C$18+T206*ต้นทุนและราคา!$C$19+U206*ต้นทุนและราคา!$C$20+IF($C206="16 oz",ต้นทุนและราคา!$C$21,IF($C206="20 oz",ต้นทุนและราคา!$C$22,ต้นทุนและราคา!$C$23)),2)</f>
        <v>46.33</v>
      </c>
      <c r="X206" s="64" cm="1">
        <f t="array" ref="X206">IFERROR(INDEX(ต้นทุนและราคา!$C$26:$E$101,MATCH($B206,ต้นทุนและราคา!$A$26:$A$101,0),IF($C206="16 oz",1,IF($C206="20 oz",2,3))),"")</f>
        <v>75</v>
      </c>
      <c r="Y206" s="66">
        <f t="shared" si="14"/>
        <v>0.3822666666666667</v>
      </c>
      <c r="Z206" s="48" t="s">
        <v>832</v>
      </c>
    </row>
    <row r="207" spans="1:26" x14ac:dyDescent="0.25">
      <c r="A207" s="4" t="str">
        <f t="shared" si="13"/>
        <v>Pure Matcha Premium|22 oz|0%</v>
      </c>
      <c r="B207" s="4" t="s">
        <v>830</v>
      </c>
      <c r="C207" s="4" t="s">
        <v>67</v>
      </c>
      <c r="D207" s="19" t="s">
        <v>63</v>
      </c>
      <c r="E207" s="63">
        <v>0</v>
      </c>
      <c r="F207" s="63">
        <v>0</v>
      </c>
      <c r="G207" s="63">
        <v>0</v>
      </c>
      <c r="H207" s="63">
        <v>0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330</v>
      </c>
      <c r="T207" s="63">
        <v>50</v>
      </c>
      <c r="U207" s="63">
        <v>210</v>
      </c>
      <c r="V207" s="65">
        <f t="shared" si="15"/>
        <v>260</v>
      </c>
      <c r="W207" s="8">
        <f>ROUND(E207*ต้นทุนและราคา!$C$4+F207*ต้นทุนและราคา!$C$5+G207*ต้นทุนและราคา!$C$6+H207*ต้นทุนและราคา!$C$7+I207*ต้นทุนและราคา!$C$8+J207*ต้นทุนและราคา!$C$9+K207*ต้นทุนและราคา!$C$10+L207*ต้นทุนและราคา!$C$11+M207*ต้นทุนและราคา!$C$12+N207*ต้นทุนและราคา!$C$13+O207*ต้นทุนและราคา!$C$14+P207*ต้นทุนและราคา!$C$15+Q207*ต้นทุนและราคา!$C$16+R207*ต้นทุนและราคา!$C$17+S207*ต้นทุนและราคา!$C$18+T207*ต้นทุนและราคา!$C$19+U207*ต้นทุนและราคา!$C$20+IF($C207="16 oz",ต้นทุนและราคา!$C$21,IF($C207="20 oz",ต้นทุนและราคา!$C$22,ต้นทุนและราคา!$C$23)),2)</f>
        <v>57.67</v>
      </c>
      <c r="X207" s="64" cm="1">
        <f t="array" ref="X207">IFERROR(INDEX(ต้นทุนและราคา!$C$26:$E$101,MATCH($B207,ต้นทุนและราคา!$A$26:$A$101,0),IF($C207="16 oz",1,IF($C207="20 oz",2,3))),"")</f>
        <v>90</v>
      </c>
      <c r="Y207" s="66">
        <f t="shared" si="14"/>
        <v>0.35922222222222222</v>
      </c>
      <c r="Z207" s="48" t="s">
        <v>832</v>
      </c>
    </row>
    <row r="208" spans="1:26" x14ac:dyDescent="0.25">
      <c r="A208" s="4" t="str">
        <f t="shared" si="13"/>
        <v>Pure Matcha Premium|22 oz|25%</v>
      </c>
      <c r="B208" s="4" t="s">
        <v>830</v>
      </c>
      <c r="C208" s="4" t="s">
        <v>67</v>
      </c>
      <c r="D208" s="19" t="s">
        <v>64</v>
      </c>
      <c r="E208" s="63">
        <v>0</v>
      </c>
      <c r="F208" s="63">
        <v>0</v>
      </c>
      <c r="G208" s="63">
        <v>0</v>
      </c>
      <c r="H208" s="63">
        <v>0</v>
      </c>
      <c r="I208" s="63">
        <v>0</v>
      </c>
      <c r="J208" s="63">
        <v>8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3">
        <v>330</v>
      </c>
      <c r="T208" s="63">
        <v>50</v>
      </c>
      <c r="U208" s="63">
        <v>210</v>
      </c>
      <c r="V208" s="65">
        <f t="shared" si="15"/>
        <v>268</v>
      </c>
      <c r="W208" s="8">
        <f>ROUND(E208*ต้นทุนและราคา!$C$4+F208*ต้นทุนและราคา!$C$5+G208*ต้นทุนและราคา!$C$6+H208*ต้นทุนและราคา!$C$7+I208*ต้นทุนและราคา!$C$8+J208*ต้นทุนและราคา!$C$9+K208*ต้นทุนและราคา!$C$10+L208*ต้นทุนและราคา!$C$11+M208*ต้นทุนและราคา!$C$12+N208*ต้นทุนและราคา!$C$13+O208*ต้นทุนและราคา!$C$14+P208*ต้นทุนและราคา!$C$15+Q208*ต้นทุนและราคา!$C$16+R208*ต้นทุนและราคา!$C$17+S208*ต้นทุนและราคา!$C$18+T208*ต้นทุนและราคา!$C$19+U208*ต้นทุนและราคา!$C$20+IF($C208="16 oz",ต้นทุนและราคา!$C$21,IF($C208="20 oz",ต้นทุนและราคา!$C$22,ต้นทุนและราคา!$C$23)),2)</f>
        <v>57.81</v>
      </c>
      <c r="X208" s="64" cm="1">
        <f t="array" ref="X208">IFERROR(INDEX(ต้นทุนและราคา!$C$26:$E$101,MATCH($B208,ต้นทุนและราคา!$A$26:$A$101,0),IF($C208="16 oz",1,IF($C208="20 oz",2,3))),"")</f>
        <v>90</v>
      </c>
      <c r="Y208" s="66">
        <f t="shared" si="14"/>
        <v>0.35766666666666663</v>
      </c>
      <c r="Z208" s="48" t="s">
        <v>832</v>
      </c>
    </row>
    <row r="209" spans="1:26" x14ac:dyDescent="0.25">
      <c r="A209" s="4" t="str">
        <f t="shared" si="13"/>
        <v>Pure Matcha Premium|22 oz|50%</v>
      </c>
      <c r="B209" s="4" t="s">
        <v>830</v>
      </c>
      <c r="C209" s="4" t="s">
        <v>67</v>
      </c>
      <c r="D209" s="19" t="s">
        <v>7</v>
      </c>
      <c r="E209" s="63">
        <v>0</v>
      </c>
      <c r="F209" s="63">
        <v>0</v>
      </c>
      <c r="G209" s="63">
        <v>0</v>
      </c>
      <c r="H209" s="63">
        <v>0</v>
      </c>
      <c r="I209" s="63">
        <v>0</v>
      </c>
      <c r="J209" s="63">
        <v>16</v>
      </c>
      <c r="K209" s="63">
        <v>0</v>
      </c>
      <c r="L209" s="63">
        <v>0</v>
      </c>
      <c r="M209" s="63">
        <v>0</v>
      </c>
      <c r="N209" s="63">
        <v>0</v>
      </c>
      <c r="O209" s="63">
        <v>0</v>
      </c>
      <c r="P209" s="63">
        <v>0</v>
      </c>
      <c r="Q209" s="63">
        <v>0</v>
      </c>
      <c r="R209" s="63">
        <v>0</v>
      </c>
      <c r="S209" s="63">
        <v>330</v>
      </c>
      <c r="T209" s="63">
        <v>50</v>
      </c>
      <c r="U209" s="63">
        <v>210</v>
      </c>
      <c r="V209" s="65">
        <f t="shared" si="15"/>
        <v>276</v>
      </c>
      <c r="W209" s="8">
        <f>ROUND(E209*ต้นทุนและราคา!$C$4+F209*ต้นทุนและราคา!$C$5+G209*ต้นทุนและราคา!$C$6+H209*ต้นทุนและราคา!$C$7+I209*ต้นทุนและราคา!$C$8+J209*ต้นทุนและราคา!$C$9+K209*ต้นทุนและราคา!$C$10+L209*ต้นทุนและราคา!$C$11+M209*ต้นทุนและราคา!$C$12+N209*ต้นทุนและราคา!$C$13+O209*ต้นทุนและราคา!$C$14+P209*ต้นทุนและราคา!$C$15+Q209*ต้นทุนและราคา!$C$16+R209*ต้นทุนและราคา!$C$17+S209*ต้นทุนและราคา!$C$18+T209*ต้นทุนและราคา!$C$19+U209*ต้นทุนและราคา!$C$20+IF($C209="16 oz",ต้นทุนและราคา!$C$21,IF($C209="20 oz",ต้นทุนและราคา!$C$22,ต้นทุนและราคา!$C$23)),2)</f>
        <v>57.94</v>
      </c>
      <c r="X209" s="64" cm="1">
        <f t="array" ref="X209">IFERROR(INDEX(ต้นทุนและราคา!$C$26:$E$101,MATCH($B209,ต้นทุนและราคา!$A$26:$A$101,0),IF($C209="16 oz",1,IF($C209="20 oz",2,3))),"")</f>
        <v>90</v>
      </c>
      <c r="Y209" s="66">
        <f t="shared" si="14"/>
        <v>0.35622222222222227</v>
      </c>
      <c r="Z209" s="48" t="s">
        <v>832</v>
      </c>
    </row>
    <row r="210" spans="1:26" x14ac:dyDescent="0.25">
      <c r="A210" s="4" t="str">
        <f t="shared" si="13"/>
        <v>Pure Matcha Premium|22 oz|75%</v>
      </c>
      <c r="B210" s="4" t="s">
        <v>830</v>
      </c>
      <c r="C210" s="4" t="s">
        <v>67</v>
      </c>
      <c r="D210" s="19" t="s">
        <v>65</v>
      </c>
      <c r="E210" s="63">
        <v>0</v>
      </c>
      <c r="F210" s="63">
        <v>0</v>
      </c>
      <c r="G210" s="63">
        <v>0</v>
      </c>
      <c r="H210" s="63">
        <v>0</v>
      </c>
      <c r="I210" s="63">
        <v>0</v>
      </c>
      <c r="J210" s="63">
        <v>25</v>
      </c>
      <c r="K210" s="63">
        <v>0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330</v>
      </c>
      <c r="T210" s="63">
        <v>50</v>
      </c>
      <c r="U210" s="63">
        <v>210</v>
      </c>
      <c r="V210" s="65">
        <f t="shared" si="15"/>
        <v>285</v>
      </c>
      <c r="W210" s="8">
        <f>ROUND(E210*ต้นทุนและราคา!$C$4+F210*ต้นทุนและราคา!$C$5+G210*ต้นทุนและราคา!$C$6+H210*ต้นทุนและราคา!$C$7+I210*ต้นทุนและราคา!$C$8+J210*ต้นทุนและราคา!$C$9+K210*ต้นทุนและราคา!$C$10+L210*ต้นทุนและราคา!$C$11+M210*ต้นทุนและราคา!$C$12+N210*ต้นทุนและราคา!$C$13+O210*ต้นทุนและราคา!$C$14+P210*ต้นทุนและราคา!$C$15+Q210*ต้นทุนและราคา!$C$16+R210*ต้นทุนและราคา!$C$17+S210*ต้นทุนและราคา!$C$18+T210*ต้นทุนและราคา!$C$19+U210*ต้นทุนและราคา!$C$20+IF($C210="16 oz",ต้นทุนและราคา!$C$21,IF($C210="20 oz",ต้นทุนและราคา!$C$22,ต้นทุนและราคา!$C$23)),2)</f>
        <v>58.09</v>
      </c>
      <c r="X210" s="64" cm="1">
        <f t="array" ref="X210">IFERROR(INDEX(ต้นทุนและราคา!$C$26:$E$101,MATCH($B210,ต้นทุนและราคา!$A$26:$A$101,0),IF($C210="16 oz",1,IF($C210="20 oz",2,3))),"")</f>
        <v>90</v>
      </c>
      <c r="Y210" s="66">
        <f t="shared" si="14"/>
        <v>0.35455555555555551</v>
      </c>
      <c r="Z210" s="48" t="s">
        <v>832</v>
      </c>
    </row>
    <row r="211" spans="1:26" x14ac:dyDescent="0.25">
      <c r="A211" s="4" t="str">
        <f t="shared" si="13"/>
        <v>Pure Matcha Premium|22 oz|100%</v>
      </c>
      <c r="B211" s="4" t="s">
        <v>830</v>
      </c>
      <c r="C211" s="4" t="s">
        <v>67</v>
      </c>
      <c r="D211" s="19" t="s">
        <v>66</v>
      </c>
      <c r="E211" s="63">
        <v>0</v>
      </c>
      <c r="F211" s="63">
        <v>0</v>
      </c>
      <c r="G211" s="63">
        <v>0</v>
      </c>
      <c r="H211" s="63">
        <v>0</v>
      </c>
      <c r="I211" s="63">
        <v>0</v>
      </c>
      <c r="J211" s="63">
        <v>33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3">
        <v>330</v>
      </c>
      <c r="T211" s="63">
        <v>50</v>
      </c>
      <c r="U211" s="63">
        <v>210</v>
      </c>
      <c r="V211" s="65">
        <f t="shared" si="15"/>
        <v>293</v>
      </c>
      <c r="W211" s="8">
        <f>ROUND(E211*ต้นทุนและราคา!$C$4+F211*ต้นทุนและราคา!$C$5+G211*ต้นทุนและราคา!$C$6+H211*ต้นทุนและราคา!$C$7+I211*ต้นทุนและราคา!$C$8+J211*ต้นทุนและราคา!$C$9+K211*ต้นทุนและราคา!$C$10+L211*ต้นทุนและราคา!$C$11+M211*ต้นทุนและราคา!$C$12+N211*ต้นทุนและราคา!$C$13+O211*ต้นทุนและราคา!$C$14+P211*ต้นทุนและราคา!$C$15+Q211*ต้นทุนและราคา!$C$16+R211*ต้นทุนและราคา!$C$17+S211*ต้นทุนและราคา!$C$18+T211*ต้นทุนและราคา!$C$19+U211*ต้นทุนและราคา!$C$20+IF($C211="16 oz",ต้นทุนและราคา!$C$21,IF($C211="20 oz",ต้นทุนและราคา!$C$22,ต้นทุนและราคา!$C$23)),2)</f>
        <v>58.23</v>
      </c>
      <c r="X211" s="64" cm="1">
        <f t="array" ref="X211">IFERROR(INDEX(ต้นทุนและราคา!$C$26:$E$101,MATCH($B211,ต้นทุนและราคา!$A$26:$A$101,0),IF($C211="16 oz",1,IF($C211="20 oz",2,3))),"")</f>
        <v>90</v>
      </c>
      <c r="Y211" s="66">
        <f t="shared" si="14"/>
        <v>0.35300000000000004</v>
      </c>
      <c r="Z211" s="48" t="s">
        <v>832</v>
      </c>
    </row>
    <row r="212" spans="1:26" x14ac:dyDescent="0.25">
      <c r="A212" s="4" t="str">
        <f t="shared" si="13"/>
        <v>Matcha Latte Premium|16 oz|0%</v>
      </c>
      <c r="B212" s="4" t="s">
        <v>608</v>
      </c>
      <c r="C212" s="4" t="s">
        <v>5</v>
      </c>
      <c r="D212" s="19" t="s">
        <v>63</v>
      </c>
      <c r="E212" s="63">
        <v>0</v>
      </c>
      <c r="F212" s="63">
        <v>0</v>
      </c>
      <c r="G212" s="63">
        <v>120</v>
      </c>
      <c r="H212" s="63">
        <v>20</v>
      </c>
      <c r="I212" s="63">
        <v>0</v>
      </c>
      <c r="J212" s="63">
        <v>0</v>
      </c>
      <c r="K212" s="63">
        <v>0</v>
      </c>
      <c r="L212" s="63">
        <v>0</v>
      </c>
      <c r="M212" s="63">
        <v>0</v>
      </c>
      <c r="N212" s="63">
        <v>0</v>
      </c>
      <c r="O212" s="63">
        <v>0</v>
      </c>
      <c r="P212" s="63">
        <v>0</v>
      </c>
      <c r="Q212" s="63">
        <v>0</v>
      </c>
      <c r="R212" s="63">
        <v>0</v>
      </c>
      <c r="S212" s="63">
        <v>240</v>
      </c>
      <c r="T212" s="63">
        <v>40</v>
      </c>
      <c r="U212" s="63">
        <v>0</v>
      </c>
      <c r="V212" s="65">
        <f t="shared" si="15"/>
        <v>180</v>
      </c>
      <c r="W212" s="8">
        <f>ROUND(E212*ต้นทุนและราคา!$C$4+F212*ต้นทุนและราคา!$C$5+G212*ต้นทุนและราคา!$C$6+H212*ต้นทุนและราคา!$C$7+I212*ต้นทุนและราคา!$C$8+J212*ต้นทุนและราคา!$C$9+K212*ต้นทุนและราคา!$C$10+L212*ต้นทุนและราคา!$C$11+M212*ต้นทุนและราคา!$C$12+N212*ต้นทุนและราคา!$C$13+O212*ต้นทุนและราคา!$C$14+P212*ต้นทุนและราคา!$C$15+Q212*ต้นทุนและราคา!$C$16+R212*ต้นทุนและราคา!$C$17+S212*ต้นทุนและราคา!$C$18+T212*ต้นทุนและราคา!$C$19+U212*ต้นทุนและราคา!$C$20+IF($C212="16 oz",ต้นทุนและราคา!$C$21,IF($C212="20 oz",ต้นทุนและราคา!$C$22,ต้นทุนและราคา!$C$23)),2)</f>
        <v>52.87</v>
      </c>
      <c r="X212" s="64" cm="1">
        <f t="array" ref="X212">IFERROR(INDEX(ต้นทุนและราคา!$C$26:$E$101,MATCH($B212,ต้นทุนและราคา!$A$26:$A$101,0),IF($C212="16 oz",1,IF($C212="20 oz",2,3))),"")</f>
        <v>85</v>
      </c>
      <c r="Y212" s="66">
        <f t="shared" si="14"/>
        <v>0.378</v>
      </c>
      <c r="Z212" s="48" t="s">
        <v>611</v>
      </c>
    </row>
    <row r="213" spans="1:26" x14ac:dyDescent="0.25">
      <c r="A213" s="4" t="str">
        <f t="shared" si="13"/>
        <v>Matcha Latte Premium|16 oz|25%</v>
      </c>
      <c r="B213" s="4" t="s">
        <v>608</v>
      </c>
      <c r="C213" s="4" t="s">
        <v>5</v>
      </c>
      <c r="D213" s="19" t="s">
        <v>64</v>
      </c>
      <c r="E213" s="63">
        <v>0</v>
      </c>
      <c r="F213" s="63">
        <v>0</v>
      </c>
      <c r="G213" s="63">
        <v>117</v>
      </c>
      <c r="H213" s="63">
        <v>20</v>
      </c>
      <c r="I213" s="63">
        <v>0</v>
      </c>
      <c r="J213" s="63">
        <v>7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240</v>
      </c>
      <c r="T213" s="63">
        <v>40</v>
      </c>
      <c r="U213" s="63">
        <v>0</v>
      </c>
      <c r="V213" s="65">
        <f t="shared" si="15"/>
        <v>184</v>
      </c>
      <c r="W213" s="8">
        <f>ROUND(E213*ต้นทุนและราคา!$C$4+F213*ต้นทุนและราคา!$C$5+G213*ต้นทุนและราคา!$C$6+H213*ต้นทุนและราคา!$C$7+I213*ต้นทุนและราคา!$C$8+J213*ต้นทุนและราคา!$C$9+K213*ต้นทุนและราคา!$C$10+L213*ต้นทุนและราคา!$C$11+M213*ต้นทุนและราคา!$C$12+N213*ต้นทุนและราคา!$C$13+O213*ต้นทุนและราคา!$C$14+P213*ต้นทุนและราคา!$C$15+Q213*ต้นทุนและราคา!$C$16+R213*ต้นทุนและราคา!$C$17+S213*ต้นทุนและราคา!$C$18+T213*ต้นทุนและราคา!$C$19+U213*ต้นทุนและราคา!$C$20+IF($C213="16 oz",ต้นทุนและราคา!$C$21,IF($C213="20 oz",ต้นทุนและราคา!$C$22,ต้นทุนและราคา!$C$23)),2)</f>
        <v>52.84</v>
      </c>
      <c r="X213" s="64" cm="1">
        <f t="array" ref="X213">IFERROR(INDEX(ต้นทุนและราคา!$C$26:$E$101,MATCH($B213,ต้นทุนและราคา!$A$26:$A$101,0),IF($C213="16 oz",1,IF($C213="20 oz",2,3))),"")</f>
        <v>85</v>
      </c>
      <c r="Y213" s="66">
        <f t="shared" si="14"/>
        <v>0.37835294117647056</v>
      </c>
      <c r="Z213" s="48" t="s">
        <v>611</v>
      </c>
    </row>
    <row r="214" spans="1:26" x14ac:dyDescent="0.25">
      <c r="A214" s="4" t="str">
        <f t="shared" si="13"/>
        <v>Matcha Latte Premium|16 oz|50%</v>
      </c>
      <c r="B214" s="4" t="s">
        <v>608</v>
      </c>
      <c r="C214" s="4" t="s">
        <v>5</v>
      </c>
      <c r="D214" s="19" t="s">
        <v>7</v>
      </c>
      <c r="E214" s="63">
        <v>0</v>
      </c>
      <c r="F214" s="63">
        <v>0</v>
      </c>
      <c r="G214" s="63">
        <v>114</v>
      </c>
      <c r="H214" s="63">
        <v>20</v>
      </c>
      <c r="I214" s="63">
        <v>0</v>
      </c>
      <c r="J214" s="63">
        <v>14</v>
      </c>
      <c r="K214" s="63">
        <v>0</v>
      </c>
      <c r="L214" s="63">
        <v>0</v>
      </c>
      <c r="M214" s="63">
        <v>0</v>
      </c>
      <c r="N214" s="63">
        <v>0</v>
      </c>
      <c r="O214" s="63">
        <v>0</v>
      </c>
      <c r="P214" s="63">
        <v>0</v>
      </c>
      <c r="Q214" s="63">
        <v>0</v>
      </c>
      <c r="R214" s="63">
        <v>0</v>
      </c>
      <c r="S214" s="63">
        <v>240</v>
      </c>
      <c r="T214" s="63">
        <v>40</v>
      </c>
      <c r="U214" s="63">
        <v>0</v>
      </c>
      <c r="V214" s="65">
        <f t="shared" si="15"/>
        <v>188</v>
      </c>
      <c r="W214" s="8">
        <f>ROUND(E214*ต้นทุนและราคา!$C$4+F214*ต้นทุนและราคา!$C$5+G214*ต้นทุนและราคา!$C$6+H214*ต้นทุนและราคา!$C$7+I214*ต้นทุนและราคา!$C$8+J214*ต้นทุนและราคา!$C$9+K214*ต้นทุนและราคา!$C$10+L214*ต้นทุนและราคา!$C$11+M214*ต้นทุนและราคา!$C$12+N214*ต้นทุนและราคา!$C$13+O214*ต้นทุนและราคา!$C$14+P214*ต้นทุนและราคา!$C$15+Q214*ต้นทุนและราคา!$C$16+R214*ต้นทุนและราคา!$C$17+S214*ต้นทุนและราคา!$C$18+T214*ต้นทุนและราคา!$C$19+U214*ต้นทุนและราคา!$C$20+IF($C214="16 oz",ต้นทุนและราคา!$C$21,IF($C214="20 oz",ต้นทุนและราคา!$C$22,ต้นทุนและราคา!$C$23)),2)</f>
        <v>52.81</v>
      </c>
      <c r="X214" s="64" cm="1">
        <f t="array" ref="X214">IFERROR(INDEX(ต้นทุนและราคา!$C$26:$E$101,MATCH($B214,ต้นทุนและราคา!$A$26:$A$101,0),IF($C214="16 oz",1,IF($C214="20 oz",2,3))),"")</f>
        <v>85</v>
      </c>
      <c r="Y214" s="66">
        <f t="shared" si="14"/>
        <v>0.37870588235294117</v>
      </c>
      <c r="Z214" s="48" t="s">
        <v>611</v>
      </c>
    </row>
    <row r="215" spans="1:26" x14ac:dyDescent="0.25">
      <c r="A215" s="4" t="str">
        <f t="shared" si="13"/>
        <v>Matcha Latte Premium|16 oz|75%</v>
      </c>
      <c r="B215" s="4" t="s">
        <v>608</v>
      </c>
      <c r="C215" s="4" t="s">
        <v>5</v>
      </c>
      <c r="D215" s="19" t="s">
        <v>65</v>
      </c>
      <c r="E215" s="63">
        <v>0</v>
      </c>
      <c r="F215" s="63">
        <v>0</v>
      </c>
      <c r="G215" s="63">
        <v>111</v>
      </c>
      <c r="H215" s="63">
        <v>20</v>
      </c>
      <c r="I215" s="63">
        <v>0</v>
      </c>
      <c r="J215" s="63">
        <v>21</v>
      </c>
      <c r="K215" s="63">
        <v>0</v>
      </c>
      <c r="L215" s="63">
        <v>0</v>
      </c>
      <c r="M215" s="63">
        <v>0</v>
      </c>
      <c r="N215" s="63">
        <v>0</v>
      </c>
      <c r="O215" s="63">
        <v>0</v>
      </c>
      <c r="P215" s="63">
        <v>0</v>
      </c>
      <c r="Q215" s="63">
        <v>0</v>
      </c>
      <c r="R215" s="63">
        <v>0</v>
      </c>
      <c r="S215" s="63">
        <v>240</v>
      </c>
      <c r="T215" s="63">
        <v>40</v>
      </c>
      <c r="U215" s="63">
        <v>0</v>
      </c>
      <c r="V215" s="65">
        <f t="shared" si="15"/>
        <v>192</v>
      </c>
      <c r="W215" s="8">
        <f>ROUND(E215*ต้นทุนและราคา!$C$4+F215*ต้นทุนและราคา!$C$5+G215*ต้นทุนและราคา!$C$6+H215*ต้นทุนและราคา!$C$7+I215*ต้นทุนและราคา!$C$8+J215*ต้นทุนและราคา!$C$9+K215*ต้นทุนและราคา!$C$10+L215*ต้นทุนและราคา!$C$11+M215*ต้นทุนและราคา!$C$12+N215*ต้นทุนและราคา!$C$13+O215*ต้นทุนและราคา!$C$14+P215*ต้นทุนและราคา!$C$15+Q215*ต้นทุนและราคา!$C$16+R215*ต้นทุนและราคา!$C$17+S215*ต้นทุนและราคา!$C$18+T215*ต้นทุนและราคา!$C$19+U215*ต้นทุนและราคา!$C$20+IF($C215="16 oz",ต้นทุนและราคา!$C$21,IF($C215="20 oz",ต้นทุนและราคา!$C$22,ต้นทุนและราคา!$C$23)),2)</f>
        <v>52.79</v>
      </c>
      <c r="X215" s="64" cm="1">
        <f t="array" ref="X215">IFERROR(INDEX(ต้นทุนและราคา!$C$26:$E$101,MATCH($B215,ต้นทุนและราคา!$A$26:$A$101,0),IF($C215="16 oz",1,IF($C215="20 oz",2,3))),"")</f>
        <v>85</v>
      </c>
      <c r="Y215" s="66">
        <f t="shared" si="14"/>
        <v>0.37894117647058823</v>
      </c>
      <c r="Z215" s="48" t="s">
        <v>611</v>
      </c>
    </row>
    <row r="216" spans="1:26" x14ac:dyDescent="0.25">
      <c r="A216" s="4" t="str">
        <f t="shared" si="13"/>
        <v>Matcha Latte Premium|16 oz|100%</v>
      </c>
      <c r="B216" s="4" t="s">
        <v>608</v>
      </c>
      <c r="C216" s="4" t="s">
        <v>5</v>
      </c>
      <c r="D216" s="19" t="s">
        <v>66</v>
      </c>
      <c r="E216" s="63">
        <v>0</v>
      </c>
      <c r="F216" s="63">
        <v>0</v>
      </c>
      <c r="G216" s="63">
        <v>108</v>
      </c>
      <c r="H216" s="63">
        <v>20</v>
      </c>
      <c r="I216" s="63">
        <v>0</v>
      </c>
      <c r="J216" s="63">
        <v>28</v>
      </c>
      <c r="K216" s="63">
        <v>0</v>
      </c>
      <c r="L216" s="63">
        <v>0</v>
      </c>
      <c r="M216" s="63">
        <v>0</v>
      </c>
      <c r="N216" s="63">
        <v>0</v>
      </c>
      <c r="O216" s="63">
        <v>0</v>
      </c>
      <c r="P216" s="63">
        <v>0</v>
      </c>
      <c r="Q216" s="63">
        <v>0</v>
      </c>
      <c r="R216" s="63">
        <v>0</v>
      </c>
      <c r="S216" s="63">
        <v>240</v>
      </c>
      <c r="T216" s="63">
        <v>40</v>
      </c>
      <c r="U216" s="63">
        <v>0</v>
      </c>
      <c r="V216" s="65">
        <f t="shared" si="15"/>
        <v>196</v>
      </c>
      <c r="W216" s="8">
        <f>ROUND(E216*ต้นทุนและราคา!$C$4+F216*ต้นทุนและราคา!$C$5+G216*ต้นทุนและราคา!$C$6+H216*ต้นทุนและราคา!$C$7+I216*ต้นทุนและราคา!$C$8+J216*ต้นทุนและราคา!$C$9+K216*ต้นทุนและราคา!$C$10+L216*ต้นทุนและราคา!$C$11+M216*ต้นทุนและราคา!$C$12+N216*ต้นทุนและราคา!$C$13+O216*ต้นทุนและราคา!$C$14+P216*ต้นทุนและราคา!$C$15+Q216*ต้นทุนและราคา!$C$16+R216*ต้นทุนและราคา!$C$17+S216*ต้นทุนและราคา!$C$18+T216*ต้นทุนและราคา!$C$19+U216*ต้นทุนและราคา!$C$20+IF($C216="16 oz",ต้นทุนและราคา!$C$21,IF($C216="20 oz",ต้นทุนและราคา!$C$22,ต้นทุนและราคา!$C$23)),2)</f>
        <v>52.76</v>
      </c>
      <c r="X216" s="64" cm="1">
        <f t="array" ref="X216">IFERROR(INDEX(ต้นทุนและราคา!$C$26:$E$101,MATCH($B216,ต้นทุนและราคา!$A$26:$A$101,0),IF($C216="16 oz",1,IF($C216="20 oz",2,3))),"")</f>
        <v>85</v>
      </c>
      <c r="Y216" s="66">
        <f t="shared" si="14"/>
        <v>0.37929411764705884</v>
      </c>
      <c r="Z216" s="48" t="s">
        <v>611</v>
      </c>
    </row>
    <row r="217" spans="1:26" x14ac:dyDescent="0.25">
      <c r="A217" s="4" t="str">
        <f t="shared" si="13"/>
        <v>Matcha Latte Premium|22 oz|0%</v>
      </c>
      <c r="B217" s="4" t="s">
        <v>608</v>
      </c>
      <c r="C217" s="4" t="s">
        <v>67</v>
      </c>
      <c r="D217" s="19" t="s">
        <v>63</v>
      </c>
      <c r="E217" s="63">
        <v>0</v>
      </c>
      <c r="F217" s="63">
        <v>0</v>
      </c>
      <c r="G217" s="63">
        <v>171</v>
      </c>
      <c r="H217" s="63">
        <v>27.5</v>
      </c>
      <c r="I217" s="63">
        <v>0</v>
      </c>
      <c r="J217" s="63">
        <v>0</v>
      </c>
      <c r="K217" s="63">
        <v>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  <c r="Q217" s="63">
        <v>0</v>
      </c>
      <c r="R217" s="63">
        <v>0</v>
      </c>
      <c r="S217" s="63">
        <v>330</v>
      </c>
      <c r="T217" s="63">
        <v>50</v>
      </c>
      <c r="U217" s="63">
        <v>0</v>
      </c>
      <c r="V217" s="65">
        <f t="shared" si="15"/>
        <v>248.5</v>
      </c>
      <c r="W217" s="8">
        <f>ROUND(E217*ต้นทุนและราคา!$C$4+F217*ต้นทุนและราคา!$C$5+G217*ต้นทุนและราคา!$C$6+H217*ต้นทุนและราคา!$C$7+I217*ต้นทุนและราคา!$C$8+J217*ต้นทุนและราคา!$C$9+K217*ต้นทุนและราคา!$C$10+L217*ต้นทุนและราคา!$C$11+M217*ต้นทุนและราคา!$C$12+N217*ต้นทุนและราคา!$C$13+O217*ต้นทุนและราคา!$C$14+P217*ต้นทุนและราคา!$C$15+Q217*ต้นทุนและราคา!$C$16+R217*ต้นทุนและราคา!$C$17+S217*ต้นทุนและราคา!$C$18+T217*ต้นทุนและราคา!$C$19+U217*ต้นทุนและราคา!$C$20+IF($C217="16 oz",ต้นทุนและราคา!$C$21,IF($C217="20 oz",ต้นทุนและราคา!$C$22,ต้นทุนและราคา!$C$23)),2)</f>
        <v>67.5</v>
      </c>
      <c r="X217" s="64" cm="1">
        <f t="array" ref="X217">IFERROR(INDEX(ต้นทุนและราคา!$C$26:$E$101,MATCH($B217,ต้นทุนและราคา!$A$26:$A$101,0),IF($C217="16 oz",1,IF($C217="20 oz",2,3))),"")</f>
        <v>100</v>
      </c>
      <c r="Y217" s="66">
        <f t="shared" si="14"/>
        <v>0.32500000000000001</v>
      </c>
      <c r="Z217" s="48" t="s">
        <v>611</v>
      </c>
    </row>
    <row r="218" spans="1:26" x14ac:dyDescent="0.25">
      <c r="A218" s="4" t="str">
        <f t="shared" si="13"/>
        <v>Matcha Latte Premium|22 oz|25%</v>
      </c>
      <c r="B218" s="4" t="s">
        <v>608</v>
      </c>
      <c r="C218" s="4" t="s">
        <v>67</v>
      </c>
      <c r="D218" s="19" t="s">
        <v>64</v>
      </c>
      <c r="E218" s="63">
        <v>0</v>
      </c>
      <c r="F218" s="63">
        <v>0</v>
      </c>
      <c r="G218" s="63">
        <v>167</v>
      </c>
      <c r="H218" s="63">
        <v>27.5</v>
      </c>
      <c r="I218" s="63">
        <v>0</v>
      </c>
      <c r="J218" s="63">
        <v>9.5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3">
        <v>330</v>
      </c>
      <c r="T218" s="63">
        <v>50</v>
      </c>
      <c r="U218" s="63">
        <v>0</v>
      </c>
      <c r="V218" s="65">
        <f t="shared" si="15"/>
        <v>254</v>
      </c>
      <c r="W218" s="8">
        <f>ROUND(E218*ต้นทุนและราคา!$C$4+F218*ต้นทุนและราคา!$C$5+G218*ต้นทุนและราคา!$C$6+H218*ต้นทุนและราคา!$C$7+I218*ต้นทุนและราคา!$C$8+J218*ต้นทุนและราคา!$C$9+K218*ต้นทุนและราคา!$C$10+L218*ต้นทุนและราคา!$C$11+M218*ต้นทุนและราคา!$C$12+N218*ต้นทุนและราคา!$C$13+O218*ต้นทุนและราคา!$C$14+P218*ต้นทุนและราคา!$C$15+Q218*ต้นทุนและราคา!$C$16+R218*ต้นทุนและราคา!$C$17+S218*ต้นทุนและราคา!$C$18+T218*ต้นทุนและราคา!$C$19+U218*ต้นทุนและราคา!$C$20+IF($C218="16 oz",ต้นทุนและราคา!$C$21,IF($C218="20 oz",ต้นทุนและราคา!$C$22,ต้นทุนและราคา!$C$23)),2)</f>
        <v>67.47</v>
      </c>
      <c r="X218" s="64" cm="1">
        <f t="array" ref="X218">IFERROR(INDEX(ต้นทุนและราคา!$C$26:$E$101,MATCH($B218,ต้นทุนและราคา!$A$26:$A$101,0),IF($C218="16 oz",1,IF($C218="20 oz",2,3))),"")</f>
        <v>100</v>
      </c>
      <c r="Y218" s="66">
        <f t="shared" si="14"/>
        <v>0.32530000000000003</v>
      </c>
      <c r="Z218" s="48" t="s">
        <v>611</v>
      </c>
    </row>
    <row r="219" spans="1:26" x14ac:dyDescent="0.25">
      <c r="A219" s="4" t="str">
        <f t="shared" si="13"/>
        <v>Matcha Latte Premium|22 oz|50%</v>
      </c>
      <c r="B219" s="4" t="s">
        <v>608</v>
      </c>
      <c r="C219" s="4" t="s">
        <v>67</v>
      </c>
      <c r="D219" s="19" t="s">
        <v>7</v>
      </c>
      <c r="E219" s="63">
        <v>0</v>
      </c>
      <c r="F219" s="63">
        <v>0</v>
      </c>
      <c r="G219" s="63">
        <v>163</v>
      </c>
      <c r="H219" s="63">
        <v>27.5</v>
      </c>
      <c r="I219" s="63">
        <v>0</v>
      </c>
      <c r="J219" s="63">
        <v>19</v>
      </c>
      <c r="K219" s="63">
        <v>0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v>0</v>
      </c>
      <c r="R219" s="63">
        <v>0</v>
      </c>
      <c r="S219" s="63">
        <v>330</v>
      </c>
      <c r="T219" s="63">
        <v>50</v>
      </c>
      <c r="U219" s="63">
        <v>0</v>
      </c>
      <c r="V219" s="65">
        <f t="shared" si="15"/>
        <v>259.5</v>
      </c>
      <c r="W219" s="8">
        <f>ROUND(E219*ต้นทุนและราคา!$C$4+F219*ต้นทุนและราคา!$C$5+G219*ต้นทุนและราคา!$C$6+H219*ต้นทุนและราคา!$C$7+I219*ต้นทุนและราคา!$C$8+J219*ต้นทุนและราคา!$C$9+K219*ต้นทุนและราคา!$C$10+L219*ต้นทุนและราคา!$C$11+M219*ต้นทุนและราคา!$C$12+N219*ต้นทุนและราคา!$C$13+O219*ต้นทุนและราคา!$C$14+P219*ต้นทุนและราคา!$C$15+Q219*ต้นทุนและราคา!$C$16+R219*ต้นทุนและราคา!$C$17+S219*ต้นทุนและราคา!$C$18+T219*ต้นทุนและราคา!$C$19+U219*ต้นทุนและราคา!$C$20+IF($C219="16 oz",ต้นทุนและราคา!$C$21,IF($C219="20 oz",ต้นทุนและราคา!$C$22,ต้นทุนและราคา!$C$23)),2)</f>
        <v>67.430000000000007</v>
      </c>
      <c r="X219" s="64" cm="1">
        <f t="array" ref="X219">IFERROR(INDEX(ต้นทุนและราคา!$C$26:$E$101,MATCH($B219,ต้นทุนและราคา!$A$26:$A$101,0),IF($C219="16 oz",1,IF($C219="20 oz",2,3))),"")</f>
        <v>100</v>
      </c>
      <c r="Y219" s="66">
        <f t="shared" si="14"/>
        <v>0.32569999999999993</v>
      </c>
      <c r="Z219" s="48" t="s">
        <v>611</v>
      </c>
    </row>
    <row r="220" spans="1:26" x14ac:dyDescent="0.25">
      <c r="A220" s="4" t="str">
        <f t="shared" si="13"/>
        <v>Matcha Latte Premium|22 oz|75%</v>
      </c>
      <c r="B220" s="4" t="s">
        <v>608</v>
      </c>
      <c r="C220" s="4" t="s">
        <v>67</v>
      </c>
      <c r="D220" s="19" t="s">
        <v>65</v>
      </c>
      <c r="E220" s="63">
        <v>0</v>
      </c>
      <c r="F220" s="63">
        <v>0</v>
      </c>
      <c r="G220" s="63">
        <v>159</v>
      </c>
      <c r="H220" s="63">
        <v>27.5</v>
      </c>
      <c r="I220" s="63">
        <v>0</v>
      </c>
      <c r="J220" s="63">
        <v>29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3">
        <v>330</v>
      </c>
      <c r="T220" s="63">
        <v>50</v>
      </c>
      <c r="U220" s="63">
        <v>0</v>
      </c>
      <c r="V220" s="65">
        <f t="shared" si="15"/>
        <v>265.5</v>
      </c>
      <c r="W220" s="8">
        <f>ROUND(E220*ต้นทุนและราคา!$C$4+F220*ต้นทุนและราคา!$C$5+G220*ต้นทุนและราคา!$C$6+H220*ต้นทุนและราคา!$C$7+I220*ต้นทุนและราคา!$C$8+J220*ต้นทุนและราคา!$C$9+K220*ต้นทุนและราคา!$C$10+L220*ต้นทุนและราคา!$C$11+M220*ต้นทุนและราคา!$C$12+N220*ต้นทุนและราคา!$C$13+O220*ต้นทุนและราคา!$C$14+P220*ต้นทุนและราคา!$C$15+Q220*ต้นทุนและราคา!$C$16+R220*ต้นทุนและราคา!$C$17+S220*ต้นทุนและราคา!$C$18+T220*ต้นทุนและราคา!$C$19+U220*ต้นทุนและราคา!$C$20+IF($C220="16 oz",ต้นทุนและราคา!$C$21,IF($C220="20 oz",ต้นทุนและราคา!$C$22,ต้นทุนและราคา!$C$23)),2)</f>
        <v>67.41</v>
      </c>
      <c r="X220" s="64" cm="1">
        <f t="array" ref="X220">IFERROR(INDEX(ต้นทุนและราคา!$C$26:$E$101,MATCH($B220,ต้นทุนและราคา!$A$26:$A$101,0),IF($C220="16 oz",1,IF($C220="20 oz",2,3))),"")</f>
        <v>100</v>
      </c>
      <c r="Y220" s="66">
        <f t="shared" si="14"/>
        <v>0.32590000000000002</v>
      </c>
      <c r="Z220" s="48" t="s">
        <v>611</v>
      </c>
    </row>
    <row r="221" spans="1:26" x14ac:dyDescent="0.25">
      <c r="A221" s="4" t="str">
        <f t="shared" si="13"/>
        <v>Matcha Latte Premium|22 oz|100%</v>
      </c>
      <c r="B221" s="4" t="s">
        <v>608</v>
      </c>
      <c r="C221" s="4" t="s">
        <v>67</v>
      </c>
      <c r="D221" s="19" t="s">
        <v>66</v>
      </c>
      <c r="E221" s="63">
        <v>0</v>
      </c>
      <c r="F221" s="63">
        <v>0</v>
      </c>
      <c r="G221" s="63">
        <v>155</v>
      </c>
      <c r="H221" s="63">
        <v>27.5</v>
      </c>
      <c r="I221" s="63">
        <v>0</v>
      </c>
      <c r="J221" s="63">
        <v>38.5</v>
      </c>
      <c r="K221" s="63">
        <v>0</v>
      </c>
      <c r="L221" s="63">
        <v>0</v>
      </c>
      <c r="M221" s="63">
        <v>0</v>
      </c>
      <c r="N221" s="63">
        <v>0</v>
      </c>
      <c r="O221" s="63">
        <v>0</v>
      </c>
      <c r="P221" s="63">
        <v>0</v>
      </c>
      <c r="Q221" s="63">
        <v>0</v>
      </c>
      <c r="R221" s="63">
        <v>0</v>
      </c>
      <c r="S221" s="63">
        <v>330</v>
      </c>
      <c r="T221" s="63">
        <v>50</v>
      </c>
      <c r="U221" s="63">
        <v>0</v>
      </c>
      <c r="V221" s="65">
        <f t="shared" si="15"/>
        <v>271</v>
      </c>
      <c r="W221" s="8">
        <f>ROUND(E221*ต้นทุนและราคา!$C$4+F221*ต้นทุนและราคา!$C$5+G221*ต้นทุนและราคา!$C$6+H221*ต้นทุนและราคา!$C$7+I221*ต้นทุนและราคา!$C$8+J221*ต้นทุนและราคา!$C$9+K221*ต้นทุนและราคา!$C$10+L221*ต้นทุนและราคา!$C$11+M221*ต้นทุนและราคา!$C$12+N221*ต้นทุนและราคา!$C$13+O221*ต้นทุนและราคา!$C$14+P221*ต้นทุนและราคา!$C$15+Q221*ต้นทุนและราคา!$C$16+R221*ต้นทุนและราคา!$C$17+S221*ต้นทุนและราคา!$C$18+T221*ต้นทุนและราคา!$C$19+U221*ต้นทุนและราคา!$C$20+IF($C221="16 oz",ต้นทุนและราคา!$C$21,IF($C221="20 oz",ต้นทุนและราคา!$C$22,ต้นทุนและราคา!$C$23)),2)</f>
        <v>67.38</v>
      </c>
      <c r="X221" s="64" cm="1">
        <f t="array" ref="X221">IFERROR(INDEX(ต้นทุนและราคา!$C$26:$E$101,MATCH($B221,ต้นทุนและราคา!$A$26:$A$101,0),IF($C221="16 oz",1,IF($C221="20 oz",2,3))),"")</f>
        <v>100</v>
      </c>
      <c r="Y221" s="66">
        <f t="shared" si="14"/>
        <v>0.32620000000000005</v>
      </c>
      <c r="Z221" s="48" t="s">
        <v>611</v>
      </c>
    </row>
    <row r="222" spans="1:26" x14ac:dyDescent="0.25">
      <c r="A222" s="4" t="str">
        <f t="shared" si="13"/>
        <v>Matcha Coconut Premium|16 oz|0%</v>
      </c>
      <c r="B222" s="4" t="s">
        <v>609</v>
      </c>
      <c r="C222" s="4" t="s">
        <v>5</v>
      </c>
      <c r="D222" s="19" t="s">
        <v>63</v>
      </c>
      <c r="E222" s="63">
        <v>0</v>
      </c>
      <c r="F222" s="63">
        <v>0</v>
      </c>
      <c r="G222" s="63">
        <v>0</v>
      </c>
      <c r="H222" s="63">
        <v>0</v>
      </c>
      <c r="I222" s="63">
        <v>0</v>
      </c>
      <c r="J222" s="63">
        <v>0</v>
      </c>
      <c r="K222" s="63">
        <v>0</v>
      </c>
      <c r="L222" s="63">
        <v>0</v>
      </c>
      <c r="M222" s="63">
        <v>0</v>
      </c>
      <c r="N222" s="63">
        <v>140</v>
      </c>
      <c r="O222" s="63">
        <v>0</v>
      </c>
      <c r="P222" s="63">
        <v>0</v>
      </c>
      <c r="Q222" s="63">
        <v>0</v>
      </c>
      <c r="R222" s="63">
        <v>0</v>
      </c>
      <c r="S222" s="63">
        <v>220</v>
      </c>
      <c r="T222" s="63">
        <v>40</v>
      </c>
      <c r="U222" s="63">
        <v>0</v>
      </c>
      <c r="V222" s="65">
        <f t="shared" si="15"/>
        <v>180</v>
      </c>
      <c r="W222" s="8">
        <f>ROUND(E222*ต้นทุนและราคา!$C$4+F222*ต้นทุนและราคา!$C$5+G222*ต้นทุนและราคา!$C$6+H222*ต้นทุนและราคา!$C$7+I222*ต้นทุนและราคา!$C$8+J222*ต้นทุนและราคา!$C$9+K222*ต้นทุนและราคา!$C$10+L222*ต้นทุนและราคา!$C$11+M222*ต้นทุนและราคา!$C$12+N222*ต้นทุนและราคา!$C$13+O222*ต้นทุนและราคา!$C$14+P222*ต้นทุนและราคา!$C$15+Q222*ต้นทุนและราคา!$C$16+R222*ต้นทุนและราคา!$C$17+S222*ต้นทุนและราคา!$C$18+T222*ต้นทุนและราคา!$C$19+U222*ต้นทุนและราคา!$C$20+IF($C222="16 oz",ต้นทุนและราคา!$C$21,IF($C222="20 oz",ต้นทุนและราคา!$C$22,ต้นทุนและราคา!$C$23)),2)</f>
        <v>55.64</v>
      </c>
      <c r="X222" s="64" cm="1">
        <f t="array" ref="X222">IFERROR(INDEX(ต้นทุนและราคา!$C$26:$E$101,MATCH($B222,ต้นทุนและราคา!$A$26:$A$101,0),IF($C222="16 oz",1,IF($C222="20 oz",2,3))),"")</f>
        <v>90</v>
      </c>
      <c r="Y222" s="66">
        <f t="shared" si="14"/>
        <v>0.38177777777777777</v>
      </c>
      <c r="Z222" s="48" t="s">
        <v>611</v>
      </c>
    </row>
    <row r="223" spans="1:26" x14ac:dyDescent="0.25">
      <c r="A223" s="4" t="str">
        <f t="shared" si="13"/>
        <v>Matcha Coconut Premium|16 oz|25%</v>
      </c>
      <c r="B223" s="4" t="s">
        <v>609</v>
      </c>
      <c r="C223" s="4" t="s">
        <v>5</v>
      </c>
      <c r="D223" s="19" t="s">
        <v>64</v>
      </c>
      <c r="E223" s="63">
        <v>0</v>
      </c>
      <c r="F223" s="63">
        <v>0</v>
      </c>
      <c r="G223" s="63">
        <v>0</v>
      </c>
      <c r="H223" s="63">
        <v>0</v>
      </c>
      <c r="I223" s="63">
        <v>0</v>
      </c>
      <c r="J223" s="63">
        <v>6</v>
      </c>
      <c r="K223" s="63">
        <v>0</v>
      </c>
      <c r="L223" s="63">
        <v>0</v>
      </c>
      <c r="M223" s="63">
        <v>0</v>
      </c>
      <c r="N223" s="63">
        <v>140</v>
      </c>
      <c r="O223" s="63">
        <v>0</v>
      </c>
      <c r="P223" s="63">
        <v>0</v>
      </c>
      <c r="Q223" s="63">
        <v>0</v>
      </c>
      <c r="R223" s="63">
        <v>0</v>
      </c>
      <c r="S223" s="63">
        <v>220</v>
      </c>
      <c r="T223" s="63">
        <v>40</v>
      </c>
      <c r="U223" s="63">
        <v>0</v>
      </c>
      <c r="V223" s="65">
        <f t="shared" si="15"/>
        <v>186</v>
      </c>
      <c r="W223" s="8">
        <f>ROUND(E223*ต้นทุนและราคา!$C$4+F223*ต้นทุนและราคา!$C$5+G223*ต้นทุนและราคา!$C$6+H223*ต้นทุนและราคา!$C$7+I223*ต้นทุนและราคา!$C$8+J223*ต้นทุนและราคา!$C$9+K223*ต้นทุนและราคา!$C$10+L223*ต้นทุนและราคา!$C$11+M223*ต้นทุนและราคา!$C$12+N223*ต้นทุนและราคา!$C$13+O223*ต้นทุนและราคา!$C$14+P223*ต้นทุนและราคา!$C$15+Q223*ต้นทุนและราคา!$C$16+R223*ต้นทุนและราคา!$C$17+S223*ต้นทุนและราคา!$C$18+T223*ต้นทุนและราคา!$C$19+U223*ต้นทุนและราคา!$C$20+IF($C223="16 oz",ต้นทุนและราคา!$C$21,IF($C223="20 oz",ต้นทุนและราคา!$C$22,ต้นทุนและราคา!$C$23)),2)</f>
        <v>55.74</v>
      </c>
      <c r="X223" s="64" cm="1">
        <f t="array" ref="X223">IFERROR(INDEX(ต้นทุนและราคา!$C$26:$E$101,MATCH($B223,ต้นทุนและราคา!$A$26:$A$101,0),IF($C223="16 oz",1,IF($C223="20 oz",2,3))),"")</f>
        <v>90</v>
      </c>
      <c r="Y223" s="66">
        <f t="shared" si="14"/>
        <v>0.38066666666666665</v>
      </c>
      <c r="Z223" s="48" t="s">
        <v>611</v>
      </c>
    </row>
    <row r="224" spans="1:26" x14ac:dyDescent="0.25">
      <c r="A224" s="4" t="str">
        <f t="shared" si="13"/>
        <v>Matcha Coconut Premium|16 oz|50%</v>
      </c>
      <c r="B224" s="4" t="s">
        <v>609</v>
      </c>
      <c r="C224" s="4" t="s">
        <v>5</v>
      </c>
      <c r="D224" s="19" t="s">
        <v>7</v>
      </c>
      <c r="E224" s="63">
        <v>0</v>
      </c>
      <c r="F224" s="63">
        <v>0</v>
      </c>
      <c r="G224" s="63">
        <v>0</v>
      </c>
      <c r="H224" s="63">
        <v>0</v>
      </c>
      <c r="I224" s="63">
        <v>0</v>
      </c>
      <c r="J224" s="63">
        <v>12</v>
      </c>
      <c r="K224" s="63">
        <v>0</v>
      </c>
      <c r="L224" s="63">
        <v>0</v>
      </c>
      <c r="M224" s="63">
        <v>0</v>
      </c>
      <c r="N224" s="63">
        <v>140</v>
      </c>
      <c r="O224" s="63">
        <v>0</v>
      </c>
      <c r="P224" s="63">
        <v>0</v>
      </c>
      <c r="Q224" s="63">
        <v>0</v>
      </c>
      <c r="R224" s="63">
        <v>0</v>
      </c>
      <c r="S224" s="63">
        <v>220</v>
      </c>
      <c r="T224" s="63">
        <v>40</v>
      </c>
      <c r="U224" s="63">
        <v>0</v>
      </c>
      <c r="V224" s="65">
        <f t="shared" si="15"/>
        <v>192</v>
      </c>
      <c r="W224" s="8">
        <f>ROUND(E224*ต้นทุนและราคา!$C$4+F224*ต้นทุนและราคา!$C$5+G224*ต้นทุนและราคา!$C$6+H224*ต้นทุนและราคา!$C$7+I224*ต้นทุนและราคา!$C$8+J224*ต้นทุนและราคา!$C$9+K224*ต้นทุนและราคา!$C$10+L224*ต้นทุนและราคา!$C$11+M224*ต้นทุนและราคา!$C$12+N224*ต้นทุนและราคา!$C$13+O224*ต้นทุนและราคา!$C$14+P224*ต้นทุนและราคา!$C$15+Q224*ต้นทุนและราคา!$C$16+R224*ต้นทุนและราคา!$C$17+S224*ต้นทุนและราคา!$C$18+T224*ต้นทุนและราคา!$C$19+U224*ต้นทุนและราคา!$C$20+IF($C224="16 oz",ต้นทุนและราคา!$C$21,IF($C224="20 oz",ต้นทุนและราคา!$C$22,ต้นทุนและราคา!$C$23)),2)</f>
        <v>55.84</v>
      </c>
      <c r="X224" s="64" cm="1">
        <f t="array" ref="X224">IFERROR(INDEX(ต้นทุนและราคา!$C$26:$E$101,MATCH($B224,ต้นทุนและราคา!$A$26:$A$101,0),IF($C224="16 oz",1,IF($C224="20 oz",2,3))),"")</f>
        <v>90</v>
      </c>
      <c r="Y224" s="66">
        <f t="shared" si="14"/>
        <v>0.37955555555555553</v>
      </c>
      <c r="Z224" s="48" t="s">
        <v>611</v>
      </c>
    </row>
    <row r="225" spans="1:26" x14ac:dyDescent="0.25">
      <c r="A225" s="4" t="str">
        <f t="shared" si="13"/>
        <v>Matcha Coconut Premium|16 oz|75%</v>
      </c>
      <c r="B225" s="4" t="s">
        <v>609</v>
      </c>
      <c r="C225" s="4" t="s">
        <v>5</v>
      </c>
      <c r="D225" s="19" t="s">
        <v>65</v>
      </c>
      <c r="E225" s="63">
        <v>0</v>
      </c>
      <c r="F225" s="63">
        <v>0</v>
      </c>
      <c r="G225" s="63">
        <v>0</v>
      </c>
      <c r="H225" s="63">
        <v>0</v>
      </c>
      <c r="I225" s="63">
        <v>0</v>
      </c>
      <c r="J225" s="63">
        <v>18</v>
      </c>
      <c r="K225" s="63">
        <v>0</v>
      </c>
      <c r="L225" s="63">
        <v>0</v>
      </c>
      <c r="M225" s="63">
        <v>0</v>
      </c>
      <c r="N225" s="63">
        <v>140</v>
      </c>
      <c r="O225" s="63">
        <v>0</v>
      </c>
      <c r="P225" s="63">
        <v>0</v>
      </c>
      <c r="Q225" s="63">
        <v>0</v>
      </c>
      <c r="R225" s="63">
        <v>0</v>
      </c>
      <c r="S225" s="63">
        <v>220</v>
      </c>
      <c r="T225" s="63">
        <v>40</v>
      </c>
      <c r="U225" s="63">
        <v>0</v>
      </c>
      <c r="V225" s="65">
        <f t="shared" si="15"/>
        <v>198</v>
      </c>
      <c r="W225" s="8">
        <f>ROUND(E225*ต้นทุนและราคา!$C$4+F225*ต้นทุนและราคา!$C$5+G225*ต้นทุนและราคา!$C$6+H225*ต้นทุนและราคา!$C$7+I225*ต้นทุนและราคา!$C$8+J225*ต้นทุนและราคา!$C$9+K225*ต้นทุนและราคา!$C$10+L225*ต้นทุนและราคา!$C$11+M225*ต้นทุนและราคา!$C$12+N225*ต้นทุนและราคา!$C$13+O225*ต้นทุนและราคา!$C$14+P225*ต้นทุนและราคา!$C$15+Q225*ต้นทุนและราคา!$C$16+R225*ต้นทุนและราคา!$C$17+S225*ต้นทุนและราคา!$C$18+T225*ต้นทุนและราคา!$C$19+U225*ต้นทุนและราคา!$C$20+IF($C225="16 oz",ต้นทุนและราคา!$C$21,IF($C225="20 oz",ต้นทุนและราคา!$C$22,ต้นทุนและราคา!$C$23)),2)</f>
        <v>55.94</v>
      </c>
      <c r="X225" s="64" cm="1">
        <f t="array" ref="X225">IFERROR(INDEX(ต้นทุนและราคา!$C$26:$E$101,MATCH($B225,ต้นทุนและราคา!$A$26:$A$101,0),IF($C225="16 oz",1,IF($C225="20 oz",2,3))),"")</f>
        <v>90</v>
      </c>
      <c r="Y225" s="66">
        <f t="shared" si="14"/>
        <v>0.37844444444444447</v>
      </c>
      <c r="Z225" s="48" t="s">
        <v>611</v>
      </c>
    </row>
    <row r="226" spans="1:26" x14ac:dyDescent="0.25">
      <c r="A226" s="4" t="str">
        <f t="shared" si="13"/>
        <v>Matcha Coconut Premium|16 oz|100%</v>
      </c>
      <c r="B226" s="4" t="s">
        <v>609</v>
      </c>
      <c r="C226" s="4" t="s">
        <v>5</v>
      </c>
      <c r="D226" s="19" t="s">
        <v>66</v>
      </c>
      <c r="E226" s="63">
        <v>0</v>
      </c>
      <c r="F226" s="63">
        <v>0</v>
      </c>
      <c r="G226" s="63">
        <v>0</v>
      </c>
      <c r="H226" s="63">
        <v>0</v>
      </c>
      <c r="I226" s="63">
        <v>0</v>
      </c>
      <c r="J226" s="63">
        <v>24</v>
      </c>
      <c r="K226" s="63">
        <v>0</v>
      </c>
      <c r="L226" s="63">
        <v>0</v>
      </c>
      <c r="M226" s="63">
        <v>0</v>
      </c>
      <c r="N226" s="63">
        <v>140</v>
      </c>
      <c r="O226" s="63">
        <v>0</v>
      </c>
      <c r="P226" s="63">
        <v>0</v>
      </c>
      <c r="Q226" s="63">
        <v>0</v>
      </c>
      <c r="R226" s="63">
        <v>0</v>
      </c>
      <c r="S226" s="63">
        <v>220</v>
      </c>
      <c r="T226" s="63">
        <v>40</v>
      </c>
      <c r="U226" s="63">
        <v>0</v>
      </c>
      <c r="V226" s="65">
        <f t="shared" si="15"/>
        <v>204</v>
      </c>
      <c r="W226" s="8">
        <f>ROUND(E226*ต้นทุนและราคา!$C$4+F226*ต้นทุนและราคา!$C$5+G226*ต้นทุนและราคา!$C$6+H226*ต้นทุนและราคา!$C$7+I226*ต้นทุนและราคา!$C$8+J226*ต้นทุนและราคา!$C$9+K226*ต้นทุนและราคา!$C$10+L226*ต้นทุนและราคา!$C$11+M226*ต้นทุนและราคา!$C$12+N226*ต้นทุนและราคา!$C$13+O226*ต้นทุนและราคา!$C$14+P226*ต้นทุนและราคา!$C$15+Q226*ต้นทุนและราคา!$C$16+R226*ต้นทุนและราคา!$C$17+S226*ต้นทุนและราคา!$C$18+T226*ต้นทุนและราคา!$C$19+U226*ต้นทุนและราคา!$C$20+IF($C226="16 oz",ต้นทุนและราคา!$C$21,IF($C226="20 oz",ต้นทุนและราคา!$C$22,ต้นทุนและราคา!$C$23)),2)</f>
        <v>56.04</v>
      </c>
      <c r="X226" s="64" cm="1">
        <f t="array" ref="X226">IFERROR(INDEX(ต้นทุนและราคา!$C$26:$E$101,MATCH($B226,ต้นทุนและราคา!$A$26:$A$101,0),IF($C226="16 oz",1,IF($C226="20 oz",2,3))),"")</f>
        <v>90</v>
      </c>
      <c r="Y226" s="66">
        <f t="shared" si="14"/>
        <v>0.37733333333333335</v>
      </c>
      <c r="Z226" s="48" t="s">
        <v>611</v>
      </c>
    </row>
    <row r="227" spans="1:26" x14ac:dyDescent="0.25">
      <c r="A227" s="4" t="str">
        <f t="shared" si="13"/>
        <v>Matcha Coconut Premium|22 oz|0%</v>
      </c>
      <c r="B227" s="4" t="s">
        <v>609</v>
      </c>
      <c r="C227" s="4" t="s">
        <v>67</v>
      </c>
      <c r="D227" s="19" t="s">
        <v>63</v>
      </c>
      <c r="E227" s="63">
        <v>0</v>
      </c>
      <c r="F227" s="63">
        <v>0</v>
      </c>
      <c r="G227" s="63">
        <v>0</v>
      </c>
      <c r="H227" s="63">
        <v>0</v>
      </c>
      <c r="I227" s="63">
        <v>0</v>
      </c>
      <c r="J227" s="63">
        <v>0</v>
      </c>
      <c r="K227" s="63">
        <v>0</v>
      </c>
      <c r="L227" s="63">
        <v>0</v>
      </c>
      <c r="M227" s="63">
        <v>0</v>
      </c>
      <c r="N227" s="63">
        <v>200</v>
      </c>
      <c r="O227" s="63">
        <v>0</v>
      </c>
      <c r="P227" s="63">
        <v>0</v>
      </c>
      <c r="Q227" s="63">
        <v>0</v>
      </c>
      <c r="R227" s="63">
        <v>0</v>
      </c>
      <c r="S227" s="63">
        <v>300</v>
      </c>
      <c r="T227" s="63">
        <v>50</v>
      </c>
      <c r="U227" s="63">
        <v>0</v>
      </c>
      <c r="V227" s="65">
        <f t="shared" si="15"/>
        <v>250</v>
      </c>
      <c r="W227" s="8">
        <f>ROUND(E227*ต้นทุนและราคา!$C$4+F227*ต้นทุนและราคา!$C$5+G227*ต้นทุนและราคา!$C$6+H227*ต้นทุนและราคา!$C$7+I227*ต้นทุนและราคา!$C$8+J227*ต้นทุนและราคา!$C$9+K227*ต้นทุนและราคา!$C$10+L227*ต้นทุนและราคา!$C$11+M227*ต้นทุนและราคา!$C$12+N227*ต้นทุนและราคา!$C$13+O227*ต้นทุนและราคา!$C$14+P227*ต้นทุนและราคา!$C$15+Q227*ต้นทุนและราคา!$C$16+R227*ต้นทุนและราคา!$C$17+S227*ต้นทุนและราคา!$C$18+T227*ต้นทุนและราคา!$C$19+U227*ต้นทุนและราคา!$C$20+IF($C227="16 oz",ต้นทุนและราคา!$C$21,IF($C227="20 oz",ต้นทุนและราคา!$C$22,ต้นทุนและราคา!$C$23)),2)</f>
        <v>71.540000000000006</v>
      </c>
      <c r="X227" s="64" cm="1">
        <f t="array" ref="X227">IFERROR(INDEX(ต้นทุนและราคา!$C$26:$E$101,MATCH($B227,ต้นทุนและราคา!$A$26:$A$101,0),IF($C227="16 oz",1,IF($C227="20 oz",2,3))),"")</f>
        <v>115</v>
      </c>
      <c r="Y227" s="66">
        <f t="shared" si="14"/>
        <v>0.37791304347826082</v>
      </c>
      <c r="Z227" s="48" t="s">
        <v>611</v>
      </c>
    </row>
    <row r="228" spans="1:26" x14ac:dyDescent="0.25">
      <c r="A228" s="4" t="str">
        <f t="shared" si="13"/>
        <v>Matcha Coconut Premium|22 oz|25%</v>
      </c>
      <c r="B228" s="4" t="s">
        <v>609</v>
      </c>
      <c r="C228" s="4" t="s">
        <v>67</v>
      </c>
      <c r="D228" s="19" t="s">
        <v>64</v>
      </c>
      <c r="E228" s="63">
        <v>0</v>
      </c>
      <c r="F228" s="63">
        <v>0</v>
      </c>
      <c r="G228" s="63">
        <v>0</v>
      </c>
      <c r="H228" s="63">
        <v>0</v>
      </c>
      <c r="I228" s="63">
        <v>0</v>
      </c>
      <c r="J228" s="63">
        <v>8</v>
      </c>
      <c r="K228" s="63">
        <v>0</v>
      </c>
      <c r="L228" s="63">
        <v>0</v>
      </c>
      <c r="M228" s="63">
        <v>0</v>
      </c>
      <c r="N228" s="63">
        <v>200</v>
      </c>
      <c r="O228" s="63">
        <v>0</v>
      </c>
      <c r="P228" s="63">
        <v>0</v>
      </c>
      <c r="Q228" s="63">
        <v>0</v>
      </c>
      <c r="R228" s="63">
        <v>0</v>
      </c>
      <c r="S228" s="63">
        <v>300</v>
      </c>
      <c r="T228" s="63">
        <v>50</v>
      </c>
      <c r="U228" s="63">
        <v>0</v>
      </c>
      <c r="V228" s="65">
        <f t="shared" si="15"/>
        <v>258</v>
      </c>
      <c r="W228" s="8">
        <f>ROUND(E228*ต้นทุนและราคา!$C$4+F228*ต้นทุนและราคา!$C$5+G228*ต้นทุนและราคา!$C$6+H228*ต้นทุนและราคา!$C$7+I228*ต้นทุนและราคา!$C$8+J228*ต้นทุนและราคา!$C$9+K228*ต้นทุนและราคา!$C$10+L228*ต้นทุนและราคา!$C$11+M228*ต้นทุนและราคา!$C$12+N228*ต้นทุนและราคา!$C$13+O228*ต้นทุนและราคา!$C$14+P228*ต้นทุนและราคา!$C$15+Q228*ต้นทุนและราคา!$C$16+R228*ต้นทุนและราคา!$C$17+S228*ต้นทุนและราคา!$C$18+T228*ต้นทุนและราคา!$C$19+U228*ต้นทุนและราคา!$C$20+IF($C228="16 oz",ต้นทุนและราคา!$C$21,IF($C228="20 oz",ต้นทุนและราคา!$C$22,ต้นทุนและราคา!$C$23)),2)</f>
        <v>71.67</v>
      </c>
      <c r="X228" s="64" cm="1">
        <f t="array" ref="X228">IFERROR(INDEX(ต้นทุนและราคา!$C$26:$E$101,MATCH($B228,ต้นทุนและราคา!$A$26:$A$101,0),IF($C228="16 oz",1,IF($C228="20 oz",2,3))),"")</f>
        <v>115</v>
      </c>
      <c r="Y228" s="66">
        <f t="shared" si="14"/>
        <v>0.37678260869565217</v>
      </c>
      <c r="Z228" s="48" t="s">
        <v>611</v>
      </c>
    </row>
    <row r="229" spans="1:26" x14ac:dyDescent="0.25">
      <c r="A229" s="4" t="str">
        <f t="shared" si="13"/>
        <v>Matcha Coconut Premium|22 oz|50%</v>
      </c>
      <c r="B229" s="4" t="s">
        <v>609</v>
      </c>
      <c r="C229" s="4" t="s">
        <v>67</v>
      </c>
      <c r="D229" s="19" t="s">
        <v>7</v>
      </c>
      <c r="E229" s="63">
        <v>0</v>
      </c>
      <c r="F229" s="63">
        <v>0</v>
      </c>
      <c r="G229" s="63">
        <v>0</v>
      </c>
      <c r="H229" s="63">
        <v>0</v>
      </c>
      <c r="I229" s="63">
        <v>0</v>
      </c>
      <c r="J229" s="63">
        <v>16</v>
      </c>
      <c r="K229" s="63">
        <v>0</v>
      </c>
      <c r="L229" s="63">
        <v>0</v>
      </c>
      <c r="M229" s="63">
        <v>0</v>
      </c>
      <c r="N229" s="63">
        <v>200</v>
      </c>
      <c r="O229" s="63">
        <v>0</v>
      </c>
      <c r="P229" s="63">
        <v>0</v>
      </c>
      <c r="Q229" s="63">
        <v>0</v>
      </c>
      <c r="R229" s="63">
        <v>0</v>
      </c>
      <c r="S229" s="63">
        <v>300</v>
      </c>
      <c r="T229" s="63">
        <v>50</v>
      </c>
      <c r="U229" s="63">
        <v>0</v>
      </c>
      <c r="V229" s="65">
        <f t="shared" si="15"/>
        <v>266</v>
      </c>
      <c r="W229" s="8">
        <f>ROUND(E229*ต้นทุนและราคา!$C$4+F229*ต้นทุนและราคา!$C$5+G229*ต้นทุนและราคา!$C$6+H229*ต้นทุนและราคา!$C$7+I229*ต้นทุนและราคา!$C$8+J229*ต้นทุนและราคา!$C$9+K229*ต้นทุนและราคา!$C$10+L229*ต้นทุนและราคา!$C$11+M229*ต้นทุนและราคา!$C$12+N229*ต้นทุนและราคา!$C$13+O229*ต้นทุนและราคา!$C$14+P229*ต้นทุนและราคา!$C$15+Q229*ต้นทุนและราคา!$C$16+R229*ต้นทุนและราคา!$C$17+S229*ต้นทุนและราคา!$C$18+T229*ต้นทุนและราคา!$C$19+U229*ต้นทุนและราคา!$C$20+IF($C229="16 oz",ต้นทุนและราคา!$C$21,IF($C229="20 oz",ต้นทุนและราคา!$C$22,ต้นทุนและราคา!$C$23)),2)</f>
        <v>71.81</v>
      </c>
      <c r="X229" s="64" cm="1">
        <f t="array" ref="X229">IFERROR(INDEX(ต้นทุนและราคา!$C$26:$E$101,MATCH($B229,ต้นทุนและราคา!$A$26:$A$101,0),IF($C229="16 oz",1,IF($C229="20 oz",2,3))),"")</f>
        <v>115</v>
      </c>
      <c r="Y229" s="66">
        <f t="shared" si="14"/>
        <v>0.37556521739130433</v>
      </c>
      <c r="Z229" s="48" t="s">
        <v>611</v>
      </c>
    </row>
    <row r="230" spans="1:26" x14ac:dyDescent="0.25">
      <c r="A230" s="4" t="str">
        <f t="shared" si="13"/>
        <v>Matcha Coconut Premium|22 oz|75%</v>
      </c>
      <c r="B230" s="4" t="s">
        <v>609</v>
      </c>
      <c r="C230" s="4" t="s">
        <v>67</v>
      </c>
      <c r="D230" s="19" t="s">
        <v>65</v>
      </c>
      <c r="E230" s="63">
        <v>0</v>
      </c>
      <c r="F230" s="63">
        <v>0</v>
      </c>
      <c r="G230" s="63">
        <v>0</v>
      </c>
      <c r="H230" s="63">
        <v>0</v>
      </c>
      <c r="I230" s="63">
        <v>0</v>
      </c>
      <c r="J230" s="63">
        <v>25</v>
      </c>
      <c r="K230" s="63">
        <v>0</v>
      </c>
      <c r="L230" s="63">
        <v>0</v>
      </c>
      <c r="M230" s="63">
        <v>0</v>
      </c>
      <c r="N230" s="63">
        <v>200</v>
      </c>
      <c r="O230" s="63">
        <v>0</v>
      </c>
      <c r="P230" s="63">
        <v>0</v>
      </c>
      <c r="Q230" s="63">
        <v>0</v>
      </c>
      <c r="R230" s="63">
        <v>0</v>
      </c>
      <c r="S230" s="63">
        <v>300</v>
      </c>
      <c r="T230" s="63">
        <v>50</v>
      </c>
      <c r="U230" s="63">
        <v>0</v>
      </c>
      <c r="V230" s="65">
        <f t="shared" si="15"/>
        <v>275</v>
      </c>
      <c r="W230" s="8">
        <f>ROUND(E230*ต้นทุนและราคา!$C$4+F230*ต้นทุนและราคา!$C$5+G230*ต้นทุนและราคา!$C$6+H230*ต้นทุนและราคา!$C$7+I230*ต้นทุนและราคา!$C$8+J230*ต้นทุนและราคา!$C$9+K230*ต้นทุนและราคา!$C$10+L230*ต้นทุนและราคา!$C$11+M230*ต้นทุนและราคา!$C$12+N230*ต้นทุนและราคา!$C$13+O230*ต้นทุนและราคา!$C$14+P230*ต้นทุนและราคา!$C$15+Q230*ต้นทุนและราคา!$C$16+R230*ต้นทุนและราคา!$C$17+S230*ต้นทุนและราคา!$C$18+T230*ต้นทุนและราคา!$C$19+U230*ต้นทุนและราคา!$C$20+IF($C230="16 oz",ต้นทุนและราคา!$C$21,IF($C230="20 oz",ต้นทุนและราคา!$C$22,ต้นทุนและราคา!$C$23)),2)</f>
        <v>71.959999999999994</v>
      </c>
      <c r="X230" s="64" cm="1">
        <f t="array" ref="X230">IFERROR(INDEX(ต้นทุนและราคา!$C$26:$E$101,MATCH($B230,ต้นทุนและราคา!$A$26:$A$101,0),IF($C230="16 oz",1,IF($C230="20 oz",2,3))),"")</f>
        <v>115</v>
      </c>
      <c r="Y230" s="66">
        <f t="shared" si="14"/>
        <v>0.37426086956521742</v>
      </c>
      <c r="Z230" s="48" t="s">
        <v>611</v>
      </c>
    </row>
    <row r="231" spans="1:26" x14ac:dyDescent="0.25">
      <c r="A231" s="4" t="str">
        <f t="shared" si="13"/>
        <v>Matcha Coconut Premium|22 oz|100%</v>
      </c>
      <c r="B231" s="4" t="s">
        <v>609</v>
      </c>
      <c r="C231" s="4" t="s">
        <v>67</v>
      </c>
      <c r="D231" s="19" t="s">
        <v>66</v>
      </c>
      <c r="E231" s="63">
        <v>0</v>
      </c>
      <c r="F231" s="63">
        <v>0</v>
      </c>
      <c r="G231" s="63">
        <v>0</v>
      </c>
      <c r="H231" s="63">
        <v>0</v>
      </c>
      <c r="I231" s="63">
        <v>0</v>
      </c>
      <c r="J231" s="63">
        <v>33</v>
      </c>
      <c r="K231" s="63">
        <v>0</v>
      </c>
      <c r="L231" s="63">
        <v>0</v>
      </c>
      <c r="M231" s="63">
        <v>0</v>
      </c>
      <c r="N231" s="63">
        <v>200</v>
      </c>
      <c r="O231" s="63">
        <v>0</v>
      </c>
      <c r="P231" s="63">
        <v>0</v>
      </c>
      <c r="Q231" s="63">
        <v>0</v>
      </c>
      <c r="R231" s="63">
        <v>0</v>
      </c>
      <c r="S231" s="63">
        <v>300</v>
      </c>
      <c r="T231" s="63">
        <v>50</v>
      </c>
      <c r="U231" s="63">
        <v>0</v>
      </c>
      <c r="V231" s="65">
        <f t="shared" si="15"/>
        <v>283</v>
      </c>
      <c r="W231" s="8">
        <f>ROUND(E231*ต้นทุนและราคา!$C$4+F231*ต้นทุนและราคา!$C$5+G231*ต้นทุนและราคา!$C$6+H231*ต้นทุนและราคา!$C$7+I231*ต้นทุนและราคา!$C$8+J231*ต้นทุนและราคา!$C$9+K231*ต้นทุนและราคา!$C$10+L231*ต้นทุนและราคา!$C$11+M231*ต้นทุนและราคา!$C$12+N231*ต้นทุนและราคา!$C$13+O231*ต้นทุนและราคา!$C$14+P231*ต้นทุนและราคา!$C$15+Q231*ต้นทุนและราคา!$C$16+R231*ต้นทุนและราคา!$C$17+S231*ต้นทุนและราคา!$C$18+T231*ต้นทุนและราคา!$C$19+U231*ต้นทุนและราคา!$C$20+IF($C231="16 oz",ต้นทุนและราคา!$C$21,IF($C231="20 oz",ต้นทุนและราคา!$C$22,ต้นทุนและราคา!$C$23)),2)</f>
        <v>72.09</v>
      </c>
      <c r="X231" s="64" cm="1">
        <f t="array" ref="X231">IFERROR(INDEX(ต้นทุนและราคา!$C$26:$E$101,MATCH($B231,ต้นทุนและราคา!$A$26:$A$101,0),IF($C231="16 oz",1,IF($C231="20 oz",2,3))),"")</f>
        <v>115</v>
      </c>
      <c r="Y231" s="66">
        <f t="shared" si="14"/>
        <v>0.37313043478260866</v>
      </c>
      <c r="Z231" s="48" t="s">
        <v>611</v>
      </c>
    </row>
    <row r="232" spans="1:26" x14ac:dyDescent="0.25">
      <c r="A232" s="4" t="str">
        <f t="shared" si="13"/>
        <v>Matcha Strawberry Premium|16 oz|0%</v>
      </c>
      <c r="B232" s="4" t="s">
        <v>610</v>
      </c>
      <c r="C232" s="4" t="s">
        <v>5</v>
      </c>
      <c r="D232" s="19" t="s">
        <v>63</v>
      </c>
      <c r="E232" s="63">
        <v>0</v>
      </c>
      <c r="F232" s="63">
        <v>0</v>
      </c>
      <c r="G232" s="63">
        <v>120</v>
      </c>
      <c r="H232" s="63">
        <v>20</v>
      </c>
      <c r="I232" s="63">
        <v>0</v>
      </c>
      <c r="J232" s="63">
        <v>0</v>
      </c>
      <c r="K232" s="63">
        <v>0</v>
      </c>
      <c r="L232" s="63">
        <v>0</v>
      </c>
      <c r="M232" s="63">
        <v>0</v>
      </c>
      <c r="N232" s="63">
        <v>0</v>
      </c>
      <c r="O232" s="63">
        <v>25</v>
      </c>
      <c r="P232" s="63">
        <v>0</v>
      </c>
      <c r="Q232" s="63">
        <v>0</v>
      </c>
      <c r="R232" s="63">
        <v>0</v>
      </c>
      <c r="S232" s="63">
        <v>240</v>
      </c>
      <c r="T232" s="63">
        <v>40</v>
      </c>
      <c r="U232" s="63">
        <v>0</v>
      </c>
      <c r="V232" s="65">
        <f t="shared" ref="V232:V295" si="16">E232+F232+G232+H232+I232+J232+K232+M232+N232+P232+Q232+T232+U232</f>
        <v>180</v>
      </c>
      <c r="W232" s="8">
        <f>ROUND(E232*ต้นทุนและราคา!$C$4+F232*ต้นทุนและราคา!$C$5+G232*ต้นทุนและราคา!$C$6+H232*ต้นทุนและราคา!$C$7+I232*ต้นทุนและราคา!$C$8+J232*ต้นทุนและราคา!$C$9+K232*ต้นทุนและราคา!$C$10+L232*ต้นทุนและราคา!$C$11+M232*ต้นทุนและราคา!$C$12+N232*ต้นทุนและราคา!$C$13+O232*ต้นทุนและราคา!$C$14+P232*ต้นทุนและราคา!$C$15+Q232*ต้นทุนและราคา!$C$16+R232*ต้นทุนและราคา!$C$17+S232*ต้นทุนและราคา!$C$18+T232*ต้นทุนและราคา!$C$19+U232*ต้นทุนและราคา!$C$20+IF($C232="16 oz",ต้นทุนและราคา!$C$21,IF($C232="20 oz",ต้นทุนและราคา!$C$22,ต้นทุนและราคา!$C$23)),2)</f>
        <v>57.37</v>
      </c>
      <c r="X232" s="64" cm="1">
        <f t="array" ref="X232">IFERROR(INDEX(ต้นทุนและราคา!$C$26:$E$101,MATCH($B232,ต้นทุนและราคา!$A$26:$A$101,0),IF($C232="16 oz",1,IF($C232="20 oz",2,3))),"")</f>
        <v>95</v>
      </c>
      <c r="Y232" s="66">
        <f t="shared" si="14"/>
        <v>0.39610526315789474</v>
      </c>
      <c r="Z232" s="48" t="s">
        <v>611</v>
      </c>
    </row>
    <row r="233" spans="1:26" x14ac:dyDescent="0.25">
      <c r="A233" s="4" t="str">
        <f t="shared" si="13"/>
        <v>Matcha Strawberry Premium|16 oz|25%</v>
      </c>
      <c r="B233" s="4" t="s">
        <v>610</v>
      </c>
      <c r="C233" s="4" t="s">
        <v>5</v>
      </c>
      <c r="D233" s="19" t="s">
        <v>64</v>
      </c>
      <c r="E233" s="63">
        <v>0</v>
      </c>
      <c r="F233" s="63">
        <v>0</v>
      </c>
      <c r="G233" s="63">
        <v>117</v>
      </c>
      <c r="H233" s="63">
        <v>20</v>
      </c>
      <c r="I233" s="63">
        <v>0</v>
      </c>
      <c r="J233" s="63">
        <v>5</v>
      </c>
      <c r="K233" s="63">
        <v>0</v>
      </c>
      <c r="L233" s="63">
        <v>0</v>
      </c>
      <c r="M233" s="63">
        <v>0</v>
      </c>
      <c r="N233" s="63">
        <v>0</v>
      </c>
      <c r="O233" s="63">
        <v>25</v>
      </c>
      <c r="P233" s="63">
        <v>0</v>
      </c>
      <c r="Q233" s="63">
        <v>0</v>
      </c>
      <c r="R233" s="63">
        <v>0</v>
      </c>
      <c r="S233" s="63">
        <v>240</v>
      </c>
      <c r="T233" s="63">
        <v>40</v>
      </c>
      <c r="U233" s="63">
        <v>0</v>
      </c>
      <c r="V233" s="65">
        <f t="shared" si="16"/>
        <v>182</v>
      </c>
      <c r="W233" s="8">
        <f>ROUND(E233*ต้นทุนและราคา!$C$4+F233*ต้นทุนและราคา!$C$5+G233*ต้นทุนและราคา!$C$6+H233*ต้นทุนและราคา!$C$7+I233*ต้นทุนและราคา!$C$8+J233*ต้นทุนและราคา!$C$9+K233*ต้นทุนและราคา!$C$10+L233*ต้นทุนและราคา!$C$11+M233*ต้นทุนและราคา!$C$12+N233*ต้นทุนและราคา!$C$13+O233*ต้นทุนและราคา!$C$14+P233*ต้นทุนและราคา!$C$15+Q233*ต้นทุนและราคา!$C$16+R233*ต้นทุนและราคา!$C$17+S233*ต้นทุนและราคา!$C$18+T233*ต้นทุนและราคา!$C$19+U233*ต้นทุนและราคา!$C$20+IF($C233="16 oz",ต้นทุนและราคา!$C$21,IF($C233="20 oz",ต้นทุนและราคา!$C$22,ต้นทุนและราคา!$C$23)),2)</f>
        <v>57.31</v>
      </c>
      <c r="X233" s="64" cm="1">
        <f t="array" ref="X233">IFERROR(INDEX(ต้นทุนและราคา!$C$26:$E$101,MATCH($B233,ต้นทุนและราคา!$A$26:$A$101,0),IF($C233="16 oz",1,IF($C233="20 oz",2,3))),"")</f>
        <v>95</v>
      </c>
      <c r="Y233" s="66">
        <f t="shared" si="14"/>
        <v>0.39673684210526311</v>
      </c>
      <c r="Z233" s="48" t="s">
        <v>611</v>
      </c>
    </row>
    <row r="234" spans="1:26" x14ac:dyDescent="0.25">
      <c r="A234" s="4" t="str">
        <f t="shared" si="13"/>
        <v>Matcha Strawberry Premium|16 oz|50%</v>
      </c>
      <c r="B234" s="4" t="s">
        <v>610</v>
      </c>
      <c r="C234" s="4" t="s">
        <v>5</v>
      </c>
      <c r="D234" s="19" t="s">
        <v>7</v>
      </c>
      <c r="E234" s="63">
        <v>0</v>
      </c>
      <c r="F234" s="63">
        <v>0</v>
      </c>
      <c r="G234" s="63">
        <v>114</v>
      </c>
      <c r="H234" s="63">
        <v>20</v>
      </c>
      <c r="I234" s="63">
        <v>0</v>
      </c>
      <c r="J234" s="63">
        <v>10</v>
      </c>
      <c r="K234" s="63">
        <v>0</v>
      </c>
      <c r="L234" s="63">
        <v>0</v>
      </c>
      <c r="M234" s="63">
        <v>0</v>
      </c>
      <c r="N234" s="63">
        <v>0</v>
      </c>
      <c r="O234" s="63">
        <v>25</v>
      </c>
      <c r="P234" s="63">
        <v>0</v>
      </c>
      <c r="Q234" s="63">
        <v>0</v>
      </c>
      <c r="R234" s="63">
        <v>0</v>
      </c>
      <c r="S234" s="63">
        <v>240</v>
      </c>
      <c r="T234" s="63">
        <v>40</v>
      </c>
      <c r="U234" s="63">
        <v>0</v>
      </c>
      <c r="V234" s="65">
        <f t="shared" si="16"/>
        <v>184</v>
      </c>
      <c r="W234" s="8">
        <f>ROUND(E234*ต้นทุนและราคา!$C$4+F234*ต้นทุนและราคา!$C$5+G234*ต้นทุนและราคา!$C$6+H234*ต้นทุนและราคา!$C$7+I234*ต้นทุนและราคา!$C$8+J234*ต้นทุนและราคา!$C$9+K234*ต้นทุนและราคา!$C$10+L234*ต้นทุนและราคา!$C$11+M234*ต้นทุนและราคา!$C$12+N234*ต้นทุนและราคา!$C$13+O234*ต้นทุนและราคา!$C$14+P234*ต้นทุนและราคา!$C$15+Q234*ต้นทุนและราคา!$C$16+R234*ต้นทุนและราคา!$C$17+S234*ต้นทุนและราคา!$C$18+T234*ต้นทุนและราคา!$C$19+U234*ต้นทุนและราคา!$C$20+IF($C234="16 oz",ต้นทุนและราคา!$C$21,IF($C234="20 oz",ต้นทุนและราคา!$C$22,ต้นทุนและราคา!$C$23)),2)</f>
        <v>57.25</v>
      </c>
      <c r="X234" s="64" cm="1">
        <f t="array" ref="X234">IFERROR(INDEX(ต้นทุนและราคา!$C$26:$E$101,MATCH($B234,ต้นทุนและราคา!$A$26:$A$101,0),IF($C234="16 oz",1,IF($C234="20 oz",2,3))),"")</f>
        <v>95</v>
      </c>
      <c r="Y234" s="66">
        <f t="shared" si="14"/>
        <v>0.39736842105263159</v>
      </c>
      <c r="Z234" s="48" t="s">
        <v>611</v>
      </c>
    </row>
    <row r="235" spans="1:26" x14ac:dyDescent="0.25">
      <c r="A235" s="4" t="str">
        <f t="shared" si="13"/>
        <v>Matcha Strawberry Premium|16 oz|75%</v>
      </c>
      <c r="B235" s="4" t="s">
        <v>610</v>
      </c>
      <c r="C235" s="4" t="s">
        <v>5</v>
      </c>
      <c r="D235" s="19" t="s">
        <v>65</v>
      </c>
      <c r="E235" s="63">
        <v>0</v>
      </c>
      <c r="F235" s="63">
        <v>0</v>
      </c>
      <c r="G235" s="63">
        <v>111</v>
      </c>
      <c r="H235" s="63">
        <v>20</v>
      </c>
      <c r="I235" s="63">
        <v>0</v>
      </c>
      <c r="J235" s="63">
        <v>15</v>
      </c>
      <c r="K235" s="63">
        <v>0</v>
      </c>
      <c r="L235" s="63">
        <v>0</v>
      </c>
      <c r="M235" s="63">
        <v>0</v>
      </c>
      <c r="N235" s="63">
        <v>0</v>
      </c>
      <c r="O235" s="63">
        <v>25</v>
      </c>
      <c r="P235" s="63">
        <v>0</v>
      </c>
      <c r="Q235" s="63">
        <v>0</v>
      </c>
      <c r="R235" s="63">
        <v>0</v>
      </c>
      <c r="S235" s="63">
        <v>240</v>
      </c>
      <c r="T235" s="63">
        <v>40</v>
      </c>
      <c r="U235" s="63">
        <v>0</v>
      </c>
      <c r="V235" s="65">
        <f t="shared" si="16"/>
        <v>186</v>
      </c>
      <c r="W235" s="8">
        <f>ROUND(E235*ต้นทุนและราคา!$C$4+F235*ต้นทุนและราคา!$C$5+G235*ต้นทุนและราคา!$C$6+H235*ต้นทุนและราคา!$C$7+I235*ต้นทุนและราคา!$C$8+J235*ต้นทุนและราคา!$C$9+K235*ต้นทุนและราคา!$C$10+L235*ต้นทุนและราคา!$C$11+M235*ต้นทุนและราคา!$C$12+N235*ต้นทุนและราคา!$C$13+O235*ต้นทุนและราคา!$C$14+P235*ต้นทุนและราคา!$C$15+Q235*ต้นทุนและราคา!$C$16+R235*ต้นทุนและราคา!$C$17+S235*ต้นทุนและราคา!$C$18+T235*ต้นทุนและราคา!$C$19+U235*ต้นทุนและราคา!$C$20+IF($C235="16 oz",ต้นทุนและราคา!$C$21,IF($C235="20 oz",ต้นทุนและราคา!$C$22,ต้นทุนและราคา!$C$23)),2)</f>
        <v>57.19</v>
      </c>
      <c r="X235" s="64" cm="1">
        <f t="array" ref="X235">IFERROR(INDEX(ต้นทุนและราคา!$C$26:$E$101,MATCH($B235,ต้นทุนและราคา!$A$26:$A$101,0),IF($C235="16 oz",1,IF($C235="20 oz",2,3))),"")</f>
        <v>95</v>
      </c>
      <c r="Y235" s="66">
        <f t="shared" si="14"/>
        <v>0.39800000000000002</v>
      </c>
      <c r="Z235" s="48" t="s">
        <v>611</v>
      </c>
    </row>
    <row r="236" spans="1:26" x14ac:dyDescent="0.25">
      <c r="A236" s="4" t="str">
        <f t="shared" si="13"/>
        <v>Matcha Strawberry Premium|16 oz|100%</v>
      </c>
      <c r="B236" s="4" t="s">
        <v>610</v>
      </c>
      <c r="C236" s="4" t="s">
        <v>5</v>
      </c>
      <c r="D236" s="19" t="s">
        <v>66</v>
      </c>
      <c r="E236" s="63">
        <v>0</v>
      </c>
      <c r="F236" s="63">
        <v>0</v>
      </c>
      <c r="G236" s="63">
        <v>108</v>
      </c>
      <c r="H236" s="63">
        <v>20</v>
      </c>
      <c r="I236" s="63">
        <v>0</v>
      </c>
      <c r="J236" s="63">
        <v>20</v>
      </c>
      <c r="K236" s="63">
        <v>0</v>
      </c>
      <c r="L236" s="63">
        <v>0</v>
      </c>
      <c r="M236" s="63">
        <v>0</v>
      </c>
      <c r="N236" s="63">
        <v>0</v>
      </c>
      <c r="O236" s="63">
        <v>25</v>
      </c>
      <c r="P236" s="63">
        <v>0</v>
      </c>
      <c r="Q236" s="63">
        <v>0</v>
      </c>
      <c r="R236" s="63">
        <v>0</v>
      </c>
      <c r="S236" s="63">
        <v>240</v>
      </c>
      <c r="T236" s="63">
        <v>40</v>
      </c>
      <c r="U236" s="63">
        <v>0</v>
      </c>
      <c r="V236" s="65">
        <f t="shared" si="16"/>
        <v>188</v>
      </c>
      <c r="W236" s="8">
        <f>ROUND(E236*ต้นทุนและราคา!$C$4+F236*ต้นทุนและราคา!$C$5+G236*ต้นทุนและราคา!$C$6+H236*ต้นทุนและราคา!$C$7+I236*ต้นทุนและราคา!$C$8+J236*ต้นทุนและราคา!$C$9+K236*ต้นทุนและราคา!$C$10+L236*ต้นทุนและราคา!$C$11+M236*ต้นทุนและราคา!$C$12+N236*ต้นทุนและราคา!$C$13+O236*ต้นทุนและราคา!$C$14+P236*ต้นทุนและราคา!$C$15+Q236*ต้นทุนและราคา!$C$16+R236*ต้นทุนและราคา!$C$17+S236*ต้นทุนและราคา!$C$18+T236*ต้นทุนและราคา!$C$19+U236*ต้นทุนและราคา!$C$20+IF($C236="16 oz",ต้นทุนและราคา!$C$21,IF($C236="20 oz",ต้นทุนและราคา!$C$22,ต้นทุนและราคา!$C$23)),2)</f>
        <v>57.13</v>
      </c>
      <c r="X236" s="64" cm="1">
        <f t="array" ref="X236">IFERROR(INDEX(ต้นทุนและราคา!$C$26:$E$101,MATCH($B236,ต้นทุนและราคา!$A$26:$A$101,0),IF($C236="16 oz",1,IF($C236="20 oz",2,3))),"")</f>
        <v>95</v>
      </c>
      <c r="Y236" s="66">
        <f t="shared" si="14"/>
        <v>0.39863157894736839</v>
      </c>
      <c r="Z236" s="48" t="s">
        <v>611</v>
      </c>
    </row>
    <row r="237" spans="1:26" x14ac:dyDescent="0.25">
      <c r="A237" s="4" t="str">
        <f t="shared" si="13"/>
        <v>Matcha Strawberry Premium|22 oz|0%</v>
      </c>
      <c r="B237" s="4" t="s">
        <v>610</v>
      </c>
      <c r="C237" s="4" t="s">
        <v>67</v>
      </c>
      <c r="D237" s="19" t="s">
        <v>63</v>
      </c>
      <c r="E237" s="63">
        <v>0</v>
      </c>
      <c r="F237" s="63">
        <v>0</v>
      </c>
      <c r="G237" s="63">
        <v>175</v>
      </c>
      <c r="H237" s="63">
        <v>27.5</v>
      </c>
      <c r="I237" s="63">
        <v>0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35</v>
      </c>
      <c r="P237" s="63">
        <v>0</v>
      </c>
      <c r="Q237" s="63">
        <v>0</v>
      </c>
      <c r="R237" s="63">
        <v>0</v>
      </c>
      <c r="S237" s="63">
        <v>330</v>
      </c>
      <c r="T237" s="63">
        <v>50</v>
      </c>
      <c r="U237" s="63">
        <v>0</v>
      </c>
      <c r="V237" s="65">
        <f t="shared" si="16"/>
        <v>252.5</v>
      </c>
      <c r="W237" s="8">
        <f>ROUND(E237*ต้นทุนและราคา!$C$4+F237*ต้นทุนและราคา!$C$5+G237*ต้นทุนและราคา!$C$6+H237*ต้นทุนและราคา!$C$7+I237*ต้นทุนและราคา!$C$8+J237*ต้นทุนและราคา!$C$9+K237*ต้นทุนและราคา!$C$10+L237*ต้นทุนและราคา!$C$11+M237*ต้นทุนและราคา!$C$12+N237*ต้นทุนและราคา!$C$13+O237*ต้นทุนและราคา!$C$14+P237*ต้นทุนและราคา!$C$15+Q237*ต้นทุนและราคา!$C$16+R237*ต้นทุนและราคา!$C$17+S237*ต้นทุนและราคา!$C$18+T237*ต้นทุนและราคา!$C$19+U237*ต้นทุนและราคา!$C$20+IF($C237="16 oz",ต้นทุนและราคา!$C$21,IF($C237="20 oz",ต้นทุนและราคา!$C$22,ต้นทุนและราคา!$C$23)),2)</f>
        <v>73.989999999999995</v>
      </c>
      <c r="X237" s="64" cm="1">
        <f t="array" ref="X237">IFERROR(INDEX(ต้นทุนและราคา!$C$26:$E$101,MATCH($B237,ต้นทุนและราคา!$A$26:$A$101,0),IF($C237="16 oz",1,IF($C237="20 oz",2,3))),"")</f>
        <v>120</v>
      </c>
      <c r="Y237" s="66">
        <f t="shared" si="14"/>
        <v>0.38341666666666668</v>
      </c>
      <c r="Z237" s="48" t="s">
        <v>611</v>
      </c>
    </row>
    <row r="238" spans="1:26" x14ac:dyDescent="0.25">
      <c r="A238" s="4" t="str">
        <f t="shared" si="13"/>
        <v>Matcha Strawberry Premium|22 oz|25%</v>
      </c>
      <c r="B238" s="4" t="s">
        <v>610</v>
      </c>
      <c r="C238" s="4" t="s">
        <v>67</v>
      </c>
      <c r="D238" s="19" t="s">
        <v>64</v>
      </c>
      <c r="E238" s="63">
        <v>0</v>
      </c>
      <c r="F238" s="63">
        <v>0</v>
      </c>
      <c r="G238" s="63">
        <v>171</v>
      </c>
      <c r="H238" s="63">
        <v>27.5</v>
      </c>
      <c r="I238" s="63">
        <v>0</v>
      </c>
      <c r="J238" s="63">
        <v>6</v>
      </c>
      <c r="K238" s="63">
        <v>0</v>
      </c>
      <c r="L238" s="63">
        <v>0</v>
      </c>
      <c r="M238" s="63">
        <v>0</v>
      </c>
      <c r="N238" s="63">
        <v>0</v>
      </c>
      <c r="O238" s="63">
        <v>35</v>
      </c>
      <c r="P238" s="63">
        <v>0</v>
      </c>
      <c r="Q238" s="63">
        <v>0</v>
      </c>
      <c r="R238" s="63">
        <v>0</v>
      </c>
      <c r="S238" s="63">
        <v>330</v>
      </c>
      <c r="T238" s="63">
        <v>50</v>
      </c>
      <c r="U238" s="63">
        <v>0</v>
      </c>
      <c r="V238" s="65">
        <f t="shared" si="16"/>
        <v>254.5</v>
      </c>
      <c r="W238" s="8">
        <f>ROUND(E238*ต้นทุนและราคา!$C$4+F238*ต้นทุนและราคา!$C$5+G238*ต้นทุนและราคา!$C$6+H238*ต้นทุนและราคา!$C$7+I238*ต้นทุนและราคา!$C$8+J238*ต้นทุนและราคา!$C$9+K238*ต้นทุนและราคา!$C$10+L238*ต้นทุนและราคา!$C$11+M238*ต้นทุนและราคา!$C$12+N238*ต้นทุนและราคา!$C$13+O238*ต้นทุนและราคา!$C$14+P238*ต้นทุนและราคา!$C$15+Q238*ต้นทุนและราคา!$C$16+R238*ต้นทุนและราคา!$C$17+S238*ต้นทุนและราคา!$C$18+T238*ต้นทุนและราคา!$C$19+U238*ต้นทุนและราคา!$C$20+IF($C238="16 oz",ต้นทุนและราคา!$C$21,IF($C238="20 oz",ต้นทุนและราคา!$C$22,ต้นทุนและราคา!$C$23)),2)</f>
        <v>73.900000000000006</v>
      </c>
      <c r="X238" s="64" cm="1">
        <f t="array" ref="X238">IFERROR(INDEX(ต้นทุนและราคา!$C$26:$E$101,MATCH($B238,ต้นทุนและราคา!$A$26:$A$101,0),IF($C238="16 oz",1,IF($C238="20 oz",2,3))),"")</f>
        <v>120</v>
      </c>
      <c r="Y238" s="66">
        <f t="shared" si="14"/>
        <v>0.3841666666666666</v>
      </c>
      <c r="Z238" s="48" t="s">
        <v>611</v>
      </c>
    </row>
    <row r="239" spans="1:26" x14ac:dyDescent="0.25">
      <c r="A239" s="4" t="str">
        <f t="shared" si="13"/>
        <v>Matcha Strawberry Premium|22 oz|50%</v>
      </c>
      <c r="B239" s="4" t="s">
        <v>610</v>
      </c>
      <c r="C239" s="4" t="s">
        <v>67</v>
      </c>
      <c r="D239" s="19" t="s">
        <v>7</v>
      </c>
      <c r="E239" s="63">
        <v>0</v>
      </c>
      <c r="F239" s="63">
        <v>0</v>
      </c>
      <c r="G239" s="63">
        <v>167</v>
      </c>
      <c r="H239" s="63">
        <v>27.5</v>
      </c>
      <c r="I239" s="63">
        <v>0</v>
      </c>
      <c r="J239" s="63">
        <v>12</v>
      </c>
      <c r="K239" s="63">
        <v>0</v>
      </c>
      <c r="L239" s="63">
        <v>0</v>
      </c>
      <c r="M239" s="63">
        <v>0</v>
      </c>
      <c r="N239" s="63">
        <v>0</v>
      </c>
      <c r="O239" s="63">
        <v>35</v>
      </c>
      <c r="P239" s="63">
        <v>0</v>
      </c>
      <c r="Q239" s="63">
        <v>0</v>
      </c>
      <c r="R239" s="63">
        <v>0</v>
      </c>
      <c r="S239" s="63">
        <v>330</v>
      </c>
      <c r="T239" s="63">
        <v>50</v>
      </c>
      <c r="U239" s="63">
        <v>0</v>
      </c>
      <c r="V239" s="65">
        <f t="shared" si="16"/>
        <v>256.5</v>
      </c>
      <c r="W239" s="8">
        <f>ROUND(E239*ต้นทุนและราคา!$C$4+F239*ต้นทุนและราคา!$C$5+G239*ต้นทุนและราคา!$C$6+H239*ต้นทุนและราคา!$C$7+I239*ต้นทุนและราคา!$C$8+J239*ต้นทุนและราคา!$C$9+K239*ต้นทุนและราคา!$C$10+L239*ต้นทุนและราคา!$C$11+M239*ต้นทุนและราคา!$C$12+N239*ต้นทุนและราคา!$C$13+O239*ต้นทุนและราคา!$C$14+P239*ต้นทุนและราคา!$C$15+Q239*ต้นทุนและราคา!$C$16+R239*ต้นทุนและราคา!$C$17+S239*ต้นทุนและราคา!$C$18+T239*ต้นทุนและราคา!$C$19+U239*ต้นทุนและราคา!$C$20+IF($C239="16 oz",ต้นทุนและราคา!$C$21,IF($C239="20 oz",ต้นทุนและราคา!$C$22,ต้นทุนและราคา!$C$23)),2)</f>
        <v>73.81</v>
      </c>
      <c r="X239" s="64" cm="1">
        <f t="array" ref="X239">IFERROR(INDEX(ต้นทุนและราคา!$C$26:$E$101,MATCH($B239,ต้นทุนและราคา!$A$26:$A$101,0),IF($C239="16 oz",1,IF($C239="20 oz",2,3))),"")</f>
        <v>120</v>
      </c>
      <c r="Y239" s="66">
        <f t="shared" si="14"/>
        <v>0.38491666666666663</v>
      </c>
      <c r="Z239" s="48" t="s">
        <v>611</v>
      </c>
    </row>
    <row r="240" spans="1:26" x14ac:dyDescent="0.25">
      <c r="A240" s="4" t="str">
        <f t="shared" si="13"/>
        <v>Matcha Strawberry Premium|22 oz|75%</v>
      </c>
      <c r="B240" s="4" t="s">
        <v>610</v>
      </c>
      <c r="C240" s="4" t="s">
        <v>67</v>
      </c>
      <c r="D240" s="19" t="s">
        <v>65</v>
      </c>
      <c r="E240" s="63">
        <v>0</v>
      </c>
      <c r="F240" s="63">
        <v>0</v>
      </c>
      <c r="G240" s="63">
        <v>163</v>
      </c>
      <c r="H240" s="63">
        <v>27.5</v>
      </c>
      <c r="I240" s="63">
        <v>0</v>
      </c>
      <c r="J240" s="63">
        <v>18</v>
      </c>
      <c r="K240" s="63">
        <v>0</v>
      </c>
      <c r="L240" s="63">
        <v>0</v>
      </c>
      <c r="M240" s="63">
        <v>0</v>
      </c>
      <c r="N240" s="63">
        <v>0</v>
      </c>
      <c r="O240" s="63">
        <v>35</v>
      </c>
      <c r="P240" s="63">
        <v>0</v>
      </c>
      <c r="Q240" s="63">
        <v>0</v>
      </c>
      <c r="R240" s="63">
        <v>0</v>
      </c>
      <c r="S240" s="63">
        <v>330</v>
      </c>
      <c r="T240" s="63">
        <v>50</v>
      </c>
      <c r="U240" s="63">
        <v>0</v>
      </c>
      <c r="V240" s="65">
        <f t="shared" si="16"/>
        <v>258.5</v>
      </c>
      <c r="W240" s="8">
        <f>ROUND(E240*ต้นทุนและราคา!$C$4+F240*ต้นทุนและราคา!$C$5+G240*ต้นทุนและราคา!$C$6+H240*ต้นทุนและราคา!$C$7+I240*ต้นทุนและราคา!$C$8+J240*ต้นทุนและราคา!$C$9+K240*ต้นทุนและราคา!$C$10+L240*ต้นทุนและราคา!$C$11+M240*ต้นทุนและราคา!$C$12+N240*ต้นทุนและราคา!$C$13+O240*ต้นทุนและราคา!$C$14+P240*ต้นทุนและราคา!$C$15+Q240*ต้นทุนและราคา!$C$16+R240*ต้นทุนและราคา!$C$17+S240*ต้นทุนและราคา!$C$18+T240*ต้นทุนและราคา!$C$19+U240*ต้นทุนและราคา!$C$20+IF($C240="16 oz",ต้นทุนและราคา!$C$21,IF($C240="20 oz",ต้นทุนและราคา!$C$22,ต้นทุนและราคา!$C$23)),2)</f>
        <v>73.72</v>
      </c>
      <c r="X240" s="64" cm="1">
        <f t="array" ref="X240">IFERROR(INDEX(ต้นทุนและราคา!$C$26:$E$101,MATCH($B240,ต้นทุนและราคา!$A$26:$A$101,0),IF($C240="16 oz",1,IF($C240="20 oz",2,3))),"")</f>
        <v>120</v>
      </c>
      <c r="Y240" s="66">
        <f t="shared" si="14"/>
        <v>0.38566666666666666</v>
      </c>
      <c r="Z240" s="48" t="s">
        <v>611</v>
      </c>
    </row>
    <row r="241" spans="1:26" x14ac:dyDescent="0.25">
      <c r="A241" s="4" t="str">
        <f t="shared" si="13"/>
        <v>Matcha Strawberry Premium|22 oz|100%</v>
      </c>
      <c r="B241" s="4" t="s">
        <v>610</v>
      </c>
      <c r="C241" s="4" t="s">
        <v>67</v>
      </c>
      <c r="D241" s="19" t="s">
        <v>66</v>
      </c>
      <c r="E241" s="63">
        <v>0</v>
      </c>
      <c r="F241" s="63">
        <v>0</v>
      </c>
      <c r="G241" s="63">
        <v>159</v>
      </c>
      <c r="H241" s="63">
        <v>27.5</v>
      </c>
      <c r="I241" s="63">
        <v>0</v>
      </c>
      <c r="J241" s="63">
        <v>24</v>
      </c>
      <c r="K241" s="63">
        <v>0</v>
      </c>
      <c r="L241" s="63">
        <v>0</v>
      </c>
      <c r="M241" s="63">
        <v>0</v>
      </c>
      <c r="N241" s="63">
        <v>0</v>
      </c>
      <c r="O241" s="63">
        <v>35</v>
      </c>
      <c r="P241" s="63">
        <v>0</v>
      </c>
      <c r="Q241" s="63">
        <v>0</v>
      </c>
      <c r="R241" s="63">
        <v>0</v>
      </c>
      <c r="S241" s="63">
        <v>330</v>
      </c>
      <c r="T241" s="63">
        <v>50</v>
      </c>
      <c r="U241" s="63">
        <v>0</v>
      </c>
      <c r="V241" s="65">
        <f t="shared" si="16"/>
        <v>260.5</v>
      </c>
      <c r="W241" s="8">
        <f>ROUND(E241*ต้นทุนและราคา!$C$4+F241*ต้นทุนและราคา!$C$5+G241*ต้นทุนและราคา!$C$6+H241*ต้นทุนและราคา!$C$7+I241*ต้นทุนและราคา!$C$8+J241*ต้นทุนและราคา!$C$9+K241*ต้นทุนและราคา!$C$10+L241*ต้นทุนและราคา!$C$11+M241*ต้นทุนและราคา!$C$12+N241*ต้นทุนและราคา!$C$13+O241*ต้นทุนและราคา!$C$14+P241*ต้นทุนและราคา!$C$15+Q241*ต้นทุนและราคา!$C$16+R241*ต้นทุนและราคา!$C$17+S241*ต้นทุนและราคา!$C$18+T241*ต้นทุนและราคา!$C$19+U241*ต้นทุนและราคา!$C$20+IF($C241="16 oz",ต้นทุนและราคา!$C$21,IF($C241="20 oz",ต้นทุนและราคา!$C$22,ต้นทุนและราคา!$C$23)),2)</f>
        <v>73.62</v>
      </c>
      <c r="X241" s="64" cm="1">
        <f t="array" ref="X241">IFERROR(INDEX(ต้นทุนและราคา!$C$26:$E$101,MATCH($B241,ต้นทุนและราคา!$A$26:$A$101,0),IF($C241="16 oz",1,IF($C241="20 oz",2,3))),"")</f>
        <v>120</v>
      </c>
      <c r="Y241" s="66">
        <f t="shared" si="14"/>
        <v>0.38649999999999995</v>
      </c>
      <c r="Z241" s="48" t="s">
        <v>611</v>
      </c>
    </row>
    <row r="242" spans="1:26" x14ac:dyDescent="0.25">
      <c r="A242" s="4" t="str">
        <f t="shared" si="13"/>
        <v>Original|20 oz|0%</v>
      </c>
      <c r="B242" s="4" t="s">
        <v>3</v>
      </c>
      <c r="C242" s="4" t="s">
        <v>1046</v>
      </c>
      <c r="D242" s="4" t="s">
        <v>63</v>
      </c>
      <c r="E242" s="63">
        <f t="shared" ref="E242:U242" si="17">ROUND(E2*$AB$2,1)</f>
        <v>162.5</v>
      </c>
      <c r="F242" s="63">
        <f t="shared" si="17"/>
        <v>0</v>
      </c>
      <c r="G242" s="63">
        <f t="shared" si="17"/>
        <v>0</v>
      </c>
      <c r="H242" s="63">
        <f t="shared" si="17"/>
        <v>72.5</v>
      </c>
      <c r="I242" s="63">
        <f t="shared" si="17"/>
        <v>0</v>
      </c>
      <c r="J242" s="63">
        <f t="shared" si="17"/>
        <v>0</v>
      </c>
      <c r="K242" s="63">
        <f t="shared" si="17"/>
        <v>0</v>
      </c>
      <c r="L242" s="63">
        <f t="shared" si="17"/>
        <v>0</v>
      </c>
      <c r="M242" s="63">
        <f t="shared" si="17"/>
        <v>0</v>
      </c>
      <c r="N242" s="63">
        <f t="shared" si="17"/>
        <v>0</v>
      </c>
      <c r="O242" s="63">
        <f t="shared" si="17"/>
        <v>0</v>
      </c>
      <c r="P242" s="63">
        <f t="shared" si="17"/>
        <v>0</v>
      </c>
      <c r="Q242" s="63">
        <f t="shared" si="17"/>
        <v>0</v>
      </c>
      <c r="R242" s="63">
        <f t="shared" si="17"/>
        <v>0</v>
      </c>
      <c r="S242" s="63">
        <f t="shared" si="17"/>
        <v>300</v>
      </c>
      <c r="T242" s="63">
        <f t="shared" si="17"/>
        <v>0</v>
      </c>
      <c r="U242" s="63">
        <f t="shared" si="17"/>
        <v>0</v>
      </c>
      <c r="V242" s="65">
        <f t="shared" si="16"/>
        <v>235</v>
      </c>
      <c r="W242" s="8">
        <f>ROUND(E242*ต้นทุนและราคา!$C$4+F242*ต้นทุนและราคา!$C$5+G242*ต้นทุนและราคา!$C$6+H242*ต้นทุนและราคา!$C$7+I242*ต้นทุนและราคา!$C$8+J242*ต้นทุนและราคา!$C$9+K242*ต้นทุนและราคา!$C$10+L242*ต้นทุนและราคา!$C$11+M242*ต้นทุนและราคา!$C$12+N242*ต้นทุนและราคา!$C$13+O242*ต้นทุนและราคา!$C$14+P242*ต้นทุนและราคา!$C$15+Q242*ต้นทุนและราคา!$C$16+R242*ต้นทุนและราคา!$C$17+S242*ต้นทุนและราคา!$C$18+T242*ต้นทุนและราคา!$C$19+U242*ต้นทุนและราคา!$C$20+IF($C242="16 oz",ต้นทุนและราคา!$C$21,IF($C242="20 oz",ต้นทุนและราคา!$C$22,ต้นทุนและราคา!$C$23)),2)</f>
        <v>17.420000000000002</v>
      </c>
      <c r="X242" s="64" cm="1">
        <f t="array" ref="X242">IFERROR(INDEX(ต้นทุนและราคา!$C$26:$E$101,MATCH($B242,ต้นทุนและราคา!$A$26:$A$101,0),IF($C242="16 oz",1,IF($C242="20 oz",2,3))),"")</f>
        <v>50</v>
      </c>
      <c r="Y242" s="66">
        <f t="shared" si="14"/>
        <v>0.65159999999999996</v>
      </c>
      <c r="Z242" s="48" t="str">
        <f>"[20 oz = 16 oz x "&amp;TEXT($AB$2,"0.00")&amp;"] "&amp;Z2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43" spans="1:26" x14ac:dyDescent="0.25">
      <c r="A243" s="4" t="str">
        <f t="shared" si="13"/>
        <v>Original|20 oz|25%</v>
      </c>
      <c r="B243" s="4" t="s">
        <v>3</v>
      </c>
      <c r="C243" s="4" t="s">
        <v>1046</v>
      </c>
      <c r="D243" s="4" t="s">
        <v>64</v>
      </c>
      <c r="E243" s="63">
        <f t="shared" ref="E243:U243" si="18">ROUND(E3*$AB$2,1)</f>
        <v>162.5</v>
      </c>
      <c r="F243" s="63">
        <f t="shared" si="18"/>
        <v>0</v>
      </c>
      <c r="G243" s="63">
        <f t="shared" si="18"/>
        <v>0</v>
      </c>
      <c r="H243" s="63">
        <f t="shared" si="18"/>
        <v>65</v>
      </c>
      <c r="I243" s="63">
        <f t="shared" si="18"/>
        <v>10</v>
      </c>
      <c r="J243" s="63">
        <f t="shared" si="18"/>
        <v>20.8</v>
      </c>
      <c r="K243" s="63">
        <f t="shared" si="18"/>
        <v>0</v>
      </c>
      <c r="L243" s="63">
        <f t="shared" si="18"/>
        <v>0</v>
      </c>
      <c r="M243" s="63">
        <f t="shared" si="18"/>
        <v>0</v>
      </c>
      <c r="N243" s="63">
        <f t="shared" si="18"/>
        <v>0</v>
      </c>
      <c r="O243" s="63">
        <f t="shared" si="18"/>
        <v>0</v>
      </c>
      <c r="P243" s="63">
        <f t="shared" si="18"/>
        <v>0</v>
      </c>
      <c r="Q243" s="63">
        <f t="shared" si="18"/>
        <v>0</v>
      </c>
      <c r="R243" s="63">
        <f t="shared" si="18"/>
        <v>0</v>
      </c>
      <c r="S243" s="63">
        <f t="shared" si="18"/>
        <v>300</v>
      </c>
      <c r="T243" s="63">
        <f t="shared" si="18"/>
        <v>0</v>
      </c>
      <c r="U243" s="63">
        <f t="shared" si="18"/>
        <v>0</v>
      </c>
      <c r="V243" s="65">
        <f t="shared" si="16"/>
        <v>258.3</v>
      </c>
      <c r="W243" s="8">
        <f>ROUND(E243*ต้นทุนและราคา!$C$4+F243*ต้นทุนและราคา!$C$5+G243*ต้นทุนและราคา!$C$6+H243*ต้นทุนและราคา!$C$7+I243*ต้นทุนและราคา!$C$8+J243*ต้นทุนและราคา!$C$9+K243*ต้นทุนและราคา!$C$10+L243*ต้นทุนและราคา!$C$11+M243*ต้นทุนและราคา!$C$12+N243*ต้นทุนและราคา!$C$13+O243*ต้นทุนและราคา!$C$14+P243*ต้นทุนและราคา!$C$15+Q243*ต้นทุนและราคา!$C$16+R243*ต้นทุนและราคา!$C$17+S243*ต้นทุนและราคา!$C$18+T243*ต้นทุนและราคา!$C$19+U243*ต้นทุนและราคา!$C$20+IF($C243="16 oz",ต้นทุนและราคา!$C$21,IF($C243="20 oz",ต้นทุนและราคา!$C$22,ต้นทุนและราคา!$C$23)),2)</f>
        <v>17.91</v>
      </c>
      <c r="X243" s="64" cm="1">
        <f t="array" ref="X243">IFERROR(INDEX(ต้นทุนและราคา!$C$26:$E$101,MATCH($B243,ต้นทุนและราคา!$A$26:$A$101,0),IF($C243="16 oz",1,IF($C243="20 oz",2,3))),"")</f>
        <v>50</v>
      </c>
      <c r="Y243" s="66">
        <f t="shared" si="14"/>
        <v>0.64180000000000004</v>
      </c>
      <c r="Z243" s="48" t="str">
        <f>"[20 oz = 16 oz x "&amp;TEXT($AB$2,"0.00")&amp;"] "&amp;Z3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44" spans="1:26" x14ac:dyDescent="0.25">
      <c r="A244" s="4" t="str">
        <f t="shared" si="13"/>
        <v>Original|20 oz|50%</v>
      </c>
      <c r="B244" s="4" t="s">
        <v>3</v>
      </c>
      <c r="C244" s="4" t="s">
        <v>1046</v>
      </c>
      <c r="D244" s="4" t="s">
        <v>7</v>
      </c>
      <c r="E244" s="63">
        <f t="shared" ref="E244:U244" si="19">ROUND(E4*$AB$2,1)</f>
        <v>162.5</v>
      </c>
      <c r="F244" s="63">
        <f t="shared" si="19"/>
        <v>0</v>
      </c>
      <c r="G244" s="63">
        <f t="shared" si="19"/>
        <v>0</v>
      </c>
      <c r="H244" s="63">
        <f t="shared" si="19"/>
        <v>57.5</v>
      </c>
      <c r="I244" s="63">
        <f t="shared" si="19"/>
        <v>20</v>
      </c>
      <c r="J244" s="63">
        <f t="shared" si="19"/>
        <v>20.8</v>
      </c>
      <c r="K244" s="63">
        <f t="shared" si="19"/>
        <v>0</v>
      </c>
      <c r="L244" s="63">
        <f t="shared" si="19"/>
        <v>0</v>
      </c>
      <c r="M244" s="63">
        <f t="shared" si="19"/>
        <v>0</v>
      </c>
      <c r="N244" s="63">
        <f t="shared" si="19"/>
        <v>0</v>
      </c>
      <c r="O244" s="63">
        <f t="shared" si="19"/>
        <v>0</v>
      </c>
      <c r="P244" s="63">
        <f t="shared" si="19"/>
        <v>0</v>
      </c>
      <c r="Q244" s="63">
        <f t="shared" si="19"/>
        <v>0</v>
      </c>
      <c r="R244" s="63">
        <f t="shared" si="19"/>
        <v>0</v>
      </c>
      <c r="S244" s="63">
        <f t="shared" si="19"/>
        <v>300</v>
      </c>
      <c r="T244" s="63">
        <f t="shared" si="19"/>
        <v>0</v>
      </c>
      <c r="U244" s="63">
        <f t="shared" si="19"/>
        <v>0</v>
      </c>
      <c r="V244" s="65">
        <f t="shared" si="16"/>
        <v>260.8</v>
      </c>
      <c r="W244" s="8">
        <f>ROUND(E244*ต้นทุนและราคา!$C$4+F244*ต้นทุนและราคา!$C$5+G244*ต้นทุนและราคา!$C$6+H244*ต้นทุนและราคา!$C$7+I244*ต้นทุนและราคา!$C$8+J244*ต้นทุนและราคา!$C$9+K244*ต้นทุนและราคา!$C$10+L244*ต้นทุนและราคา!$C$11+M244*ต้นทุนและราคา!$C$12+N244*ต้นทุนและราคา!$C$13+O244*ต้นทุนและราคา!$C$14+P244*ต้นทุนและราคา!$C$15+Q244*ต้นทุนและราคา!$C$16+R244*ต้นทุนและราคา!$C$17+S244*ต้นทุนและราคา!$C$18+T244*ต้นทุนและราคา!$C$19+U244*ต้นทุนและราคา!$C$20+IF($C244="16 oz",ต้นทุนและราคา!$C$21,IF($C244="20 oz",ต้นทุนและราคา!$C$22,ต้นทุนและราคา!$C$23)),2)</f>
        <v>18.04</v>
      </c>
      <c r="X244" s="64" cm="1">
        <f t="array" ref="X244">IFERROR(INDEX(ต้นทุนและราคา!$C$26:$E$101,MATCH($B244,ต้นทุนและราคา!$A$26:$A$101,0),IF($C244="16 oz",1,IF($C244="20 oz",2,3))),"")</f>
        <v>50</v>
      </c>
      <c r="Y244" s="66">
        <f t="shared" si="14"/>
        <v>0.63919999999999999</v>
      </c>
      <c r="Z244" s="48" t="str">
        <f>"[20 oz = 16 oz x "&amp;TEXT($AB$2,"0.00")&amp;"] "&amp;Z4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45" spans="1:26" x14ac:dyDescent="0.25">
      <c r="A245" s="4" t="str">
        <f t="shared" si="13"/>
        <v>Original|20 oz|75%</v>
      </c>
      <c r="B245" s="4" t="s">
        <v>3</v>
      </c>
      <c r="C245" s="4" t="s">
        <v>1046</v>
      </c>
      <c r="D245" s="4" t="s">
        <v>65</v>
      </c>
      <c r="E245" s="63">
        <f t="shared" ref="E245:U245" si="20">ROUND(E5*$AB$2,1)</f>
        <v>162.5</v>
      </c>
      <c r="F245" s="63">
        <f t="shared" si="20"/>
        <v>0</v>
      </c>
      <c r="G245" s="63">
        <f t="shared" si="20"/>
        <v>0</v>
      </c>
      <c r="H245" s="63">
        <f t="shared" si="20"/>
        <v>50</v>
      </c>
      <c r="I245" s="63">
        <f t="shared" si="20"/>
        <v>30</v>
      </c>
      <c r="J245" s="63">
        <f t="shared" si="20"/>
        <v>20.8</v>
      </c>
      <c r="K245" s="63">
        <f t="shared" si="20"/>
        <v>0</v>
      </c>
      <c r="L245" s="63">
        <f t="shared" si="20"/>
        <v>0</v>
      </c>
      <c r="M245" s="63">
        <f t="shared" si="20"/>
        <v>0</v>
      </c>
      <c r="N245" s="63">
        <f t="shared" si="20"/>
        <v>0</v>
      </c>
      <c r="O245" s="63">
        <f t="shared" si="20"/>
        <v>0</v>
      </c>
      <c r="P245" s="63">
        <f t="shared" si="20"/>
        <v>0</v>
      </c>
      <c r="Q245" s="63">
        <f t="shared" si="20"/>
        <v>0</v>
      </c>
      <c r="R245" s="63">
        <f t="shared" si="20"/>
        <v>0</v>
      </c>
      <c r="S245" s="63">
        <f t="shared" si="20"/>
        <v>300</v>
      </c>
      <c r="T245" s="63">
        <f t="shared" si="20"/>
        <v>0</v>
      </c>
      <c r="U245" s="63">
        <f t="shared" si="20"/>
        <v>0</v>
      </c>
      <c r="V245" s="65">
        <f t="shared" si="16"/>
        <v>263.3</v>
      </c>
      <c r="W245" s="8">
        <f>ROUND(E245*ต้นทุนและราคา!$C$4+F245*ต้นทุนและราคา!$C$5+G245*ต้นทุนและราคา!$C$6+H245*ต้นทุนและราคา!$C$7+I245*ต้นทุนและราคา!$C$8+J245*ต้นทุนและราคา!$C$9+K245*ต้นทุนและราคา!$C$10+L245*ต้นทุนและราคา!$C$11+M245*ต้นทุนและราคา!$C$12+N245*ต้นทุนและราคา!$C$13+O245*ต้นทุนและราคา!$C$14+P245*ต้นทุนและราคา!$C$15+Q245*ต้นทุนและราคา!$C$16+R245*ต้นทุนและราคา!$C$17+S245*ต้นทุนและราคา!$C$18+T245*ต้นทุนและราคา!$C$19+U245*ต้นทุนและราคา!$C$20+IF($C245="16 oz",ต้นทุนและราคา!$C$21,IF($C245="20 oz",ต้นทุนและราคา!$C$22,ต้นทุนและราคา!$C$23)),2)</f>
        <v>18.18</v>
      </c>
      <c r="X245" s="64" cm="1">
        <f t="array" ref="X245">IFERROR(INDEX(ต้นทุนและราคา!$C$26:$E$101,MATCH($B245,ต้นทุนและราคา!$A$26:$A$101,0),IF($C245="16 oz",1,IF($C245="20 oz",2,3))),"")</f>
        <v>50</v>
      </c>
      <c r="Y245" s="66">
        <f t="shared" si="14"/>
        <v>0.63639999999999997</v>
      </c>
      <c r="Z245" s="48" t="str">
        <f>"[20 oz = 16 oz x "&amp;TEXT($AB$2,"0.00")&amp;"] "&amp;Z5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46" spans="1:26" x14ac:dyDescent="0.25">
      <c r="A246" s="4" t="str">
        <f t="shared" si="13"/>
        <v>Original|20 oz|100%</v>
      </c>
      <c r="B246" s="4" t="s">
        <v>3</v>
      </c>
      <c r="C246" s="4" t="s">
        <v>1046</v>
      </c>
      <c r="D246" s="4" t="s">
        <v>66</v>
      </c>
      <c r="E246" s="63">
        <f t="shared" ref="E246:U246" si="21">ROUND(E6*$AB$2,1)</f>
        <v>162.5</v>
      </c>
      <c r="F246" s="63">
        <f t="shared" si="21"/>
        <v>0</v>
      </c>
      <c r="G246" s="63">
        <f t="shared" si="21"/>
        <v>0</v>
      </c>
      <c r="H246" s="63">
        <f t="shared" si="21"/>
        <v>42.5</v>
      </c>
      <c r="I246" s="63">
        <f t="shared" si="21"/>
        <v>40</v>
      </c>
      <c r="J246" s="63">
        <f t="shared" si="21"/>
        <v>20.8</v>
      </c>
      <c r="K246" s="63">
        <f t="shared" si="21"/>
        <v>0</v>
      </c>
      <c r="L246" s="63">
        <f t="shared" si="21"/>
        <v>0</v>
      </c>
      <c r="M246" s="63">
        <f t="shared" si="21"/>
        <v>0</v>
      </c>
      <c r="N246" s="63">
        <f t="shared" si="21"/>
        <v>0</v>
      </c>
      <c r="O246" s="63">
        <f t="shared" si="21"/>
        <v>0</v>
      </c>
      <c r="P246" s="63">
        <f t="shared" si="21"/>
        <v>0</v>
      </c>
      <c r="Q246" s="63">
        <f t="shared" si="21"/>
        <v>0</v>
      </c>
      <c r="R246" s="63">
        <f t="shared" si="21"/>
        <v>0</v>
      </c>
      <c r="S246" s="63">
        <f t="shared" si="21"/>
        <v>300</v>
      </c>
      <c r="T246" s="63">
        <f t="shared" si="21"/>
        <v>0</v>
      </c>
      <c r="U246" s="63">
        <f t="shared" si="21"/>
        <v>0</v>
      </c>
      <c r="V246" s="65">
        <f t="shared" si="16"/>
        <v>265.8</v>
      </c>
      <c r="W246" s="8">
        <f>ROUND(E246*ต้นทุนและราคา!$C$4+F246*ต้นทุนและราคา!$C$5+G246*ต้นทุนและราคา!$C$6+H246*ต้นทุนและราคา!$C$7+I246*ต้นทุนและราคา!$C$8+J246*ต้นทุนและราคา!$C$9+K246*ต้นทุนและราคา!$C$10+L246*ต้นทุนและราคา!$C$11+M246*ต้นทุนและราคา!$C$12+N246*ต้นทุนและราคา!$C$13+O246*ต้นทุนและราคา!$C$14+P246*ต้นทุนและราคา!$C$15+Q246*ต้นทุนและราคา!$C$16+R246*ต้นทุนและราคา!$C$17+S246*ต้นทุนและราคา!$C$18+T246*ต้นทุนและราคา!$C$19+U246*ต้นทุนและราคา!$C$20+IF($C246="16 oz",ต้นทุนและราคา!$C$21,IF($C246="20 oz",ต้นทุนและราคา!$C$22,ต้นทุนและราคา!$C$23)),2)</f>
        <v>18.32</v>
      </c>
      <c r="X246" s="64" cm="1">
        <f t="array" ref="X246">IFERROR(INDEX(ต้นทุนและราคา!$C$26:$E$101,MATCH($B246,ต้นทุนและราคา!$A$26:$A$101,0),IF($C246="16 oz",1,IF($C246="20 oz",2,3))),"")</f>
        <v>50</v>
      </c>
      <c r="Y246" s="66">
        <f t="shared" si="14"/>
        <v>0.63359999999999994</v>
      </c>
      <c r="Z246" s="48" t="str">
        <f>"[20 oz = 16 oz x "&amp;TEXT($AB$2,"0.00")&amp;"] "&amp;Z6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47" spans="1:26" x14ac:dyDescent="0.25">
      <c r="A247" s="4" t="str">
        <f t="shared" si="13"/>
        <v>Latte|20 oz|0%</v>
      </c>
      <c r="B247" s="4" t="s">
        <v>68</v>
      </c>
      <c r="C247" s="4" t="s">
        <v>1046</v>
      </c>
      <c r="D247" s="4" t="s">
        <v>63</v>
      </c>
      <c r="E247" s="63">
        <f t="shared" ref="E247:U247" si="22">ROUND(E12*$AB$2,1)</f>
        <v>162.5</v>
      </c>
      <c r="F247" s="63">
        <f t="shared" si="22"/>
        <v>0</v>
      </c>
      <c r="G247" s="63">
        <f t="shared" si="22"/>
        <v>62.5</v>
      </c>
      <c r="H247" s="63">
        <f t="shared" si="22"/>
        <v>25</v>
      </c>
      <c r="I247" s="63">
        <f t="shared" si="22"/>
        <v>0</v>
      </c>
      <c r="J247" s="63">
        <f t="shared" si="22"/>
        <v>0</v>
      </c>
      <c r="K247" s="63">
        <f t="shared" si="22"/>
        <v>0</v>
      </c>
      <c r="L247" s="63">
        <f t="shared" si="22"/>
        <v>0</v>
      </c>
      <c r="M247" s="63">
        <f t="shared" si="22"/>
        <v>0</v>
      </c>
      <c r="N247" s="63">
        <f t="shared" si="22"/>
        <v>0</v>
      </c>
      <c r="O247" s="63">
        <f t="shared" si="22"/>
        <v>0</v>
      </c>
      <c r="P247" s="63">
        <f t="shared" si="22"/>
        <v>0</v>
      </c>
      <c r="Q247" s="63">
        <f t="shared" si="22"/>
        <v>0</v>
      </c>
      <c r="R247" s="63">
        <f t="shared" si="22"/>
        <v>0</v>
      </c>
      <c r="S247" s="63">
        <f t="shared" si="22"/>
        <v>300</v>
      </c>
      <c r="T247" s="63">
        <f t="shared" si="22"/>
        <v>0</v>
      </c>
      <c r="U247" s="63">
        <f t="shared" si="22"/>
        <v>0</v>
      </c>
      <c r="V247" s="65">
        <f t="shared" si="16"/>
        <v>250</v>
      </c>
      <c r="W247" s="8">
        <f>ROUND(E247*ต้นทุนและราคา!$C$4+F247*ต้นทุนและราคา!$C$5+G247*ต้นทุนและราคา!$C$6+H247*ต้นทุนและราคา!$C$7+I247*ต้นทุนและราคา!$C$8+J247*ต้นทุนและราคา!$C$9+K247*ต้นทุนและราคา!$C$10+L247*ต้นทุนและราคา!$C$11+M247*ต้นทุนและราคา!$C$12+N247*ต้นทุนและราคา!$C$13+O247*ต้นทุนและราคา!$C$14+P247*ต้นทุนและราคา!$C$15+Q247*ต้นทุนและราคา!$C$16+R247*ต้นทุนและราคา!$C$17+S247*ต้นทุนและราคา!$C$18+T247*ต้นทุนและราคา!$C$19+U247*ต้นทุนและราคา!$C$20+IF($C247="16 oz",ต้นทุนและราคา!$C$21,IF($C247="20 oz",ต้นทุนและราคา!$C$22,ต้นทุนและราคา!$C$23)),2)</f>
        <v>16.899999999999999</v>
      </c>
      <c r="X247" s="64" cm="1">
        <f t="array" ref="X247">IFERROR(INDEX(ต้นทุนและราคา!$C$26:$E$101,MATCH($B247,ต้นทุนและราคา!$A$26:$A$101,0),IF($C247="16 oz",1,IF($C247="20 oz",2,3))),"")</f>
        <v>55</v>
      </c>
      <c r="Y247" s="66">
        <f t="shared" si="14"/>
        <v>0.69272727272727275</v>
      </c>
      <c r="Z247" s="48" t="str">
        <f>"[20 oz = 16 oz x "&amp;TEXT($AB$2,"0.00")&amp;"] "&amp;Z12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48" spans="1:26" x14ac:dyDescent="0.25">
      <c r="A248" s="4" t="str">
        <f t="shared" si="13"/>
        <v>Latte|20 oz|25%</v>
      </c>
      <c r="B248" s="4" t="s">
        <v>68</v>
      </c>
      <c r="C248" s="4" t="s">
        <v>1046</v>
      </c>
      <c r="D248" s="4" t="s">
        <v>64</v>
      </c>
      <c r="E248" s="63">
        <f t="shared" ref="E248:U248" si="23">ROUND(E13*$AB$2,1)</f>
        <v>162.5</v>
      </c>
      <c r="F248" s="63">
        <f t="shared" si="23"/>
        <v>0</v>
      </c>
      <c r="G248" s="63">
        <f t="shared" si="23"/>
        <v>38</v>
      </c>
      <c r="H248" s="63">
        <f t="shared" si="23"/>
        <v>25</v>
      </c>
      <c r="I248" s="63">
        <f t="shared" si="23"/>
        <v>0</v>
      </c>
      <c r="J248" s="63">
        <f t="shared" si="23"/>
        <v>29.5</v>
      </c>
      <c r="K248" s="63">
        <f t="shared" si="23"/>
        <v>0</v>
      </c>
      <c r="L248" s="63">
        <f t="shared" si="23"/>
        <v>0</v>
      </c>
      <c r="M248" s="63">
        <f t="shared" si="23"/>
        <v>0</v>
      </c>
      <c r="N248" s="63">
        <f t="shared" si="23"/>
        <v>0</v>
      </c>
      <c r="O248" s="63">
        <f t="shared" si="23"/>
        <v>0</v>
      </c>
      <c r="P248" s="63">
        <f t="shared" si="23"/>
        <v>0</v>
      </c>
      <c r="Q248" s="63">
        <f t="shared" si="23"/>
        <v>0</v>
      </c>
      <c r="R248" s="63">
        <f t="shared" si="23"/>
        <v>0</v>
      </c>
      <c r="S248" s="63">
        <f t="shared" si="23"/>
        <v>300</v>
      </c>
      <c r="T248" s="63">
        <f t="shared" si="23"/>
        <v>0</v>
      </c>
      <c r="U248" s="63">
        <f t="shared" si="23"/>
        <v>0</v>
      </c>
      <c r="V248" s="65">
        <f t="shared" si="16"/>
        <v>255</v>
      </c>
      <c r="W248" s="8">
        <f>ROUND(E248*ต้นทุนและราคา!$C$4+F248*ต้นทุนและราคา!$C$5+G248*ต้นทุนและราคา!$C$6+H248*ต้นทุนและราคา!$C$7+I248*ต้นทุนและราคา!$C$8+J248*ต้นทุนและราคา!$C$9+K248*ต้นทุนและราคา!$C$10+L248*ต้นทุนและราคา!$C$11+M248*ต้นทุนและราคา!$C$12+N248*ต้นทุนและราคา!$C$13+O248*ต้นทุนและราคา!$C$14+P248*ต้นทุนและราคา!$C$15+Q248*ต้นทุนและราคา!$C$16+R248*ต้นทุนและราคา!$C$17+S248*ต้นทุนและราคา!$C$18+T248*ต้นทุนและราคา!$C$19+U248*ต้นทุนและราคา!$C$20+IF($C248="16 oz",ต้นทุนและราคา!$C$21,IF($C248="20 oz",ต้นทุนและราคา!$C$22,ต้นทุนและราคา!$C$23)),2)</f>
        <v>16.22</v>
      </c>
      <c r="X248" s="64" cm="1">
        <f t="array" ref="X248">IFERROR(INDEX(ต้นทุนและราคา!$C$26:$E$101,MATCH($B248,ต้นทุนและราคา!$A$26:$A$101,0),IF($C248="16 oz",1,IF($C248="20 oz",2,3))),"")</f>
        <v>55</v>
      </c>
      <c r="Y248" s="66">
        <f t="shared" si="14"/>
        <v>0.7050909090909091</v>
      </c>
      <c r="Z248" s="48" t="str">
        <f>"[20 oz = 16 oz x "&amp;TEXT($AB$2,"0.00")&amp;"] "&amp;Z13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49" spans="1:26" x14ac:dyDescent="0.25">
      <c r="A249" s="4" t="str">
        <f t="shared" si="13"/>
        <v>Latte|20 oz|50%</v>
      </c>
      <c r="B249" s="4" t="s">
        <v>68</v>
      </c>
      <c r="C249" s="4" t="s">
        <v>1046</v>
      </c>
      <c r="D249" s="4" t="s">
        <v>7</v>
      </c>
      <c r="E249" s="63">
        <f t="shared" ref="E249:U249" si="24">ROUND(E14*$AB$2,1)</f>
        <v>162.5</v>
      </c>
      <c r="F249" s="63">
        <f t="shared" si="24"/>
        <v>0</v>
      </c>
      <c r="G249" s="63">
        <f t="shared" si="24"/>
        <v>34.299999999999997</v>
      </c>
      <c r="H249" s="63">
        <f t="shared" si="24"/>
        <v>25</v>
      </c>
      <c r="I249" s="63">
        <f t="shared" si="24"/>
        <v>0</v>
      </c>
      <c r="J249" s="63">
        <f t="shared" si="24"/>
        <v>38.299999999999997</v>
      </c>
      <c r="K249" s="63">
        <f t="shared" si="24"/>
        <v>0</v>
      </c>
      <c r="L249" s="63">
        <f t="shared" si="24"/>
        <v>0</v>
      </c>
      <c r="M249" s="63">
        <f t="shared" si="24"/>
        <v>0</v>
      </c>
      <c r="N249" s="63">
        <f t="shared" si="24"/>
        <v>0</v>
      </c>
      <c r="O249" s="63">
        <f t="shared" si="24"/>
        <v>0</v>
      </c>
      <c r="P249" s="63">
        <f t="shared" si="24"/>
        <v>0</v>
      </c>
      <c r="Q249" s="63">
        <f t="shared" si="24"/>
        <v>0</v>
      </c>
      <c r="R249" s="63">
        <f t="shared" si="24"/>
        <v>0</v>
      </c>
      <c r="S249" s="63">
        <f t="shared" si="24"/>
        <v>300</v>
      </c>
      <c r="T249" s="63">
        <f t="shared" si="24"/>
        <v>0</v>
      </c>
      <c r="U249" s="63">
        <f t="shared" si="24"/>
        <v>0</v>
      </c>
      <c r="V249" s="65">
        <f t="shared" si="16"/>
        <v>260.10000000000002</v>
      </c>
      <c r="W249" s="8">
        <f>ROUND(E249*ต้นทุนและราคา!$C$4+F249*ต้นทุนและราคา!$C$5+G249*ต้นทุนและราคา!$C$6+H249*ต้นทุนและราคา!$C$7+I249*ต้นทุนและราคา!$C$8+J249*ต้นทุนและราคา!$C$9+K249*ต้นทุนและราคา!$C$10+L249*ต้นทุนและราคา!$C$11+M249*ต้นทุนและราคา!$C$12+N249*ต้นทุนและราคา!$C$13+O249*ต้นทุนและราคา!$C$14+P249*ต้นทุนและราคา!$C$15+Q249*ต้นทุนและราคา!$C$16+R249*ต้นทุนและราคา!$C$17+S249*ต้นทุนและราคา!$C$18+T249*ต้นทุนและราคา!$C$19+U249*ต้นทุนและราคา!$C$20+IF($C249="16 oz",ต้นทุนและราคา!$C$21,IF($C249="20 oz",ต้นทุนและราคา!$C$22,ต้นทุนและราคา!$C$23)),2)</f>
        <v>16.190000000000001</v>
      </c>
      <c r="X249" s="64" cm="1">
        <f t="array" ref="X249">IFERROR(INDEX(ต้นทุนและราคา!$C$26:$E$101,MATCH($B249,ต้นทุนและราคา!$A$26:$A$101,0),IF($C249="16 oz",1,IF($C249="20 oz",2,3))),"")</f>
        <v>55</v>
      </c>
      <c r="Y249" s="66">
        <f t="shared" si="14"/>
        <v>0.70563636363636373</v>
      </c>
      <c r="Z249" s="48" t="str">
        <f>"[20 oz = 16 oz x "&amp;TEXT($AB$2,"0.00")&amp;"] "&amp;Z14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50" spans="1:26" x14ac:dyDescent="0.25">
      <c r="A250" s="4" t="str">
        <f t="shared" si="13"/>
        <v>Latte|20 oz|75%</v>
      </c>
      <c r="B250" s="4" t="s">
        <v>68</v>
      </c>
      <c r="C250" s="4" t="s">
        <v>1046</v>
      </c>
      <c r="D250" s="4" t="s">
        <v>65</v>
      </c>
      <c r="E250" s="63">
        <f t="shared" ref="E250:U250" si="25">ROUND(E15*$AB$2,1)</f>
        <v>162.5</v>
      </c>
      <c r="F250" s="63">
        <f t="shared" si="25"/>
        <v>0</v>
      </c>
      <c r="G250" s="63">
        <f t="shared" si="25"/>
        <v>30.5</v>
      </c>
      <c r="H250" s="63">
        <f t="shared" si="25"/>
        <v>25</v>
      </c>
      <c r="I250" s="63">
        <f t="shared" si="25"/>
        <v>0</v>
      </c>
      <c r="J250" s="63">
        <f t="shared" si="25"/>
        <v>47</v>
      </c>
      <c r="K250" s="63">
        <f t="shared" si="25"/>
        <v>0</v>
      </c>
      <c r="L250" s="63">
        <f t="shared" si="25"/>
        <v>0</v>
      </c>
      <c r="M250" s="63">
        <f t="shared" si="25"/>
        <v>0</v>
      </c>
      <c r="N250" s="63">
        <f t="shared" si="25"/>
        <v>0</v>
      </c>
      <c r="O250" s="63">
        <f t="shared" si="25"/>
        <v>0</v>
      </c>
      <c r="P250" s="63">
        <f t="shared" si="25"/>
        <v>0</v>
      </c>
      <c r="Q250" s="63">
        <f t="shared" si="25"/>
        <v>0</v>
      </c>
      <c r="R250" s="63">
        <f t="shared" si="25"/>
        <v>0</v>
      </c>
      <c r="S250" s="63">
        <f t="shared" si="25"/>
        <v>300</v>
      </c>
      <c r="T250" s="63">
        <f t="shared" si="25"/>
        <v>0</v>
      </c>
      <c r="U250" s="63">
        <f t="shared" si="25"/>
        <v>0</v>
      </c>
      <c r="V250" s="65">
        <f t="shared" si="16"/>
        <v>265</v>
      </c>
      <c r="W250" s="8">
        <f>ROUND(E250*ต้นทุนและราคา!$C$4+F250*ต้นทุนและราคา!$C$5+G250*ต้นทุนและราคา!$C$6+H250*ต้นทุนและราคา!$C$7+I250*ต้นทุนและราคา!$C$8+J250*ต้นทุนและราคา!$C$9+K250*ต้นทุนและราคา!$C$10+L250*ต้นทุนและราคา!$C$11+M250*ต้นทุนและราคา!$C$12+N250*ต้นทุนและราคา!$C$13+O250*ต้นทุนและราคา!$C$14+P250*ต้นทุนและราคา!$C$15+Q250*ต้นทุนและราคา!$C$16+R250*ต้นทุนและราคา!$C$17+S250*ต้นทุนและราคา!$C$18+T250*ต้นทุนและราคา!$C$19+U250*ต้นทุนและราคา!$C$20+IF($C250="16 oz",ต้นทุนและราคา!$C$21,IF($C250="20 oz",ต้นทุนและราคา!$C$22,ต้นทุนและราคา!$C$23)),2)</f>
        <v>16.149999999999999</v>
      </c>
      <c r="X250" s="64" cm="1">
        <f t="array" ref="X250">IFERROR(INDEX(ต้นทุนและราคา!$C$26:$E$101,MATCH($B250,ต้นทุนและราคา!$A$26:$A$101,0),IF($C250="16 oz",1,IF($C250="20 oz",2,3))),"")</f>
        <v>55</v>
      </c>
      <c r="Y250" s="66">
        <f t="shared" si="14"/>
        <v>0.70636363636363642</v>
      </c>
      <c r="Z250" s="48" t="str">
        <f>"[20 oz = 16 oz x "&amp;TEXT($AB$2,"0.00")&amp;"] "&amp;Z15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51" spans="1:26" x14ac:dyDescent="0.25">
      <c r="A251" s="4" t="str">
        <f t="shared" si="13"/>
        <v>Latte|20 oz|100%</v>
      </c>
      <c r="B251" s="4" t="s">
        <v>68</v>
      </c>
      <c r="C251" s="4" t="s">
        <v>1046</v>
      </c>
      <c r="D251" s="4" t="s">
        <v>66</v>
      </c>
      <c r="E251" s="63">
        <f t="shared" ref="E251:U251" si="26">ROUND(E16*$AB$2,1)</f>
        <v>162.5</v>
      </c>
      <c r="F251" s="63">
        <f t="shared" si="26"/>
        <v>0</v>
      </c>
      <c r="G251" s="63">
        <f t="shared" si="26"/>
        <v>26.8</v>
      </c>
      <c r="H251" s="63">
        <f t="shared" si="26"/>
        <v>25</v>
      </c>
      <c r="I251" s="63">
        <f t="shared" si="26"/>
        <v>0</v>
      </c>
      <c r="J251" s="63">
        <f t="shared" si="26"/>
        <v>55.8</v>
      </c>
      <c r="K251" s="63">
        <f t="shared" si="26"/>
        <v>0</v>
      </c>
      <c r="L251" s="63">
        <f t="shared" si="26"/>
        <v>0</v>
      </c>
      <c r="M251" s="63">
        <f t="shared" si="26"/>
        <v>0</v>
      </c>
      <c r="N251" s="63">
        <f t="shared" si="26"/>
        <v>0</v>
      </c>
      <c r="O251" s="63">
        <f t="shared" si="26"/>
        <v>0</v>
      </c>
      <c r="P251" s="63">
        <f t="shared" si="26"/>
        <v>0</v>
      </c>
      <c r="Q251" s="63">
        <f t="shared" si="26"/>
        <v>0</v>
      </c>
      <c r="R251" s="63">
        <f t="shared" si="26"/>
        <v>0</v>
      </c>
      <c r="S251" s="63">
        <f t="shared" si="26"/>
        <v>300</v>
      </c>
      <c r="T251" s="63">
        <f t="shared" si="26"/>
        <v>0</v>
      </c>
      <c r="U251" s="63">
        <f t="shared" si="26"/>
        <v>0</v>
      </c>
      <c r="V251" s="65">
        <f t="shared" si="16"/>
        <v>270.10000000000002</v>
      </c>
      <c r="W251" s="8">
        <f>ROUND(E251*ต้นทุนและราคา!$C$4+F251*ต้นทุนและราคา!$C$5+G251*ต้นทุนและราคา!$C$6+H251*ต้นทุนและราคา!$C$7+I251*ต้นทุนและราคา!$C$8+J251*ต้นทุนและราคา!$C$9+K251*ต้นทุนและราคา!$C$10+L251*ต้นทุนและราคา!$C$11+M251*ต้นทุนและราคา!$C$12+N251*ต้นทุนและราคา!$C$13+O251*ต้นทุนและราคา!$C$14+P251*ต้นทุนและราคา!$C$15+Q251*ต้นทุนและราคา!$C$16+R251*ต้นทุนและราคา!$C$17+S251*ต้นทุนและราคา!$C$18+T251*ต้นทุนและราคา!$C$19+U251*ต้นทุนและราคา!$C$20+IF($C251="16 oz",ต้นทุนและราคา!$C$21,IF($C251="20 oz",ต้นทุนและราคา!$C$22,ต้นทุนและราคา!$C$23)),2)</f>
        <v>16.12</v>
      </c>
      <c r="X251" s="64" cm="1">
        <f t="array" ref="X251">IFERROR(INDEX(ต้นทุนและราคา!$C$26:$E$101,MATCH($B251,ต้นทุนและราคา!$A$26:$A$101,0),IF($C251="16 oz",1,IF($C251="20 oz",2,3))),"")</f>
        <v>55</v>
      </c>
      <c r="Y251" s="66">
        <f t="shared" si="14"/>
        <v>0.70690909090909082</v>
      </c>
      <c r="Z251" s="48" t="str">
        <f>"[20 oz = 16 oz x "&amp;TEXT($AB$2,"0.00")&amp;"] "&amp;Z16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52" spans="1:26" x14ac:dyDescent="0.25">
      <c r="A252" s="4" t="str">
        <f t="shared" si="13"/>
        <v>Cream Cheese|20 oz|0%</v>
      </c>
      <c r="B252" s="4" t="s">
        <v>69</v>
      </c>
      <c r="C252" s="4" t="s">
        <v>1046</v>
      </c>
      <c r="D252" s="4" t="s">
        <v>63</v>
      </c>
      <c r="E252" s="63">
        <f t="shared" ref="E252:U252" si="27">ROUND(E22*$AB$2,1)</f>
        <v>150</v>
      </c>
      <c r="F252" s="63">
        <f t="shared" si="27"/>
        <v>0</v>
      </c>
      <c r="G252" s="63">
        <f t="shared" si="27"/>
        <v>0</v>
      </c>
      <c r="H252" s="63">
        <f t="shared" si="27"/>
        <v>37.5</v>
      </c>
      <c r="I252" s="63">
        <f t="shared" si="27"/>
        <v>0</v>
      </c>
      <c r="J252" s="63">
        <f t="shared" si="27"/>
        <v>0</v>
      </c>
      <c r="K252" s="63">
        <f t="shared" si="27"/>
        <v>0</v>
      </c>
      <c r="L252" s="63">
        <f t="shared" si="27"/>
        <v>0</v>
      </c>
      <c r="M252" s="63">
        <f t="shared" si="27"/>
        <v>0</v>
      </c>
      <c r="N252" s="63">
        <f t="shared" si="27"/>
        <v>0</v>
      </c>
      <c r="O252" s="63">
        <f t="shared" si="27"/>
        <v>0</v>
      </c>
      <c r="P252" s="63">
        <f t="shared" si="27"/>
        <v>0</v>
      </c>
      <c r="Q252" s="63">
        <f t="shared" si="27"/>
        <v>0</v>
      </c>
      <c r="R252" s="63">
        <f t="shared" si="27"/>
        <v>75</v>
      </c>
      <c r="S252" s="63">
        <f t="shared" si="27"/>
        <v>250</v>
      </c>
      <c r="T252" s="63">
        <f t="shared" si="27"/>
        <v>0</v>
      </c>
      <c r="U252" s="63">
        <f t="shared" si="27"/>
        <v>0</v>
      </c>
      <c r="V252" s="65">
        <f t="shared" si="16"/>
        <v>187.5</v>
      </c>
      <c r="W252" s="8">
        <f>ROUND(E252*ต้นทุนและราคา!$C$4+F252*ต้นทุนและราคา!$C$5+G252*ต้นทุนและราคา!$C$6+H252*ต้นทุนและราคา!$C$7+I252*ต้นทุนและราคา!$C$8+J252*ต้นทุนและราคา!$C$9+K252*ต้นทุนและราคา!$C$10+L252*ต้นทุนและราคา!$C$11+M252*ต้นทุนและราคา!$C$12+N252*ต้นทุนและราคา!$C$13+O252*ต้นทุนและราคา!$C$14+P252*ต้นทุนและราคา!$C$15+Q252*ต้นทุนและราคา!$C$16+R252*ต้นทุนและราคา!$C$17+S252*ต้นทุนและราคา!$C$18+T252*ต้นทุนและราคา!$C$19+U252*ต้นทุนและราคา!$C$20+IF($C252="16 oz",ต้นทุนและราคา!$C$21,IF($C252="20 oz",ต้นทุนและราคา!$C$22,ต้นทุนและราคา!$C$23)),2)</f>
        <v>25.76</v>
      </c>
      <c r="X252" s="64" cm="1">
        <f t="array" ref="X252">IFERROR(INDEX(ต้นทุนและราคา!$C$26:$E$101,MATCH($B252,ต้นทุนและราคา!$A$26:$A$101,0),IF($C252="16 oz",1,IF($C252="20 oz",2,3))),"")</f>
        <v>75</v>
      </c>
      <c r="Y252" s="66">
        <f t="shared" si="14"/>
        <v>0.6565333333333333</v>
      </c>
      <c r="Z252" s="48" t="str">
        <f>"[20 oz = 16 oz x "&amp;TEXT($AB$2,"0.00")&amp;"] "&amp;Z22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53" spans="1:26" x14ac:dyDescent="0.25">
      <c r="A253" s="4" t="str">
        <f t="shared" si="13"/>
        <v>Cream Cheese|20 oz|25%</v>
      </c>
      <c r="B253" s="4" t="s">
        <v>69</v>
      </c>
      <c r="C253" s="4" t="s">
        <v>1046</v>
      </c>
      <c r="D253" s="4" t="s">
        <v>64</v>
      </c>
      <c r="E253" s="63">
        <f t="shared" ref="E253:U253" si="28">ROUND(E23*$AB$2,1)</f>
        <v>150</v>
      </c>
      <c r="F253" s="63">
        <f t="shared" si="28"/>
        <v>0</v>
      </c>
      <c r="G253" s="63">
        <f t="shared" si="28"/>
        <v>0</v>
      </c>
      <c r="H253" s="63">
        <f t="shared" si="28"/>
        <v>37.5</v>
      </c>
      <c r="I253" s="63">
        <f t="shared" si="28"/>
        <v>8.8000000000000007</v>
      </c>
      <c r="J253" s="63">
        <f t="shared" si="28"/>
        <v>19.3</v>
      </c>
      <c r="K253" s="63">
        <f t="shared" si="28"/>
        <v>0</v>
      </c>
      <c r="L253" s="63">
        <f t="shared" si="28"/>
        <v>0</v>
      </c>
      <c r="M253" s="63">
        <f t="shared" si="28"/>
        <v>0</v>
      </c>
      <c r="N253" s="63">
        <f t="shared" si="28"/>
        <v>0</v>
      </c>
      <c r="O253" s="63">
        <f t="shared" si="28"/>
        <v>0</v>
      </c>
      <c r="P253" s="63">
        <f t="shared" si="28"/>
        <v>0</v>
      </c>
      <c r="Q253" s="63">
        <f t="shared" si="28"/>
        <v>0</v>
      </c>
      <c r="R253" s="63">
        <f t="shared" si="28"/>
        <v>75</v>
      </c>
      <c r="S253" s="63">
        <f t="shared" si="28"/>
        <v>250</v>
      </c>
      <c r="T253" s="63">
        <f t="shared" si="28"/>
        <v>0</v>
      </c>
      <c r="U253" s="63">
        <f t="shared" si="28"/>
        <v>0</v>
      </c>
      <c r="V253" s="65">
        <f t="shared" si="16"/>
        <v>215.60000000000002</v>
      </c>
      <c r="W253" s="8">
        <f>ROUND(E253*ต้นทุนและราคา!$C$4+F253*ต้นทุนและราคา!$C$5+G253*ต้นทุนและราคา!$C$6+H253*ต้นทุนและราคา!$C$7+I253*ต้นทุนและราคา!$C$8+J253*ต้นทุนและราคา!$C$9+K253*ต้นทุนและราคา!$C$10+L253*ต้นทุนและราคา!$C$11+M253*ต้นทุนและราคา!$C$12+N253*ต้นทุนและราคา!$C$13+O253*ต้นทุนและราคา!$C$14+P253*ต้นทุนและราคา!$C$15+Q253*ต้นทุนและราคา!$C$16+R253*ต้นทุนและราคา!$C$17+S253*ต้นทุนและราคา!$C$18+T253*ต้นทุนและราคา!$C$19+U253*ต้นทุนและราคา!$C$20+IF($C253="16 oz",ต้นทุนและราคา!$C$21,IF($C253="20 oz",ต้นทุนและราคา!$C$22,ต้นทุนและราคา!$C$23)),2)</f>
        <v>26.69</v>
      </c>
      <c r="X253" s="64" cm="1">
        <f t="array" ref="X253">IFERROR(INDEX(ต้นทุนและราคา!$C$26:$E$101,MATCH($B253,ต้นทุนและราคา!$A$26:$A$101,0),IF($C253="16 oz",1,IF($C253="20 oz",2,3))),"")</f>
        <v>75</v>
      </c>
      <c r="Y253" s="66">
        <f t="shared" si="14"/>
        <v>0.64413333333333334</v>
      </c>
      <c r="Z253" s="48" t="str">
        <f>"[20 oz = 16 oz x "&amp;TEXT($AB$2,"0.00")&amp;"] "&amp;Z23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54" spans="1:26" x14ac:dyDescent="0.25">
      <c r="A254" s="4" t="str">
        <f t="shared" si="13"/>
        <v>Cream Cheese|20 oz|50%</v>
      </c>
      <c r="B254" s="4" t="s">
        <v>69</v>
      </c>
      <c r="C254" s="4" t="s">
        <v>1046</v>
      </c>
      <c r="D254" s="4" t="s">
        <v>7</v>
      </c>
      <c r="E254" s="63">
        <f t="shared" ref="E254:U254" si="29">ROUND(E24*$AB$2,1)</f>
        <v>150</v>
      </c>
      <c r="F254" s="63">
        <f t="shared" si="29"/>
        <v>0</v>
      </c>
      <c r="G254" s="63">
        <f t="shared" si="29"/>
        <v>0</v>
      </c>
      <c r="H254" s="63">
        <f t="shared" si="29"/>
        <v>37.5</v>
      </c>
      <c r="I254" s="63">
        <f t="shared" si="29"/>
        <v>17.5</v>
      </c>
      <c r="J254" s="63">
        <f t="shared" si="29"/>
        <v>19.3</v>
      </c>
      <c r="K254" s="63">
        <f t="shared" si="29"/>
        <v>0</v>
      </c>
      <c r="L254" s="63">
        <f t="shared" si="29"/>
        <v>0</v>
      </c>
      <c r="M254" s="63">
        <f t="shared" si="29"/>
        <v>0</v>
      </c>
      <c r="N254" s="63">
        <f t="shared" si="29"/>
        <v>0</v>
      </c>
      <c r="O254" s="63">
        <f t="shared" si="29"/>
        <v>0</v>
      </c>
      <c r="P254" s="63">
        <f t="shared" si="29"/>
        <v>0</v>
      </c>
      <c r="Q254" s="63">
        <f t="shared" si="29"/>
        <v>0</v>
      </c>
      <c r="R254" s="63">
        <f t="shared" si="29"/>
        <v>75</v>
      </c>
      <c r="S254" s="63">
        <f t="shared" si="29"/>
        <v>250</v>
      </c>
      <c r="T254" s="63">
        <f t="shared" si="29"/>
        <v>0</v>
      </c>
      <c r="U254" s="63">
        <f t="shared" si="29"/>
        <v>0</v>
      </c>
      <c r="V254" s="65">
        <f t="shared" si="16"/>
        <v>224.3</v>
      </c>
      <c r="W254" s="8">
        <f>ROUND(E254*ต้นทุนและราคา!$C$4+F254*ต้นทุนและราคา!$C$5+G254*ต้นทุนและราคา!$C$6+H254*ต้นทุนและราคา!$C$7+I254*ต้นทุนและราคา!$C$8+J254*ต้นทุนและราคา!$C$9+K254*ต้นทุนและราคา!$C$10+L254*ต้นทุนและราคา!$C$11+M254*ต้นทุนและราคา!$C$12+N254*ต้นทุนและราคา!$C$13+O254*ต้นทุนและราคา!$C$14+P254*ต้นทุนและราคา!$C$15+Q254*ต้นทุนและราคา!$C$16+R254*ต้นทุนและราคา!$C$17+S254*ต้นทุนและราคา!$C$18+T254*ต้นทุนและราคา!$C$19+U254*ต้นทุนและราคา!$C$20+IF($C254="16 oz",ต้นทุนและราคา!$C$21,IF($C254="20 oz",ต้นทุนและราคา!$C$22,ต้นทุนและราคา!$C$23)),2)</f>
        <v>27.29</v>
      </c>
      <c r="X254" s="64" cm="1">
        <f t="array" ref="X254">IFERROR(INDEX(ต้นทุนและราคา!$C$26:$E$101,MATCH($B254,ต้นทุนและราคา!$A$26:$A$101,0),IF($C254="16 oz",1,IF($C254="20 oz",2,3))),"")</f>
        <v>75</v>
      </c>
      <c r="Y254" s="66">
        <f t="shared" si="14"/>
        <v>0.63613333333333333</v>
      </c>
      <c r="Z254" s="48" t="str">
        <f>"[20 oz = 16 oz x "&amp;TEXT($AB$2,"0.00")&amp;"] "&amp;Z24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55" spans="1:26" x14ac:dyDescent="0.25">
      <c r="A255" s="4" t="str">
        <f t="shared" si="13"/>
        <v>Cream Cheese|20 oz|75%</v>
      </c>
      <c r="B255" s="4" t="s">
        <v>69</v>
      </c>
      <c r="C255" s="4" t="s">
        <v>1046</v>
      </c>
      <c r="D255" s="4" t="s">
        <v>65</v>
      </c>
      <c r="E255" s="63">
        <f t="shared" ref="E255:U255" si="30">ROUND(E25*$AB$2,1)</f>
        <v>150</v>
      </c>
      <c r="F255" s="63">
        <f t="shared" si="30"/>
        <v>0</v>
      </c>
      <c r="G255" s="63">
        <f t="shared" si="30"/>
        <v>0</v>
      </c>
      <c r="H255" s="63">
        <f t="shared" si="30"/>
        <v>37.5</v>
      </c>
      <c r="I255" s="63">
        <f t="shared" si="30"/>
        <v>26.3</v>
      </c>
      <c r="J255" s="63">
        <f t="shared" si="30"/>
        <v>19.3</v>
      </c>
      <c r="K255" s="63">
        <f t="shared" si="30"/>
        <v>0</v>
      </c>
      <c r="L255" s="63">
        <f t="shared" si="30"/>
        <v>0</v>
      </c>
      <c r="M255" s="63">
        <f t="shared" si="30"/>
        <v>0</v>
      </c>
      <c r="N255" s="63">
        <f t="shared" si="30"/>
        <v>0</v>
      </c>
      <c r="O255" s="63">
        <f t="shared" si="30"/>
        <v>0</v>
      </c>
      <c r="P255" s="63">
        <f t="shared" si="30"/>
        <v>0</v>
      </c>
      <c r="Q255" s="63">
        <f t="shared" si="30"/>
        <v>0</v>
      </c>
      <c r="R255" s="63">
        <f t="shared" si="30"/>
        <v>75</v>
      </c>
      <c r="S255" s="63">
        <f t="shared" si="30"/>
        <v>250</v>
      </c>
      <c r="T255" s="63">
        <f t="shared" si="30"/>
        <v>0</v>
      </c>
      <c r="U255" s="63">
        <f t="shared" si="30"/>
        <v>0</v>
      </c>
      <c r="V255" s="65">
        <f t="shared" si="16"/>
        <v>233.10000000000002</v>
      </c>
      <c r="W255" s="8">
        <f>ROUND(E255*ต้นทุนและราคา!$C$4+F255*ต้นทุนและราคา!$C$5+G255*ต้นทุนและราคา!$C$6+H255*ต้นทุนและราคา!$C$7+I255*ต้นทุนและราคา!$C$8+J255*ต้นทุนและราคา!$C$9+K255*ต้นทุนและราคา!$C$10+L255*ต้นทุนและราคา!$C$11+M255*ต้นทุนและราคา!$C$12+N255*ต้นทุนและราคา!$C$13+O255*ต้นทุนและราคา!$C$14+P255*ต้นทุนและราคา!$C$15+Q255*ต้นทุนและราคา!$C$16+R255*ต้นทุนและราคา!$C$17+S255*ต้นทุนและราคา!$C$18+T255*ต้นทุนและราคา!$C$19+U255*ต้นทุนและราคา!$C$20+IF($C255="16 oz",ต้นทุนและราคา!$C$21,IF($C255="20 oz",ต้นทุนและราคา!$C$22,ต้นทุนและราคา!$C$23)),2)</f>
        <v>27.9</v>
      </c>
      <c r="X255" s="64" cm="1">
        <f t="array" ref="X255">IFERROR(INDEX(ต้นทุนและราคา!$C$26:$E$101,MATCH($B255,ต้นทุนและราคา!$A$26:$A$101,0),IF($C255="16 oz",1,IF($C255="20 oz",2,3))),"")</f>
        <v>75</v>
      </c>
      <c r="Y255" s="66">
        <f t="shared" si="14"/>
        <v>0.628</v>
      </c>
      <c r="Z255" s="48" t="str">
        <f>"[20 oz = 16 oz x "&amp;TEXT($AB$2,"0.00")&amp;"] "&amp;Z25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56" spans="1:26" x14ac:dyDescent="0.25">
      <c r="A256" s="4" t="str">
        <f t="shared" si="13"/>
        <v>Cream Cheese|20 oz|100%</v>
      </c>
      <c r="B256" s="4" t="s">
        <v>69</v>
      </c>
      <c r="C256" s="4" t="s">
        <v>1046</v>
      </c>
      <c r="D256" s="4" t="s">
        <v>66</v>
      </c>
      <c r="E256" s="63">
        <f t="shared" ref="E256:U256" si="31">ROUND(E26*$AB$2,1)</f>
        <v>150</v>
      </c>
      <c r="F256" s="63">
        <f t="shared" si="31"/>
        <v>0</v>
      </c>
      <c r="G256" s="63">
        <f t="shared" si="31"/>
        <v>0</v>
      </c>
      <c r="H256" s="63">
        <f t="shared" si="31"/>
        <v>37.5</v>
      </c>
      <c r="I256" s="63">
        <f t="shared" si="31"/>
        <v>35</v>
      </c>
      <c r="J256" s="63">
        <f t="shared" si="31"/>
        <v>19.3</v>
      </c>
      <c r="K256" s="63">
        <f t="shared" si="31"/>
        <v>0</v>
      </c>
      <c r="L256" s="63">
        <f t="shared" si="31"/>
        <v>0</v>
      </c>
      <c r="M256" s="63">
        <f t="shared" si="31"/>
        <v>0</v>
      </c>
      <c r="N256" s="63">
        <f t="shared" si="31"/>
        <v>0</v>
      </c>
      <c r="O256" s="63">
        <f t="shared" si="31"/>
        <v>0</v>
      </c>
      <c r="P256" s="63">
        <f t="shared" si="31"/>
        <v>0</v>
      </c>
      <c r="Q256" s="63">
        <f t="shared" si="31"/>
        <v>0</v>
      </c>
      <c r="R256" s="63">
        <f t="shared" si="31"/>
        <v>75</v>
      </c>
      <c r="S256" s="63">
        <f t="shared" si="31"/>
        <v>250</v>
      </c>
      <c r="T256" s="63">
        <f t="shared" si="31"/>
        <v>0</v>
      </c>
      <c r="U256" s="63">
        <f t="shared" si="31"/>
        <v>0</v>
      </c>
      <c r="V256" s="65">
        <f t="shared" si="16"/>
        <v>241.8</v>
      </c>
      <c r="W256" s="8">
        <f>ROUND(E256*ต้นทุนและราคา!$C$4+F256*ต้นทุนและราคา!$C$5+G256*ต้นทุนและราคา!$C$6+H256*ต้นทุนและราคา!$C$7+I256*ต้นทุนและราคา!$C$8+J256*ต้นทุนและราคา!$C$9+K256*ต้นทุนและราคา!$C$10+L256*ต้นทุนและราคา!$C$11+M256*ต้นทุนและราคา!$C$12+N256*ต้นทุนและราคา!$C$13+O256*ต้นทุนและราคา!$C$14+P256*ต้นทุนและราคา!$C$15+Q256*ต้นทุนและราคา!$C$16+R256*ต้นทุนและราคา!$C$17+S256*ต้นทุนและราคา!$C$18+T256*ต้นทุนและราคา!$C$19+U256*ต้นทุนและราคา!$C$20+IF($C256="16 oz",ต้นทุนและราคา!$C$21,IF($C256="20 oz",ต้นทุนและราคา!$C$22,ต้นทุนและราคา!$C$23)),2)</f>
        <v>28.51</v>
      </c>
      <c r="X256" s="64" cm="1">
        <f t="array" ref="X256">IFERROR(INDEX(ต้นทุนและราคา!$C$26:$E$101,MATCH($B256,ต้นทุนและราคา!$A$26:$A$101,0),IF($C256="16 oz",1,IF($C256="20 oz",2,3))),"")</f>
        <v>75</v>
      </c>
      <c r="Y256" s="66">
        <f t="shared" si="14"/>
        <v>0.61986666666666657</v>
      </c>
      <c r="Z256" s="48" t="str">
        <f>"[20 oz = 16 oz x "&amp;TEXT($AB$2,"0.00")&amp;"] "&amp;Z26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57" spans="1:26" x14ac:dyDescent="0.25">
      <c r="A257" s="4" t="str">
        <f t="shared" si="13"/>
        <v>Whip Cheese|20 oz|0%</v>
      </c>
      <c r="B257" s="4" t="s">
        <v>70</v>
      </c>
      <c r="C257" s="4" t="s">
        <v>1046</v>
      </c>
      <c r="D257" s="4" t="s">
        <v>63</v>
      </c>
      <c r="E257" s="63">
        <f t="shared" ref="E257:U257" si="32">ROUND(E32*$AB$2,1)</f>
        <v>143.80000000000001</v>
      </c>
      <c r="F257" s="63">
        <f t="shared" si="32"/>
        <v>0</v>
      </c>
      <c r="G257" s="63">
        <f t="shared" si="32"/>
        <v>62.5</v>
      </c>
      <c r="H257" s="63">
        <f t="shared" si="32"/>
        <v>18.8</v>
      </c>
      <c r="I257" s="63">
        <f t="shared" si="32"/>
        <v>0</v>
      </c>
      <c r="J257" s="63">
        <f t="shared" si="32"/>
        <v>0</v>
      </c>
      <c r="K257" s="63">
        <f t="shared" si="32"/>
        <v>0</v>
      </c>
      <c r="L257" s="63">
        <f t="shared" si="32"/>
        <v>0</v>
      </c>
      <c r="M257" s="63">
        <f t="shared" si="32"/>
        <v>0</v>
      </c>
      <c r="N257" s="63">
        <f t="shared" si="32"/>
        <v>0</v>
      </c>
      <c r="O257" s="63">
        <f t="shared" si="32"/>
        <v>0</v>
      </c>
      <c r="P257" s="63">
        <f t="shared" si="32"/>
        <v>0</v>
      </c>
      <c r="Q257" s="63">
        <f t="shared" si="32"/>
        <v>0</v>
      </c>
      <c r="R257" s="63">
        <f t="shared" si="32"/>
        <v>62.5</v>
      </c>
      <c r="S257" s="63">
        <f t="shared" si="32"/>
        <v>250</v>
      </c>
      <c r="T257" s="63">
        <f t="shared" si="32"/>
        <v>0</v>
      </c>
      <c r="U257" s="63">
        <f t="shared" si="32"/>
        <v>0</v>
      </c>
      <c r="V257" s="65">
        <f t="shared" si="16"/>
        <v>225.10000000000002</v>
      </c>
      <c r="W257" s="8">
        <f>ROUND(E257*ต้นทุนและราคา!$C$4+F257*ต้นทุนและราคา!$C$5+G257*ต้นทุนและราคา!$C$6+H257*ต้นทุนและราคา!$C$7+I257*ต้นทุนและราคา!$C$8+J257*ต้นทุนและราคา!$C$9+K257*ต้นทุนและราคา!$C$10+L257*ต้นทุนและราคา!$C$11+M257*ต้นทุนและราคา!$C$12+N257*ต้นทุนและราคา!$C$13+O257*ต้นทุนและราคา!$C$14+P257*ต้นทุนและราคา!$C$15+Q257*ต้นทุนและราคา!$C$16+R257*ต้นทุนและราคา!$C$17+S257*ต้นทุนและราคา!$C$18+T257*ต้นทุนและราคา!$C$19+U257*ต้นทุนและราคา!$C$20+IF($C257="16 oz",ต้นทุนและราคา!$C$21,IF($C257="20 oz",ต้นทุนและราคา!$C$22,ต้นทุนและราคา!$C$23)),2)</f>
        <v>25.27</v>
      </c>
      <c r="X257" s="64" cm="1">
        <f t="array" ref="X257">IFERROR(INDEX(ต้นทุนและราคา!$C$26:$E$101,MATCH($B257,ต้นทุนและราคา!$A$26:$A$101,0),IF($C257="16 oz",1,IF($C257="20 oz",2,3))),"")</f>
        <v>70</v>
      </c>
      <c r="Y257" s="66">
        <f t="shared" si="14"/>
        <v>0.63900000000000001</v>
      </c>
      <c r="Z257" s="48" t="str">
        <f>"[20 oz = 16 oz x "&amp;TEXT($AB$2,"0.00")&amp;"] "&amp;Z32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58" spans="1:26" x14ac:dyDescent="0.25">
      <c r="A258" s="4" t="str">
        <f t="shared" ref="A258:A321" si="33">IF($B258="","",$B258&amp;"|"&amp;$C258&amp;"|"&amp;$D258)</f>
        <v>Whip Cheese|20 oz|25%</v>
      </c>
      <c r="B258" s="4" t="s">
        <v>70</v>
      </c>
      <c r="C258" s="4" t="s">
        <v>1046</v>
      </c>
      <c r="D258" s="4" t="s">
        <v>64</v>
      </c>
      <c r="E258" s="63">
        <f t="shared" ref="E258:U258" si="34">ROUND(E33*$AB$2,1)</f>
        <v>143.80000000000001</v>
      </c>
      <c r="F258" s="63">
        <f t="shared" si="34"/>
        <v>0</v>
      </c>
      <c r="G258" s="63">
        <f t="shared" si="34"/>
        <v>62.5</v>
      </c>
      <c r="H258" s="63">
        <f t="shared" si="34"/>
        <v>18.8</v>
      </c>
      <c r="I258" s="63">
        <f t="shared" si="34"/>
        <v>0</v>
      </c>
      <c r="J258" s="63">
        <f t="shared" si="34"/>
        <v>24.6</v>
      </c>
      <c r="K258" s="63">
        <f t="shared" si="34"/>
        <v>0</v>
      </c>
      <c r="L258" s="63">
        <f t="shared" si="34"/>
        <v>0</v>
      </c>
      <c r="M258" s="63">
        <f t="shared" si="34"/>
        <v>0</v>
      </c>
      <c r="N258" s="63">
        <f t="shared" si="34"/>
        <v>0</v>
      </c>
      <c r="O258" s="63">
        <f t="shared" si="34"/>
        <v>0</v>
      </c>
      <c r="P258" s="63">
        <f t="shared" si="34"/>
        <v>0</v>
      </c>
      <c r="Q258" s="63">
        <f t="shared" si="34"/>
        <v>0</v>
      </c>
      <c r="R258" s="63">
        <f t="shared" si="34"/>
        <v>62.5</v>
      </c>
      <c r="S258" s="63">
        <f t="shared" si="34"/>
        <v>250</v>
      </c>
      <c r="T258" s="63">
        <f t="shared" si="34"/>
        <v>0</v>
      </c>
      <c r="U258" s="63">
        <f t="shared" si="34"/>
        <v>0</v>
      </c>
      <c r="V258" s="65">
        <f t="shared" si="16"/>
        <v>249.70000000000002</v>
      </c>
      <c r="W258" s="8">
        <f>ROUND(E258*ต้นทุนและราคา!$C$4+F258*ต้นทุนและราคา!$C$5+G258*ต้นทุนและราคา!$C$6+H258*ต้นทุนและราคา!$C$7+I258*ต้นทุนและราคา!$C$8+J258*ต้นทุนและราคา!$C$9+K258*ต้นทุนและราคา!$C$10+L258*ต้นทุนและราคา!$C$11+M258*ต้นทุนและราคา!$C$12+N258*ต้นทุนและราคา!$C$13+O258*ต้นทุนและราคา!$C$14+P258*ต้นทุนและราคา!$C$15+Q258*ต้นทุนและราคา!$C$16+R258*ต้นทุนและราคา!$C$17+S258*ต้นทุนและราคา!$C$18+T258*ต้นทุนและราคา!$C$19+U258*ต้นทุนและราคา!$C$20+IF($C258="16 oz",ต้นทุนและราคา!$C$21,IF($C258="20 oz",ต้นทุนและราคา!$C$22,ต้นทุนและราคา!$C$23)),2)</f>
        <v>25.68</v>
      </c>
      <c r="X258" s="64" cm="1">
        <f t="array" ref="X258">IFERROR(INDEX(ต้นทุนและราคา!$C$26:$E$101,MATCH($B258,ต้นทุนและราคา!$A$26:$A$101,0),IF($C258="16 oz",1,IF($C258="20 oz",2,3))),"")</f>
        <v>70</v>
      </c>
      <c r="Y258" s="66">
        <f t="shared" ref="Y258:Y321" si="35">IFERROR(($X258-$W258)/$X258,"")</f>
        <v>0.63314285714285712</v>
      </c>
      <c r="Z258" s="48" t="str">
        <f>"[20 oz = 16 oz x "&amp;TEXT($AB$2,"0.00")&amp;"] "&amp;Z33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59" spans="1:26" x14ac:dyDescent="0.25">
      <c r="A259" s="4" t="str">
        <f t="shared" si="33"/>
        <v>Whip Cheese|20 oz|50%</v>
      </c>
      <c r="B259" s="4" t="s">
        <v>70</v>
      </c>
      <c r="C259" s="4" t="s">
        <v>1046</v>
      </c>
      <c r="D259" s="4" t="s">
        <v>7</v>
      </c>
      <c r="E259" s="63">
        <f t="shared" ref="E259:U259" si="36">ROUND(E34*$AB$2,1)</f>
        <v>143.80000000000001</v>
      </c>
      <c r="F259" s="63">
        <f t="shared" si="36"/>
        <v>0</v>
      </c>
      <c r="G259" s="63">
        <f t="shared" si="36"/>
        <v>62.5</v>
      </c>
      <c r="H259" s="63">
        <f t="shared" si="36"/>
        <v>18.8</v>
      </c>
      <c r="I259" s="63">
        <f t="shared" si="36"/>
        <v>0</v>
      </c>
      <c r="J259" s="63">
        <f t="shared" si="36"/>
        <v>30.9</v>
      </c>
      <c r="K259" s="63">
        <f t="shared" si="36"/>
        <v>0</v>
      </c>
      <c r="L259" s="63">
        <f t="shared" si="36"/>
        <v>0</v>
      </c>
      <c r="M259" s="63">
        <f t="shared" si="36"/>
        <v>0</v>
      </c>
      <c r="N259" s="63">
        <f t="shared" si="36"/>
        <v>0</v>
      </c>
      <c r="O259" s="63">
        <f t="shared" si="36"/>
        <v>0</v>
      </c>
      <c r="P259" s="63">
        <f t="shared" si="36"/>
        <v>0</v>
      </c>
      <c r="Q259" s="63">
        <f t="shared" si="36"/>
        <v>0</v>
      </c>
      <c r="R259" s="63">
        <f t="shared" si="36"/>
        <v>62.5</v>
      </c>
      <c r="S259" s="63">
        <f t="shared" si="36"/>
        <v>250</v>
      </c>
      <c r="T259" s="63">
        <f t="shared" si="36"/>
        <v>0</v>
      </c>
      <c r="U259" s="63">
        <f t="shared" si="36"/>
        <v>0</v>
      </c>
      <c r="V259" s="65">
        <f t="shared" si="16"/>
        <v>256</v>
      </c>
      <c r="W259" s="8">
        <f>ROUND(E259*ต้นทุนและราคา!$C$4+F259*ต้นทุนและราคา!$C$5+G259*ต้นทุนและราคา!$C$6+H259*ต้นทุนและราคา!$C$7+I259*ต้นทุนและราคา!$C$8+J259*ต้นทุนและราคา!$C$9+K259*ต้นทุนและราคา!$C$10+L259*ต้นทุนและราคา!$C$11+M259*ต้นทุนและราคา!$C$12+N259*ต้นทุนและราคา!$C$13+O259*ต้นทุนและราคา!$C$14+P259*ต้นทุนและราคา!$C$15+Q259*ต้นทุนและราคา!$C$16+R259*ต้นทุนและราคา!$C$17+S259*ต้นทุนและราคา!$C$18+T259*ต้นทุนและราคา!$C$19+U259*ต้นทุนและราคา!$C$20+IF($C259="16 oz",ต้นทุนและราคา!$C$21,IF($C259="20 oz",ต้นทุนและราคา!$C$22,ต้นทุนและราคา!$C$23)),2)</f>
        <v>25.79</v>
      </c>
      <c r="X259" s="64" cm="1">
        <f t="array" ref="X259">IFERROR(INDEX(ต้นทุนและราคา!$C$26:$E$101,MATCH($B259,ต้นทุนและราคา!$A$26:$A$101,0),IF($C259="16 oz",1,IF($C259="20 oz",2,3))),"")</f>
        <v>70</v>
      </c>
      <c r="Y259" s="66">
        <f t="shared" si="35"/>
        <v>0.63157142857142856</v>
      </c>
      <c r="Z259" s="48" t="str">
        <f>"[20 oz = 16 oz x "&amp;TEXT($AB$2,"0.00")&amp;"] "&amp;Z34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0" spans="1:26" x14ac:dyDescent="0.25">
      <c r="A260" s="4" t="str">
        <f t="shared" si="33"/>
        <v>Whip Cheese|20 oz|75%</v>
      </c>
      <c r="B260" s="4" t="s">
        <v>70</v>
      </c>
      <c r="C260" s="4" t="s">
        <v>1046</v>
      </c>
      <c r="D260" s="4" t="s">
        <v>65</v>
      </c>
      <c r="E260" s="63">
        <f t="shared" ref="E260:U260" si="37">ROUND(E35*$AB$2,1)</f>
        <v>143.80000000000001</v>
      </c>
      <c r="F260" s="63">
        <f t="shared" si="37"/>
        <v>0</v>
      </c>
      <c r="G260" s="63">
        <f t="shared" si="37"/>
        <v>62.5</v>
      </c>
      <c r="H260" s="63">
        <f t="shared" si="37"/>
        <v>18.8</v>
      </c>
      <c r="I260" s="63">
        <f t="shared" si="37"/>
        <v>0</v>
      </c>
      <c r="J260" s="63">
        <f t="shared" si="37"/>
        <v>37.1</v>
      </c>
      <c r="K260" s="63">
        <f t="shared" si="37"/>
        <v>0</v>
      </c>
      <c r="L260" s="63">
        <f t="shared" si="37"/>
        <v>0</v>
      </c>
      <c r="M260" s="63">
        <f t="shared" si="37"/>
        <v>0</v>
      </c>
      <c r="N260" s="63">
        <f t="shared" si="37"/>
        <v>0</v>
      </c>
      <c r="O260" s="63">
        <f t="shared" si="37"/>
        <v>0</v>
      </c>
      <c r="P260" s="63">
        <f t="shared" si="37"/>
        <v>0</v>
      </c>
      <c r="Q260" s="63">
        <f t="shared" si="37"/>
        <v>0</v>
      </c>
      <c r="R260" s="63">
        <f t="shared" si="37"/>
        <v>62.5</v>
      </c>
      <c r="S260" s="63">
        <f t="shared" si="37"/>
        <v>250</v>
      </c>
      <c r="T260" s="63">
        <f t="shared" si="37"/>
        <v>0</v>
      </c>
      <c r="U260" s="63">
        <f t="shared" si="37"/>
        <v>0</v>
      </c>
      <c r="V260" s="65">
        <f t="shared" si="16"/>
        <v>262.20000000000005</v>
      </c>
      <c r="W260" s="8">
        <f>ROUND(E260*ต้นทุนและราคา!$C$4+F260*ต้นทุนและราคา!$C$5+G260*ต้นทุนและราคา!$C$6+H260*ต้นทุนและราคา!$C$7+I260*ต้นทุนและราคา!$C$8+J260*ต้นทุนและราคา!$C$9+K260*ต้นทุนและราคา!$C$10+L260*ต้นทุนและราคา!$C$11+M260*ต้นทุนและราคา!$C$12+N260*ต้นทุนและราคา!$C$13+O260*ต้นทุนและราคา!$C$14+P260*ต้นทุนและราคา!$C$15+Q260*ต้นทุนและราคา!$C$16+R260*ต้นทุนและราคา!$C$17+S260*ต้นทุนและราคา!$C$18+T260*ต้นทุนและราคา!$C$19+U260*ต้นทุนและราคา!$C$20+IF($C260="16 oz",ต้นทุนและราคา!$C$21,IF($C260="20 oz",ต้นทุนและราคา!$C$22,ต้นทุนและราคา!$C$23)),2)</f>
        <v>25.89</v>
      </c>
      <c r="X260" s="64" cm="1">
        <f t="array" ref="X260">IFERROR(INDEX(ต้นทุนและราคา!$C$26:$E$101,MATCH($B260,ต้นทุนและราคา!$A$26:$A$101,0),IF($C260="16 oz",1,IF($C260="20 oz",2,3))),"")</f>
        <v>70</v>
      </c>
      <c r="Y260" s="66">
        <f t="shared" si="35"/>
        <v>0.63014285714285712</v>
      </c>
      <c r="Z260" s="48" t="str">
        <f>"[20 oz = 16 oz x "&amp;TEXT($AB$2,"0.00")&amp;"] "&amp;Z35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1" spans="1:26" x14ac:dyDescent="0.25">
      <c r="A261" s="4" t="str">
        <f t="shared" si="33"/>
        <v>Whip Cheese|20 oz|100%</v>
      </c>
      <c r="B261" s="4" t="s">
        <v>70</v>
      </c>
      <c r="C261" s="4" t="s">
        <v>1046</v>
      </c>
      <c r="D261" s="4" t="s">
        <v>66</v>
      </c>
      <c r="E261" s="63">
        <f t="shared" ref="E261:U261" si="38">ROUND(E36*$AB$2,1)</f>
        <v>143.80000000000001</v>
      </c>
      <c r="F261" s="63">
        <f t="shared" si="38"/>
        <v>0</v>
      </c>
      <c r="G261" s="63">
        <f t="shared" si="38"/>
        <v>62.5</v>
      </c>
      <c r="H261" s="63">
        <f t="shared" si="38"/>
        <v>18.8</v>
      </c>
      <c r="I261" s="63">
        <f t="shared" si="38"/>
        <v>0</v>
      </c>
      <c r="J261" s="63">
        <f t="shared" si="38"/>
        <v>43.4</v>
      </c>
      <c r="K261" s="63">
        <f t="shared" si="38"/>
        <v>0</v>
      </c>
      <c r="L261" s="63">
        <f t="shared" si="38"/>
        <v>0</v>
      </c>
      <c r="M261" s="63">
        <f t="shared" si="38"/>
        <v>0</v>
      </c>
      <c r="N261" s="63">
        <f t="shared" si="38"/>
        <v>0</v>
      </c>
      <c r="O261" s="63">
        <f t="shared" si="38"/>
        <v>0</v>
      </c>
      <c r="P261" s="63">
        <f t="shared" si="38"/>
        <v>0</v>
      </c>
      <c r="Q261" s="63">
        <f t="shared" si="38"/>
        <v>0</v>
      </c>
      <c r="R261" s="63">
        <f t="shared" si="38"/>
        <v>62.5</v>
      </c>
      <c r="S261" s="63">
        <f t="shared" si="38"/>
        <v>250</v>
      </c>
      <c r="T261" s="63">
        <f t="shared" si="38"/>
        <v>0</v>
      </c>
      <c r="U261" s="63">
        <f t="shared" si="38"/>
        <v>0</v>
      </c>
      <c r="V261" s="65">
        <f t="shared" si="16"/>
        <v>268.5</v>
      </c>
      <c r="W261" s="8">
        <f>ROUND(E261*ต้นทุนและราคา!$C$4+F261*ต้นทุนและราคา!$C$5+G261*ต้นทุนและราคา!$C$6+H261*ต้นทุนและราคา!$C$7+I261*ต้นทุนและราคา!$C$8+J261*ต้นทุนและราคา!$C$9+K261*ต้นทุนและราคา!$C$10+L261*ต้นทุนและราคา!$C$11+M261*ต้นทุนและราคา!$C$12+N261*ต้นทุนและราคา!$C$13+O261*ต้นทุนและราคา!$C$14+P261*ต้นทุนและราคา!$C$15+Q261*ต้นทุนและราคา!$C$16+R261*ต้นทุนและราคา!$C$17+S261*ต้นทุนและราคา!$C$18+T261*ต้นทุนและราคา!$C$19+U261*ต้นทุนและราคา!$C$20+IF($C261="16 oz",ต้นทุนและราคา!$C$21,IF($C261="20 oz",ต้นทุนและราคา!$C$22,ต้นทุนและราคา!$C$23)),2)</f>
        <v>25.99</v>
      </c>
      <c r="X261" s="64" cm="1">
        <f t="array" ref="X261">IFERROR(INDEX(ต้นทุนและราคา!$C$26:$E$101,MATCH($B261,ต้นทุนและราคา!$A$26:$A$101,0),IF($C261="16 oz",1,IF($C261="20 oz",2,3))),"")</f>
        <v>70</v>
      </c>
      <c r="Y261" s="66">
        <f t="shared" si="35"/>
        <v>0.62871428571428578</v>
      </c>
      <c r="Z261" s="48" t="str">
        <f>"[20 oz = 16 oz x "&amp;TEXT($AB$2,"0.00")&amp;"] "&amp;Z36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2" spans="1:26" x14ac:dyDescent="0.25">
      <c r="A262" s="4" t="str">
        <f t="shared" si="33"/>
        <v>Orange Latte|20 oz|0%</v>
      </c>
      <c r="B262" s="4" t="s">
        <v>71</v>
      </c>
      <c r="C262" s="4" t="s">
        <v>1046</v>
      </c>
      <c r="D262" s="4" t="s">
        <v>63</v>
      </c>
      <c r="E262" s="63">
        <f t="shared" ref="E262:U262" si="39">ROUND(E42*$AB$2,1)</f>
        <v>93.8</v>
      </c>
      <c r="F262" s="63">
        <f t="shared" si="39"/>
        <v>0</v>
      </c>
      <c r="G262" s="63">
        <f t="shared" si="39"/>
        <v>27.5</v>
      </c>
      <c r="H262" s="63">
        <f t="shared" si="39"/>
        <v>22.5</v>
      </c>
      <c r="I262" s="63">
        <f t="shared" si="39"/>
        <v>0</v>
      </c>
      <c r="J262" s="63">
        <f t="shared" si="39"/>
        <v>0</v>
      </c>
      <c r="K262" s="63">
        <f t="shared" si="39"/>
        <v>0</v>
      </c>
      <c r="L262" s="63">
        <f t="shared" si="39"/>
        <v>0</v>
      </c>
      <c r="M262" s="63">
        <f t="shared" si="39"/>
        <v>100</v>
      </c>
      <c r="N262" s="63">
        <f t="shared" si="39"/>
        <v>0</v>
      </c>
      <c r="O262" s="63">
        <f t="shared" si="39"/>
        <v>0</v>
      </c>
      <c r="P262" s="63">
        <f t="shared" si="39"/>
        <v>0</v>
      </c>
      <c r="Q262" s="63">
        <f t="shared" si="39"/>
        <v>0</v>
      </c>
      <c r="R262" s="63">
        <f t="shared" si="39"/>
        <v>0</v>
      </c>
      <c r="S262" s="63">
        <f t="shared" si="39"/>
        <v>300</v>
      </c>
      <c r="T262" s="63">
        <f t="shared" si="39"/>
        <v>0</v>
      </c>
      <c r="U262" s="63">
        <f t="shared" si="39"/>
        <v>0</v>
      </c>
      <c r="V262" s="65">
        <f t="shared" si="16"/>
        <v>243.8</v>
      </c>
      <c r="W262" s="8">
        <f>ROUND(E262*ต้นทุนและราคา!$C$4+F262*ต้นทุนและราคา!$C$5+G262*ต้นทุนและราคา!$C$6+H262*ต้นทุนและราคา!$C$7+I262*ต้นทุนและราคา!$C$8+J262*ต้นทุนและราคา!$C$9+K262*ต้นทุนและราคา!$C$10+L262*ต้นทุนและราคา!$C$11+M262*ต้นทุนและราคา!$C$12+N262*ต้นทุนและราคา!$C$13+O262*ต้นทุนและราคา!$C$14+P262*ต้นทุนและราคา!$C$15+Q262*ต้นทุนและราคา!$C$16+R262*ต้นทุนและราคา!$C$17+S262*ต้นทุนและราคา!$C$18+T262*ต้นทุนและราคา!$C$19+U262*ต้นทุนและราคา!$C$20+IF($C262="16 oz",ต้นทุนและราคา!$C$21,IF($C262="20 oz",ต้นทุนและราคา!$C$22,ต้นทุนและราคา!$C$23)),2)</f>
        <v>19.16</v>
      </c>
      <c r="X262" s="64" cm="1">
        <f t="array" ref="X262">IFERROR(INDEX(ต้นทุนและราคา!$C$26:$E$101,MATCH($B262,ต้นทุนและราคา!$A$26:$A$101,0),IF($C262="16 oz",1,IF($C262="20 oz",2,3))),"")</f>
        <v>60</v>
      </c>
      <c r="Y262" s="66">
        <f t="shared" si="35"/>
        <v>0.68066666666666675</v>
      </c>
      <c r="Z262" s="48" t="str">
        <f>"[20 oz = 16 oz x "&amp;TEXT($AB$2,"0.00")&amp;"] "&amp;Z42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63" spans="1:26" x14ac:dyDescent="0.25">
      <c r="A263" s="4" t="str">
        <f t="shared" si="33"/>
        <v>Orange Latte|20 oz|25%</v>
      </c>
      <c r="B263" s="4" t="s">
        <v>71</v>
      </c>
      <c r="C263" s="4" t="s">
        <v>1046</v>
      </c>
      <c r="D263" s="4" t="s">
        <v>64</v>
      </c>
      <c r="E263" s="63">
        <f t="shared" ref="E263:U263" si="40">ROUND(E43*$AB$2,1)</f>
        <v>93.8</v>
      </c>
      <c r="F263" s="63">
        <f t="shared" si="40"/>
        <v>0</v>
      </c>
      <c r="G263" s="63">
        <f t="shared" si="40"/>
        <v>27.5</v>
      </c>
      <c r="H263" s="63">
        <f t="shared" si="40"/>
        <v>22.5</v>
      </c>
      <c r="I263" s="63">
        <f t="shared" si="40"/>
        <v>6.3</v>
      </c>
      <c r="J263" s="63">
        <f t="shared" si="40"/>
        <v>12</v>
      </c>
      <c r="K263" s="63">
        <f t="shared" si="40"/>
        <v>0</v>
      </c>
      <c r="L263" s="63">
        <f t="shared" si="40"/>
        <v>0</v>
      </c>
      <c r="M263" s="63">
        <f t="shared" si="40"/>
        <v>100</v>
      </c>
      <c r="N263" s="63">
        <f t="shared" si="40"/>
        <v>0</v>
      </c>
      <c r="O263" s="63">
        <f t="shared" si="40"/>
        <v>0</v>
      </c>
      <c r="P263" s="63">
        <f t="shared" si="40"/>
        <v>0</v>
      </c>
      <c r="Q263" s="63">
        <f t="shared" si="40"/>
        <v>0</v>
      </c>
      <c r="R263" s="63">
        <f t="shared" si="40"/>
        <v>0</v>
      </c>
      <c r="S263" s="63">
        <f t="shared" si="40"/>
        <v>300</v>
      </c>
      <c r="T263" s="63">
        <f t="shared" si="40"/>
        <v>0</v>
      </c>
      <c r="U263" s="63">
        <f t="shared" si="40"/>
        <v>0</v>
      </c>
      <c r="V263" s="65">
        <f t="shared" si="16"/>
        <v>262.10000000000002</v>
      </c>
      <c r="W263" s="8">
        <f>ROUND(E263*ต้นทุนและราคา!$C$4+F263*ต้นทุนและราคา!$C$5+G263*ต้นทุนและราคา!$C$6+H263*ต้นทุนและราคา!$C$7+I263*ต้นทุนและราคา!$C$8+J263*ต้นทุนและราคา!$C$9+K263*ต้นทุนและราคา!$C$10+L263*ต้นทุนและราคา!$C$11+M263*ต้นทุนและราคา!$C$12+N263*ต้นทุนและราคา!$C$13+O263*ต้นทุนและราคา!$C$14+P263*ต้นทุนและราคา!$C$15+Q263*ต้นทุนและราคา!$C$16+R263*ต้นทุนและราคา!$C$17+S263*ต้นทุนและราคา!$C$18+T263*ต้นทุนและราคา!$C$19+U263*ต้นทุนและราคา!$C$20+IF($C263="16 oz",ต้นทุนและราคา!$C$21,IF($C263="20 oz",ต้นทุนและราคา!$C$22,ต้นทุนและราคา!$C$23)),2)</f>
        <v>19.8</v>
      </c>
      <c r="X263" s="64" cm="1">
        <f t="array" ref="X263">IFERROR(INDEX(ต้นทุนและราคา!$C$26:$E$101,MATCH($B263,ต้นทุนและราคา!$A$26:$A$101,0),IF($C263="16 oz",1,IF($C263="20 oz",2,3))),"")</f>
        <v>60</v>
      </c>
      <c r="Y263" s="66">
        <f t="shared" si="35"/>
        <v>0.67</v>
      </c>
      <c r="Z263" s="48" t="str">
        <f>"[20 oz = 16 oz x "&amp;TEXT($AB$2,"0.00")&amp;"] "&amp;Z43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4" spans="1:26" x14ac:dyDescent="0.25">
      <c r="A264" s="4" t="str">
        <f t="shared" si="33"/>
        <v>Orange Latte|20 oz|50%</v>
      </c>
      <c r="B264" s="4" t="s">
        <v>71</v>
      </c>
      <c r="C264" s="4" t="s">
        <v>1046</v>
      </c>
      <c r="D264" s="4" t="s">
        <v>7</v>
      </c>
      <c r="E264" s="63">
        <f t="shared" ref="E264:U264" si="41">ROUND(E44*$AB$2,1)</f>
        <v>93.8</v>
      </c>
      <c r="F264" s="63">
        <f t="shared" si="41"/>
        <v>0</v>
      </c>
      <c r="G264" s="63">
        <f t="shared" si="41"/>
        <v>27.5</v>
      </c>
      <c r="H264" s="63">
        <f t="shared" si="41"/>
        <v>22.5</v>
      </c>
      <c r="I264" s="63">
        <f t="shared" si="41"/>
        <v>12.5</v>
      </c>
      <c r="J264" s="63">
        <f t="shared" si="41"/>
        <v>12</v>
      </c>
      <c r="K264" s="63">
        <f t="shared" si="41"/>
        <v>0</v>
      </c>
      <c r="L264" s="63">
        <f t="shared" si="41"/>
        <v>0</v>
      </c>
      <c r="M264" s="63">
        <f t="shared" si="41"/>
        <v>100</v>
      </c>
      <c r="N264" s="63">
        <f t="shared" si="41"/>
        <v>0</v>
      </c>
      <c r="O264" s="63">
        <f t="shared" si="41"/>
        <v>0</v>
      </c>
      <c r="P264" s="63">
        <f t="shared" si="41"/>
        <v>0</v>
      </c>
      <c r="Q264" s="63">
        <f t="shared" si="41"/>
        <v>0</v>
      </c>
      <c r="R264" s="63">
        <f t="shared" si="41"/>
        <v>0</v>
      </c>
      <c r="S264" s="63">
        <f t="shared" si="41"/>
        <v>300</v>
      </c>
      <c r="T264" s="63">
        <f t="shared" si="41"/>
        <v>0</v>
      </c>
      <c r="U264" s="63">
        <f t="shared" si="41"/>
        <v>0</v>
      </c>
      <c r="V264" s="65">
        <f t="shared" si="16"/>
        <v>268.3</v>
      </c>
      <c r="W264" s="8">
        <f>ROUND(E264*ต้นทุนและราคา!$C$4+F264*ต้นทุนและราคา!$C$5+G264*ต้นทุนและราคา!$C$6+H264*ต้นทุนและราคา!$C$7+I264*ต้นทุนและราคา!$C$8+J264*ต้นทุนและราคา!$C$9+K264*ต้นทุนและราคา!$C$10+L264*ต้นทุนและราคา!$C$11+M264*ต้นทุนและราคา!$C$12+N264*ต้นทุนและราคา!$C$13+O264*ต้นทุนและราคา!$C$14+P264*ต้นทุนและราคา!$C$15+Q264*ต้นทุนและราคา!$C$16+R264*ต้นทุนและราคา!$C$17+S264*ต้นทุนและราคา!$C$18+T264*ต้นทุนและราคา!$C$19+U264*ต้นทุนและราคา!$C$20+IF($C264="16 oz",ต้นทุนและราคา!$C$21,IF($C264="20 oz",ต้นทุนและราคา!$C$22,ต้นทุนและราคา!$C$23)),2)</f>
        <v>20.23</v>
      </c>
      <c r="X264" s="64" cm="1">
        <f t="array" ref="X264">IFERROR(INDEX(ต้นทุนและราคา!$C$26:$E$101,MATCH($B264,ต้นทุนและราคา!$A$26:$A$101,0),IF($C264="16 oz",1,IF($C264="20 oz",2,3))),"")</f>
        <v>60</v>
      </c>
      <c r="Y264" s="66">
        <f t="shared" si="35"/>
        <v>0.66283333333333327</v>
      </c>
      <c r="Z264" s="48" t="str">
        <f>"[20 oz = 16 oz x "&amp;TEXT($AB$2,"0.00")&amp;"] "&amp;Z44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5" spans="1:26" x14ac:dyDescent="0.25">
      <c r="A265" s="4" t="str">
        <f t="shared" si="33"/>
        <v>Orange Latte|20 oz|75%</v>
      </c>
      <c r="B265" s="4" t="s">
        <v>71</v>
      </c>
      <c r="C265" s="4" t="s">
        <v>1046</v>
      </c>
      <c r="D265" s="4" t="s">
        <v>65</v>
      </c>
      <c r="E265" s="63">
        <f t="shared" ref="E265:U265" si="42">ROUND(E45*$AB$2,1)</f>
        <v>93.8</v>
      </c>
      <c r="F265" s="63">
        <f t="shared" si="42"/>
        <v>0</v>
      </c>
      <c r="G265" s="63">
        <f t="shared" si="42"/>
        <v>27.5</v>
      </c>
      <c r="H265" s="63">
        <f t="shared" si="42"/>
        <v>22.5</v>
      </c>
      <c r="I265" s="63">
        <f t="shared" si="42"/>
        <v>18.8</v>
      </c>
      <c r="J265" s="63">
        <f t="shared" si="42"/>
        <v>12</v>
      </c>
      <c r="K265" s="63">
        <f t="shared" si="42"/>
        <v>0</v>
      </c>
      <c r="L265" s="63">
        <f t="shared" si="42"/>
        <v>0</v>
      </c>
      <c r="M265" s="63">
        <f t="shared" si="42"/>
        <v>100</v>
      </c>
      <c r="N265" s="63">
        <f t="shared" si="42"/>
        <v>0</v>
      </c>
      <c r="O265" s="63">
        <f t="shared" si="42"/>
        <v>0</v>
      </c>
      <c r="P265" s="63">
        <f t="shared" si="42"/>
        <v>0</v>
      </c>
      <c r="Q265" s="63">
        <f t="shared" si="42"/>
        <v>0</v>
      </c>
      <c r="R265" s="63">
        <f t="shared" si="42"/>
        <v>0</v>
      </c>
      <c r="S265" s="63">
        <f t="shared" si="42"/>
        <v>300</v>
      </c>
      <c r="T265" s="63">
        <f t="shared" si="42"/>
        <v>0</v>
      </c>
      <c r="U265" s="63">
        <f t="shared" si="42"/>
        <v>0</v>
      </c>
      <c r="V265" s="65">
        <f t="shared" si="16"/>
        <v>274.60000000000002</v>
      </c>
      <c r="W265" s="8">
        <f>ROUND(E265*ต้นทุนและราคา!$C$4+F265*ต้นทุนและราคา!$C$5+G265*ต้นทุนและราคา!$C$6+H265*ต้นทุนและราคา!$C$7+I265*ต้นทุนและราคา!$C$8+J265*ต้นทุนและราคา!$C$9+K265*ต้นทุนและราคา!$C$10+L265*ต้นทุนและราคา!$C$11+M265*ต้นทุนและราคา!$C$12+N265*ต้นทุนและราคา!$C$13+O265*ต้นทุนและราคา!$C$14+P265*ต้นทุนและราคา!$C$15+Q265*ต้นทุนและราคา!$C$16+R265*ต้นทุนและราคา!$C$17+S265*ต้นทุนและราคา!$C$18+T265*ต้นทุนและราคา!$C$19+U265*ต้นทุนและราคา!$C$20+IF($C265="16 oz",ต้นทุนและราคา!$C$21,IF($C265="20 oz",ต้นทุนและราคา!$C$22,ต้นทุนและราคา!$C$23)),2)</f>
        <v>20.67</v>
      </c>
      <c r="X265" s="64" cm="1">
        <f t="array" ref="X265">IFERROR(INDEX(ต้นทุนและราคา!$C$26:$E$101,MATCH($B265,ต้นทุนและราคา!$A$26:$A$101,0),IF($C265="16 oz",1,IF($C265="20 oz",2,3))),"")</f>
        <v>60</v>
      </c>
      <c r="Y265" s="66">
        <f t="shared" si="35"/>
        <v>0.65549999999999997</v>
      </c>
      <c r="Z265" s="48" t="str">
        <f>"[20 oz = 16 oz x "&amp;TEXT($AB$2,"0.00")&amp;"] "&amp;Z45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6" spans="1:26" x14ac:dyDescent="0.25">
      <c r="A266" s="4" t="str">
        <f t="shared" si="33"/>
        <v>Orange Latte|20 oz|100%</v>
      </c>
      <c r="B266" s="4" t="s">
        <v>71</v>
      </c>
      <c r="C266" s="4" t="s">
        <v>1046</v>
      </c>
      <c r="D266" s="4" t="s">
        <v>66</v>
      </c>
      <c r="E266" s="63">
        <f t="shared" ref="E266:U266" si="43">ROUND(E46*$AB$2,1)</f>
        <v>93.8</v>
      </c>
      <c r="F266" s="63">
        <f t="shared" si="43"/>
        <v>0</v>
      </c>
      <c r="G266" s="63">
        <f t="shared" si="43"/>
        <v>27.5</v>
      </c>
      <c r="H266" s="63">
        <f t="shared" si="43"/>
        <v>22.5</v>
      </c>
      <c r="I266" s="63">
        <f t="shared" si="43"/>
        <v>25</v>
      </c>
      <c r="J266" s="63">
        <f t="shared" si="43"/>
        <v>12</v>
      </c>
      <c r="K266" s="63">
        <f t="shared" si="43"/>
        <v>0</v>
      </c>
      <c r="L266" s="63">
        <f t="shared" si="43"/>
        <v>0</v>
      </c>
      <c r="M266" s="63">
        <f t="shared" si="43"/>
        <v>100</v>
      </c>
      <c r="N266" s="63">
        <f t="shared" si="43"/>
        <v>0</v>
      </c>
      <c r="O266" s="63">
        <f t="shared" si="43"/>
        <v>0</v>
      </c>
      <c r="P266" s="63">
        <f t="shared" si="43"/>
        <v>0</v>
      </c>
      <c r="Q266" s="63">
        <f t="shared" si="43"/>
        <v>0</v>
      </c>
      <c r="R266" s="63">
        <f t="shared" si="43"/>
        <v>0</v>
      </c>
      <c r="S266" s="63">
        <f t="shared" si="43"/>
        <v>300</v>
      </c>
      <c r="T266" s="63">
        <f t="shared" si="43"/>
        <v>0</v>
      </c>
      <c r="U266" s="63">
        <f t="shared" si="43"/>
        <v>0</v>
      </c>
      <c r="V266" s="65">
        <f t="shared" si="16"/>
        <v>280.8</v>
      </c>
      <c r="W266" s="8">
        <f>ROUND(E266*ต้นทุนและราคา!$C$4+F266*ต้นทุนและราคา!$C$5+G266*ต้นทุนและราคา!$C$6+H266*ต้นทุนและราคา!$C$7+I266*ต้นทุนและราคา!$C$8+J266*ต้นทุนและราคา!$C$9+K266*ต้นทุนและราคา!$C$10+L266*ต้นทุนและราคา!$C$11+M266*ต้นทุนและราคา!$C$12+N266*ต้นทุนและราคา!$C$13+O266*ต้นทุนและราคา!$C$14+P266*ต้นทุนและราคา!$C$15+Q266*ต้นทุนและราคา!$C$16+R266*ต้นทุนและราคา!$C$17+S266*ต้นทุนและราคา!$C$18+T266*ต้นทุนและราคา!$C$19+U266*ต้นทุนและราคา!$C$20+IF($C266="16 oz",ต้นทุนและราคา!$C$21,IF($C266="20 oz",ต้นทุนและราคา!$C$22,ต้นทุนและราคา!$C$23)),2)</f>
        <v>21.1</v>
      </c>
      <c r="X266" s="64" cm="1">
        <f t="array" ref="X266">IFERROR(INDEX(ต้นทุนและราคา!$C$26:$E$101,MATCH($B266,ต้นทุนและราคา!$A$26:$A$101,0),IF($C266="16 oz",1,IF($C266="20 oz",2,3))),"")</f>
        <v>60</v>
      </c>
      <c r="Y266" s="66">
        <f t="shared" si="35"/>
        <v>0.64833333333333332</v>
      </c>
      <c r="Z266" s="48" t="str">
        <f>"[20 oz = 16 oz x "&amp;TEXT($AB$2,"0.00")&amp;"] "&amp;Z46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7" spans="1:26" x14ac:dyDescent="0.25">
      <c r="A267" s="4" t="str">
        <f t="shared" si="33"/>
        <v>Cocoa|20 oz|0%</v>
      </c>
      <c r="B267" s="4" t="s">
        <v>72</v>
      </c>
      <c r="C267" s="4" t="s">
        <v>1046</v>
      </c>
      <c r="D267" s="4" t="s">
        <v>63</v>
      </c>
      <c r="E267" s="63">
        <f t="shared" ref="E267:U267" si="44">ROUND(E52*$AB$2,1)</f>
        <v>156.30000000000001</v>
      </c>
      <c r="F267" s="63">
        <f t="shared" si="44"/>
        <v>0</v>
      </c>
      <c r="G267" s="63">
        <f t="shared" si="44"/>
        <v>43.8</v>
      </c>
      <c r="H267" s="63">
        <f t="shared" si="44"/>
        <v>31.3</v>
      </c>
      <c r="I267" s="63">
        <f t="shared" si="44"/>
        <v>0</v>
      </c>
      <c r="J267" s="63">
        <f t="shared" si="44"/>
        <v>0</v>
      </c>
      <c r="K267" s="63">
        <f t="shared" si="44"/>
        <v>0</v>
      </c>
      <c r="L267" s="63">
        <f t="shared" si="44"/>
        <v>7.5</v>
      </c>
      <c r="M267" s="63">
        <f t="shared" si="44"/>
        <v>0</v>
      </c>
      <c r="N267" s="63">
        <f t="shared" si="44"/>
        <v>0</v>
      </c>
      <c r="O267" s="63">
        <f t="shared" si="44"/>
        <v>0</v>
      </c>
      <c r="P267" s="63">
        <f t="shared" si="44"/>
        <v>0</v>
      </c>
      <c r="Q267" s="63">
        <f t="shared" si="44"/>
        <v>0</v>
      </c>
      <c r="R267" s="63">
        <f t="shared" si="44"/>
        <v>0</v>
      </c>
      <c r="S267" s="63">
        <f t="shared" si="44"/>
        <v>300</v>
      </c>
      <c r="T267" s="63">
        <f t="shared" si="44"/>
        <v>0</v>
      </c>
      <c r="U267" s="63">
        <f t="shared" si="44"/>
        <v>0</v>
      </c>
      <c r="V267" s="65">
        <f t="shared" si="16"/>
        <v>231.40000000000003</v>
      </c>
      <c r="W267" s="8">
        <f>ROUND(E267*ต้นทุนและราคา!$C$4+F267*ต้นทุนและราคา!$C$5+G267*ต้นทุนและราคา!$C$6+H267*ต้นทุนและราคา!$C$7+I267*ต้นทุนและราคา!$C$8+J267*ต้นทุนและราคา!$C$9+K267*ต้นทุนและราคา!$C$10+L267*ต้นทุนและราคา!$C$11+M267*ต้นทุนและราคา!$C$12+N267*ต้นทุนและราคา!$C$13+O267*ต้นทุนและราคา!$C$14+P267*ต้นทุนและราคา!$C$15+Q267*ต้นทุนและราคา!$C$16+R267*ต้นทุนและราคา!$C$17+S267*ต้นทุนและราคา!$C$18+T267*ต้นทุนและราคา!$C$19+U267*ต้นทุนและราคา!$C$20+IF($C267="16 oz",ต้นทุนและราคา!$C$21,IF($C267="20 oz",ต้นทุนและราคา!$C$22,ต้นทุนและราคา!$C$23)),2)</f>
        <v>20.85</v>
      </c>
      <c r="X267" s="64" cm="1">
        <f t="array" ref="X267">IFERROR(INDEX(ต้นทุนและราคา!$C$26:$E$101,MATCH($B267,ต้นทุนและราคา!$A$26:$A$101,0),IF($C267="16 oz",1,IF($C267="20 oz",2,3))),"")</f>
        <v>60</v>
      </c>
      <c r="Y267" s="66">
        <f t="shared" si="35"/>
        <v>0.65249999999999997</v>
      </c>
      <c r="Z267" s="48" t="str">
        <f>"[20 oz = 16 oz x "&amp;TEXT($AB$2,"0.00")&amp;"] "&amp;Z52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68" spans="1:26" x14ac:dyDescent="0.25">
      <c r="A268" s="4" t="str">
        <f t="shared" si="33"/>
        <v>Cocoa|20 oz|25%</v>
      </c>
      <c r="B268" s="4" t="s">
        <v>72</v>
      </c>
      <c r="C268" s="4" t="s">
        <v>1046</v>
      </c>
      <c r="D268" s="4" t="s">
        <v>64</v>
      </c>
      <c r="E268" s="63">
        <f t="shared" ref="E268:U268" si="45">ROUND(E53*$AB$2,1)</f>
        <v>156.30000000000001</v>
      </c>
      <c r="F268" s="63">
        <f t="shared" si="45"/>
        <v>0</v>
      </c>
      <c r="G268" s="63">
        <f t="shared" si="45"/>
        <v>43.8</v>
      </c>
      <c r="H268" s="63">
        <f t="shared" si="45"/>
        <v>31.3</v>
      </c>
      <c r="I268" s="63">
        <f t="shared" si="45"/>
        <v>7.5</v>
      </c>
      <c r="J268" s="63">
        <f t="shared" si="45"/>
        <v>20</v>
      </c>
      <c r="K268" s="63">
        <f t="shared" si="45"/>
        <v>0</v>
      </c>
      <c r="L268" s="63">
        <f t="shared" si="45"/>
        <v>7.5</v>
      </c>
      <c r="M268" s="63">
        <f t="shared" si="45"/>
        <v>0</v>
      </c>
      <c r="N268" s="63">
        <f t="shared" si="45"/>
        <v>0</v>
      </c>
      <c r="O268" s="63">
        <f t="shared" si="45"/>
        <v>0</v>
      </c>
      <c r="P268" s="63">
        <f t="shared" si="45"/>
        <v>0</v>
      </c>
      <c r="Q268" s="63">
        <f t="shared" si="45"/>
        <v>0</v>
      </c>
      <c r="R268" s="63">
        <f t="shared" si="45"/>
        <v>0</v>
      </c>
      <c r="S268" s="63">
        <f t="shared" si="45"/>
        <v>300</v>
      </c>
      <c r="T268" s="63">
        <f t="shared" si="45"/>
        <v>0</v>
      </c>
      <c r="U268" s="63">
        <f t="shared" si="45"/>
        <v>0</v>
      </c>
      <c r="V268" s="65">
        <f t="shared" si="16"/>
        <v>258.90000000000003</v>
      </c>
      <c r="W268" s="8">
        <f>ROUND(E268*ต้นทุนและราคา!$C$4+F268*ต้นทุนและราคา!$C$5+G268*ต้นทุนและราคา!$C$6+H268*ต้นทุนและราคา!$C$7+I268*ต้นทุนและราคา!$C$8+J268*ต้นทุนและราคา!$C$9+K268*ต้นทุนและราคา!$C$10+L268*ต้นทุนและราคา!$C$11+M268*ต้นทุนและราคา!$C$12+N268*ต้นทุนและราคา!$C$13+O268*ต้นทุนและราคา!$C$14+P268*ต้นทุนและราคา!$C$15+Q268*ต้นทุนและราคา!$C$16+R268*ต้นทุนและราคา!$C$17+S268*ต้นทุนและราคา!$C$18+T268*ต้นทุนและราคา!$C$19+U268*ต้นทุนและราคา!$C$20+IF($C268="16 oz",ต้นทุนและราคา!$C$21,IF($C268="20 oz",ต้นทุนและราคา!$C$22,ต้นทุนและราคา!$C$23)),2)</f>
        <v>21.7</v>
      </c>
      <c r="X268" s="64" cm="1">
        <f t="array" ref="X268">IFERROR(INDEX(ต้นทุนและราคา!$C$26:$E$101,MATCH($B268,ต้นทุนและราคา!$A$26:$A$101,0),IF($C268="16 oz",1,IF($C268="20 oz",2,3))),"")</f>
        <v>60</v>
      </c>
      <c r="Y268" s="66">
        <f t="shared" si="35"/>
        <v>0.63833333333333331</v>
      </c>
      <c r="Z268" s="48" t="str">
        <f>"[20 oz = 16 oz x "&amp;TEXT($AB$2,"0.00")&amp;"] "&amp;Z53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69" spans="1:26" x14ac:dyDescent="0.25">
      <c r="A269" s="4" t="str">
        <f t="shared" si="33"/>
        <v>Cocoa|20 oz|50%</v>
      </c>
      <c r="B269" s="4" t="s">
        <v>72</v>
      </c>
      <c r="C269" s="4" t="s">
        <v>1046</v>
      </c>
      <c r="D269" s="4" t="s">
        <v>7</v>
      </c>
      <c r="E269" s="63">
        <f t="shared" ref="E269:U269" si="46">ROUND(E54*$AB$2,1)</f>
        <v>156.30000000000001</v>
      </c>
      <c r="F269" s="63">
        <f t="shared" si="46"/>
        <v>0</v>
      </c>
      <c r="G269" s="63">
        <f t="shared" si="46"/>
        <v>43.8</v>
      </c>
      <c r="H269" s="63">
        <f t="shared" si="46"/>
        <v>31.3</v>
      </c>
      <c r="I269" s="63">
        <f t="shared" si="46"/>
        <v>15</v>
      </c>
      <c r="J269" s="63">
        <f t="shared" si="46"/>
        <v>20</v>
      </c>
      <c r="K269" s="63">
        <f t="shared" si="46"/>
        <v>0</v>
      </c>
      <c r="L269" s="63">
        <f t="shared" si="46"/>
        <v>7.5</v>
      </c>
      <c r="M269" s="63">
        <f t="shared" si="46"/>
        <v>0</v>
      </c>
      <c r="N269" s="63">
        <f t="shared" si="46"/>
        <v>0</v>
      </c>
      <c r="O269" s="63">
        <f t="shared" si="46"/>
        <v>0</v>
      </c>
      <c r="P269" s="63">
        <f t="shared" si="46"/>
        <v>0</v>
      </c>
      <c r="Q269" s="63">
        <f t="shared" si="46"/>
        <v>0</v>
      </c>
      <c r="R269" s="63">
        <f t="shared" si="46"/>
        <v>0</v>
      </c>
      <c r="S269" s="63">
        <f t="shared" si="46"/>
        <v>300</v>
      </c>
      <c r="T269" s="63">
        <f t="shared" si="46"/>
        <v>0</v>
      </c>
      <c r="U269" s="63">
        <f t="shared" si="46"/>
        <v>0</v>
      </c>
      <c r="V269" s="65">
        <f t="shared" si="16"/>
        <v>266.40000000000003</v>
      </c>
      <c r="W269" s="8">
        <f>ROUND(E269*ต้นทุนและราคา!$C$4+F269*ต้นทุนและราคา!$C$5+G269*ต้นทุนและราคา!$C$6+H269*ต้นทุนและราคา!$C$7+I269*ต้นทุนและราคา!$C$8+J269*ต้นทุนและราคา!$C$9+K269*ต้นทุนและราคา!$C$10+L269*ต้นทุนและราคา!$C$11+M269*ต้นทุนและราคา!$C$12+N269*ต้นทุนและราคา!$C$13+O269*ต้นทุนและราคา!$C$14+P269*ต้นทุนและราคา!$C$15+Q269*ต้นทุนและราคา!$C$16+R269*ต้นทุนและราคา!$C$17+S269*ต้นทุนและราคา!$C$18+T269*ต้นทุนและราคา!$C$19+U269*ต้นทุนและราคา!$C$20+IF($C269="16 oz",ต้นทุนและราคา!$C$21,IF($C269="20 oz",ต้นทุนและราคา!$C$22,ต้นทุนและราคา!$C$23)),2)</f>
        <v>22.22</v>
      </c>
      <c r="X269" s="64" cm="1">
        <f t="array" ref="X269">IFERROR(INDEX(ต้นทุนและราคา!$C$26:$E$101,MATCH($B269,ต้นทุนและราคา!$A$26:$A$101,0),IF($C269="16 oz",1,IF($C269="20 oz",2,3))),"")</f>
        <v>60</v>
      </c>
      <c r="Y269" s="66">
        <f t="shared" si="35"/>
        <v>0.62966666666666671</v>
      </c>
      <c r="Z269" s="48" t="str">
        <f>"[20 oz = 16 oz x "&amp;TEXT($AB$2,"0.00")&amp;"] "&amp;Z54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0" spans="1:26" x14ac:dyDescent="0.25">
      <c r="A270" s="4" t="str">
        <f t="shared" si="33"/>
        <v>Cocoa|20 oz|75%</v>
      </c>
      <c r="B270" s="4" t="s">
        <v>72</v>
      </c>
      <c r="C270" s="4" t="s">
        <v>1046</v>
      </c>
      <c r="D270" s="4" t="s">
        <v>65</v>
      </c>
      <c r="E270" s="63">
        <f t="shared" ref="E270:U270" si="47">ROUND(E55*$AB$2,1)</f>
        <v>156.30000000000001</v>
      </c>
      <c r="F270" s="63">
        <f t="shared" si="47"/>
        <v>0</v>
      </c>
      <c r="G270" s="63">
        <f t="shared" si="47"/>
        <v>43.8</v>
      </c>
      <c r="H270" s="63">
        <f t="shared" si="47"/>
        <v>31.3</v>
      </c>
      <c r="I270" s="63">
        <f t="shared" si="47"/>
        <v>22.5</v>
      </c>
      <c r="J270" s="63">
        <f t="shared" si="47"/>
        <v>20</v>
      </c>
      <c r="K270" s="63">
        <f t="shared" si="47"/>
        <v>0</v>
      </c>
      <c r="L270" s="63">
        <f t="shared" si="47"/>
        <v>7.5</v>
      </c>
      <c r="M270" s="63">
        <f t="shared" si="47"/>
        <v>0</v>
      </c>
      <c r="N270" s="63">
        <f t="shared" si="47"/>
        <v>0</v>
      </c>
      <c r="O270" s="63">
        <f t="shared" si="47"/>
        <v>0</v>
      </c>
      <c r="P270" s="63">
        <f t="shared" si="47"/>
        <v>0</v>
      </c>
      <c r="Q270" s="63">
        <f t="shared" si="47"/>
        <v>0</v>
      </c>
      <c r="R270" s="63">
        <f t="shared" si="47"/>
        <v>0</v>
      </c>
      <c r="S270" s="63">
        <f t="shared" si="47"/>
        <v>300</v>
      </c>
      <c r="T270" s="63">
        <f t="shared" si="47"/>
        <v>0</v>
      </c>
      <c r="U270" s="63">
        <f t="shared" si="47"/>
        <v>0</v>
      </c>
      <c r="V270" s="65">
        <f t="shared" si="16"/>
        <v>273.90000000000003</v>
      </c>
      <c r="W270" s="8">
        <f>ROUND(E270*ต้นทุนและราคา!$C$4+F270*ต้นทุนและราคา!$C$5+G270*ต้นทุนและราคา!$C$6+H270*ต้นทุนและราคา!$C$7+I270*ต้นทุนและราคา!$C$8+J270*ต้นทุนและราคา!$C$9+K270*ต้นทุนและราคา!$C$10+L270*ต้นทุนและราคา!$C$11+M270*ต้นทุนและราคา!$C$12+N270*ต้นทุนและราคา!$C$13+O270*ต้นทุนและราคา!$C$14+P270*ต้นทุนและราคา!$C$15+Q270*ต้นทุนและราคา!$C$16+R270*ต้นทุนและราคา!$C$17+S270*ต้นทุนและราคา!$C$18+T270*ต้นทุนและราคา!$C$19+U270*ต้นทุนและราคา!$C$20+IF($C270="16 oz",ต้นทุนและราคา!$C$21,IF($C270="20 oz",ต้นทุนและราคา!$C$22,ต้นทุนและราคา!$C$23)),2)</f>
        <v>22.74</v>
      </c>
      <c r="X270" s="64" cm="1">
        <f t="array" ref="X270">IFERROR(INDEX(ต้นทุนและราคา!$C$26:$E$101,MATCH($B270,ต้นทุนและราคา!$A$26:$A$101,0),IF($C270="16 oz",1,IF($C270="20 oz",2,3))),"")</f>
        <v>60</v>
      </c>
      <c r="Y270" s="66">
        <f t="shared" si="35"/>
        <v>0.62100000000000011</v>
      </c>
      <c r="Z270" s="48" t="str">
        <f>"[20 oz = 16 oz x "&amp;TEXT($AB$2,"0.00")&amp;"] "&amp;Z55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1" spans="1:26" x14ac:dyDescent="0.25">
      <c r="A271" s="4" t="str">
        <f t="shared" si="33"/>
        <v>Cocoa|20 oz|100%</v>
      </c>
      <c r="B271" s="4" t="s">
        <v>72</v>
      </c>
      <c r="C271" s="4" t="s">
        <v>1046</v>
      </c>
      <c r="D271" s="4" t="s">
        <v>66</v>
      </c>
      <c r="E271" s="63">
        <f t="shared" ref="E271:U271" si="48">ROUND(E56*$AB$2,1)</f>
        <v>156.30000000000001</v>
      </c>
      <c r="F271" s="63">
        <f t="shared" si="48"/>
        <v>0</v>
      </c>
      <c r="G271" s="63">
        <f t="shared" si="48"/>
        <v>43.8</v>
      </c>
      <c r="H271" s="63">
        <f t="shared" si="48"/>
        <v>31.3</v>
      </c>
      <c r="I271" s="63">
        <f t="shared" si="48"/>
        <v>30</v>
      </c>
      <c r="J271" s="63">
        <f t="shared" si="48"/>
        <v>20</v>
      </c>
      <c r="K271" s="63">
        <f t="shared" si="48"/>
        <v>0</v>
      </c>
      <c r="L271" s="63">
        <f t="shared" si="48"/>
        <v>7.5</v>
      </c>
      <c r="M271" s="63">
        <f t="shared" si="48"/>
        <v>0</v>
      </c>
      <c r="N271" s="63">
        <f t="shared" si="48"/>
        <v>0</v>
      </c>
      <c r="O271" s="63">
        <f t="shared" si="48"/>
        <v>0</v>
      </c>
      <c r="P271" s="63">
        <f t="shared" si="48"/>
        <v>0</v>
      </c>
      <c r="Q271" s="63">
        <f t="shared" si="48"/>
        <v>0</v>
      </c>
      <c r="R271" s="63">
        <f t="shared" si="48"/>
        <v>0</v>
      </c>
      <c r="S271" s="63">
        <f t="shared" si="48"/>
        <v>300</v>
      </c>
      <c r="T271" s="63">
        <f t="shared" si="48"/>
        <v>0</v>
      </c>
      <c r="U271" s="63">
        <f t="shared" si="48"/>
        <v>0</v>
      </c>
      <c r="V271" s="65">
        <f t="shared" si="16"/>
        <v>281.40000000000003</v>
      </c>
      <c r="W271" s="8">
        <f>ROUND(E271*ต้นทุนและราคา!$C$4+F271*ต้นทุนและราคา!$C$5+G271*ต้นทุนและราคา!$C$6+H271*ต้นทุนและราคา!$C$7+I271*ต้นทุนและราคา!$C$8+J271*ต้นทุนและราคา!$C$9+K271*ต้นทุนและราคา!$C$10+L271*ต้นทุนและราคา!$C$11+M271*ต้นทุนและราคา!$C$12+N271*ต้นทุนและราคา!$C$13+O271*ต้นทุนและราคา!$C$14+P271*ต้นทุนและราคา!$C$15+Q271*ต้นทุนและราคา!$C$16+R271*ต้นทุนและราคา!$C$17+S271*ต้นทุนและราคา!$C$18+T271*ต้นทุนและราคา!$C$19+U271*ต้นทุนและราคา!$C$20+IF($C271="16 oz",ต้นทุนและราคา!$C$21,IF($C271="20 oz",ต้นทุนและราคา!$C$22,ต้นทุนและราคา!$C$23)),2)</f>
        <v>23.26</v>
      </c>
      <c r="X271" s="64" cm="1">
        <f t="array" ref="X271">IFERROR(INDEX(ต้นทุนและราคา!$C$26:$E$101,MATCH($B271,ต้นทุนและราคา!$A$26:$A$101,0),IF($C271="16 oz",1,IF($C271="20 oz",2,3))),"")</f>
        <v>60</v>
      </c>
      <c r="Y271" s="66">
        <f t="shared" si="35"/>
        <v>0.61233333333333329</v>
      </c>
      <c r="Z271" s="48" t="str">
        <f>"[20 oz = 16 oz x "&amp;TEXT($AB$2,"0.00")&amp;"] "&amp;Z56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2" spans="1:26" x14ac:dyDescent="0.25">
      <c r="A272" s="4" t="str">
        <f t="shared" si="33"/>
        <v>Thai Tea Frappe|20 oz|0%</v>
      </c>
      <c r="B272" s="4" t="s">
        <v>73</v>
      </c>
      <c r="C272" s="4" t="s">
        <v>1046</v>
      </c>
      <c r="D272" s="4" t="s">
        <v>63</v>
      </c>
      <c r="E272" s="63">
        <f t="shared" ref="E272:U272" si="49">ROUND(E62*$AB$2,1)</f>
        <v>112.5</v>
      </c>
      <c r="F272" s="63">
        <f t="shared" si="49"/>
        <v>0</v>
      </c>
      <c r="G272" s="63">
        <f t="shared" si="49"/>
        <v>87.5</v>
      </c>
      <c r="H272" s="63">
        <f t="shared" si="49"/>
        <v>25</v>
      </c>
      <c r="I272" s="63">
        <f t="shared" si="49"/>
        <v>0</v>
      </c>
      <c r="J272" s="63">
        <f t="shared" si="49"/>
        <v>0</v>
      </c>
      <c r="K272" s="63">
        <f t="shared" si="49"/>
        <v>0</v>
      </c>
      <c r="L272" s="63">
        <f t="shared" si="49"/>
        <v>0</v>
      </c>
      <c r="M272" s="63">
        <f t="shared" si="49"/>
        <v>0</v>
      </c>
      <c r="N272" s="63">
        <f t="shared" si="49"/>
        <v>0</v>
      </c>
      <c r="O272" s="63">
        <f t="shared" si="49"/>
        <v>0</v>
      </c>
      <c r="P272" s="63">
        <f t="shared" si="49"/>
        <v>0</v>
      </c>
      <c r="Q272" s="63">
        <f t="shared" si="49"/>
        <v>0</v>
      </c>
      <c r="R272" s="63">
        <f t="shared" si="49"/>
        <v>0</v>
      </c>
      <c r="S272" s="63">
        <f t="shared" si="49"/>
        <v>250</v>
      </c>
      <c r="T272" s="63">
        <f t="shared" si="49"/>
        <v>0</v>
      </c>
      <c r="U272" s="63">
        <f t="shared" si="49"/>
        <v>0</v>
      </c>
      <c r="V272" s="65">
        <f t="shared" si="16"/>
        <v>225</v>
      </c>
      <c r="W272" s="8">
        <f>ROUND(E272*ต้นทุนและราคา!$C$4+F272*ต้นทุนและราคา!$C$5+G272*ต้นทุนและราคา!$C$6+H272*ต้นทุนและราคา!$C$7+I272*ต้นทุนและราคา!$C$8+J272*ต้นทุนและราคา!$C$9+K272*ต้นทุนและราคา!$C$10+L272*ต้นทุนและราคา!$C$11+M272*ต้นทุนและราคา!$C$12+N272*ต้นทุนและราคา!$C$13+O272*ต้นทุนและราคา!$C$14+P272*ต้นทุนและราคา!$C$15+Q272*ต้นทุนและราคา!$C$16+R272*ต้นทุนและราคา!$C$17+S272*ต้นทุนและราคา!$C$18+T272*ต้นทุนและราคา!$C$19+U272*ต้นทุนและราคา!$C$20+IF($C272="16 oz",ต้นทุนและราคา!$C$21,IF($C272="20 oz",ต้นทุนและราคา!$C$22,ต้นทุนและราคา!$C$23)),2)</f>
        <v>16.399999999999999</v>
      </c>
      <c r="X272" s="64" cm="1">
        <f t="array" ref="X272">IFERROR(INDEX(ต้นทุนและราคา!$C$26:$E$101,MATCH($B272,ต้นทุนและราคา!$A$26:$A$101,0),IF($C272="16 oz",1,IF($C272="20 oz",2,3))),"")</f>
        <v>70</v>
      </c>
      <c r="Y272" s="66">
        <f t="shared" si="35"/>
        <v>0.76571428571428568</v>
      </c>
      <c r="Z272" s="48" t="str">
        <f>"[20 oz = 16 oz x "&amp;TEXT($AB$2,"0.00")&amp;"] "&amp;Z62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73" spans="1:26" x14ac:dyDescent="0.25">
      <c r="A273" s="4" t="str">
        <f t="shared" si="33"/>
        <v>Thai Tea Frappe|20 oz|25%</v>
      </c>
      <c r="B273" s="4" t="s">
        <v>73</v>
      </c>
      <c r="C273" s="4" t="s">
        <v>1046</v>
      </c>
      <c r="D273" s="4" t="s">
        <v>64</v>
      </c>
      <c r="E273" s="63">
        <f t="shared" ref="E273:U273" si="50">ROUND(E63*$AB$2,1)</f>
        <v>112.5</v>
      </c>
      <c r="F273" s="63">
        <f t="shared" si="50"/>
        <v>0</v>
      </c>
      <c r="G273" s="63">
        <f t="shared" si="50"/>
        <v>87.5</v>
      </c>
      <c r="H273" s="63">
        <f t="shared" si="50"/>
        <v>25</v>
      </c>
      <c r="I273" s="63">
        <f t="shared" si="50"/>
        <v>10</v>
      </c>
      <c r="J273" s="63">
        <f t="shared" si="50"/>
        <v>14.4</v>
      </c>
      <c r="K273" s="63">
        <f t="shared" si="50"/>
        <v>0</v>
      </c>
      <c r="L273" s="63">
        <f t="shared" si="50"/>
        <v>0</v>
      </c>
      <c r="M273" s="63">
        <f t="shared" si="50"/>
        <v>0</v>
      </c>
      <c r="N273" s="63">
        <f t="shared" si="50"/>
        <v>0</v>
      </c>
      <c r="O273" s="63">
        <f t="shared" si="50"/>
        <v>0</v>
      </c>
      <c r="P273" s="63">
        <f t="shared" si="50"/>
        <v>0</v>
      </c>
      <c r="Q273" s="63">
        <f t="shared" si="50"/>
        <v>0</v>
      </c>
      <c r="R273" s="63">
        <f t="shared" si="50"/>
        <v>0</v>
      </c>
      <c r="S273" s="63">
        <f t="shared" si="50"/>
        <v>250</v>
      </c>
      <c r="T273" s="63">
        <f t="shared" si="50"/>
        <v>0</v>
      </c>
      <c r="U273" s="63">
        <f t="shared" si="50"/>
        <v>0</v>
      </c>
      <c r="V273" s="65">
        <f t="shared" si="16"/>
        <v>249.4</v>
      </c>
      <c r="W273" s="8">
        <f>ROUND(E273*ต้นทุนและราคา!$C$4+F273*ต้นทุนและราคา!$C$5+G273*ต้นทุนและราคา!$C$6+H273*ต้นทุนและราคา!$C$7+I273*ต้นทุนและราคา!$C$8+J273*ต้นทุนและราคา!$C$9+K273*ต้นทุนและราคา!$C$10+L273*ต้นทุนและราคา!$C$11+M273*ต้นทุนและราคา!$C$12+N273*ต้นทุนและราคา!$C$13+O273*ต้นทุนและราคา!$C$14+P273*ต้นทุนและราคา!$C$15+Q273*ต้นทุนและราคา!$C$16+R273*ต้นทุนและราคา!$C$17+S273*ต้นทุนและราคา!$C$18+T273*ต้นทุนและราคา!$C$19+U273*ต้นทุนและราคา!$C$20+IF($C273="16 oz",ต้นทุนและราคา!$C$21,IF($C273="20 oz",ต้นทุนและราคา!$C$22,ต้นทุนและราคา!$C$23)),2)</f>
        <v>17.34</v>
      </c>
      <c r="X273" s="64" cm="1">
        <f t="array" ref="X273">IFERROR(INDEX(ต้นทุนและราคา!$C$26:$E$101,MATCH($B273,ต้นทุนและราคา!$A$26:$A$101,0),IF($C273="16 oz",1,IF($C273="20 oz",2,3))),"")</f>
        <v>70</v>
      </c>
      <c r="Y273" s="66">
        <f t="shared" si="35"/>
        <v>0.75228571428571422</v>
      </c>
      <c r="Z273" s="48" t="str">
        <f>"[20 oz = 16 oz x "&amp;TEXT($AB$2,"0.00")&amp;"] "&amp;Z63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4" spans="1:26" x14ac:dyDescent="0.25">
      <c r="A274" s="4" t="str">
        <f t="shared" si="33"/>
        <v>Thai Tea Frappe|20 oz|50%</v>
      </c>
      <c r="B274" s="4" t="s">
        <v>73</v>
      </c>
      <c r="C274" s="4" t="s">
        <v>1046</v>
      </c>
      <c r="D274" s="4" t="s">
        <v>7</v>
      </c>
      <c r="E274" s="63">
        <f t="shared" ref="E274:U274" si="51">ROUND(E64*$AB$2,1)</f>
        <v>112.5</v>
      </c>
      <c r="F274" s="63">
        <f t="shared" si="51"/>
        <v>0</v>
      </c>
      <c r="G274" s="63">
        <f t="shared" si="51"/>
        <v>87.5</v>
      </c>
      <c r="H274" s="63">
        <f t="shared" si="51"/>
        <v>25</v>
      </c>
      <c r="I274" s="63">
        <f t="shared" si="51"/>
        <v>20</v>
      </c>
      <c r="J274" s="63">
        <f t="shared" si="51"/>
        <v>14.4</v>
      </c>
      <c r="K274" s="63">
        <f t="shared" si="51"/>
        <v>0</v>
      </c>
      <c r="L274" s="63">
        <f t="shared" si="51"/>
        <v>0</v>
      </c>
      <c r="M274" s="63">
        <f t="shared" si="51"/>
        <v>0</v>
      </c>
      <c r="N274" s="63">
        <f t="shared" si="51"/>
        <v>0</v>
      </c>
      <c r="O274" s="63">
        <f t="shared" si="51"/>
        <v>0</v>
      </c>
      <c r="P274" s="63">
        <f t="shared" si="51"/>
        <v>0</v>
      </c>
      <c r="Q274" s="63">
        <f t="shared" si="51"/>
        <v>0</v>
      </c>
      <c r="R274" s="63">
        <f t="shared" si="51"/>
        <v>0</v>
      </c>
      <c r="S274" s="63">
        <f t="shared" si="51"/>
        <v>250</v>
      </c>
      <c r="T274" s="63">
        <f t="shared" si="51"/>
        <v>0</v>
      </c>
      <c r="U274" s="63">
        <f t="shared" si="51"/>
        <v>0</v>
      </c>
      <c r="V274" s="65">
        <f t="shared" si="16"/>
        <v>259.39999999999998</v>
      </c>
      <c r="W274" s="8">
        <f>ROUND(E274*ต้นทุนและราคา!$C$4+F274*ต้นทุนและราคา!$C$5+G274*ต้นทุนและราคา!$C$6+H274*ต้นทุนและราคา!$C$7+I274*ต้นทุนและราคา!$C$8+J274*ต้นทุนและราคา!$C$9+K274*ต้นทุนและราคา!$C$10+L274*ต้นทุนและราคา!$C$11+M274*ต้นทุนและราคา!$C$12+N274*ต้นทุนและราคา!$C$13+O274*ต้นทุนและราคา!$C$14+P274*ต้นทุนและราคา!$C$15+Q274*ต้นทุนและราคา!$C$16+R274*ต้นทุนและราคา!$C$17+S274*ต้นทุนและราคา!$C$18+T274*ต้นทุนและราคา!$C$19+U274*ต้นทุนและราคา!$C$20+IF($C274="16 oz",ต้นทุนและราคา!$C$21,IF($C274="20 oz",ต้นทุนและราคา!$C$22,ต้นทุนและราคา!$C$23)),2)</f>
        <v>18.03</v>
      </c>
      <c r="X274" s="64" cm="1">
        <f t="array" ref="X274">IFERROR(INDEX(ต้นทุนและราคา!$C$26:$E$101,MATCH($B274,ต้นทุนและราคา!$A$26:$A$101,0),IF($C274="16 oz",1,IF($C274="20 oz",2,3))),"")</f>
        <v>70</v>
      </c>
      <c r="Y274" s="66">
        <f t="shared" si="35"/>
        <v>0.74242857142857144</v>
      </c>
      <c r="Z274" s="48" t="str">
        <f>"[20 oz = 16 oz x "&amp;TEXT($AB$2,"0.00")&amp;"] "&amp;Z64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5" spans="1:26" x14ac:dyDescent="0.25">
      <c r="A275" s="4" t="str">
        <f t="shared" si="33"/>
        <v>Thai Tea Frappe|20 oz|75%</v>
      </c>
      <c r="B275" s="4" t="s">
        <v>73</v>
      </c>
      <c r="C275" s="4" t="s">
        <v>1046</v>
      </c>
      <c r="D275" s="4" t="s">
        <v>65</v>
      </c>
      <c r="E275" s="63">
        <f t="shared" ref="E275:U275" si="52">ROUND(E65*$AB$2,1)</f>
        <v>112.5</v>
      </c>
      <c r="F275" s="63">
        <f t="shared" si="52"/>
        <v>0</v>
      </c>
      <c r="G275" s="63">
        <f t="shared" si="52"/>
        <v>87.5</v>
      </c>
      <c r="H275" s="63">
        <f t="shared" si="52"/>
        <v>25</v>
      </c>
      <c r="I275" s="63">
        <f t="shared" si="52"/>
        <v>30</v>
      </c>
      <c r="J275" s="63">
        <f t="shared" si="52"/>
        <v>14.4</v>
      </c>
      <c r="K275" s="63">
        <f t="shared" si="52"/>
        <v>0</v>
      </c>
      <c r="L275" s="63">
        <f t="shared" si="52"/>
        <v>0</v>
      </c>
      <c r="M275" s="63">
        <f t="shared" si="52"/>
        <v>0</v>
      </c>
      <c r="N275" s="63">
        <f t="shared" si="52"/>
        <v>0</v>
      </c>
      <c r="O275" s="63">
        <f t="shared" si="52"/>
        <v>0</v>
      </c>
      <c r="P275" s="63">
        <f t="shared" si="52"/>
        <v>0</v>
      </c>
      <c r="Q275" s="63">
        <f t="shared" si="52"/>
        <v>0</v>
      </c>
      <c r="R275" s="63">
        <f t="shared" si="52"/>
        <v>0</v>
      </c>
      <c r="S275" s="63">
        <f t="shared" si="52"/>
        <v>250</v>
      </c>
      <c r="T275" s="63">
        <f t="shared" si="52"/>
        <v>0</v>
      </c>
      <c r="U275" s="63">
        <f t="shared" si="52"/>
        <v>0</v>
      </c>
      <c r="V275" s="65">
        <f t="shared" si="16"/>
        <v>269.39999999999998</v>
      </c>
      <c r="W275" s="8">
        <f>ROUND(E275*ต้นทุนและราคา!$C$4+F275*ต้นทุนและราคา!$C$5+G275*ต้นทุนและราคา!$C$6+H275*ต้นทุนและราคา!$C$7+I275*ต้นทุนและราคา!$C$8+J275*ต้นทุนและราคา!$C$9+K275*ต้นทุนและราคา!$C$10+L275*ต้นทุนและราคา!$C$11+M275*ต้นทุนและราคา!$C$12+N275*ต้นทุนและราคา!$C$13+O275*ต้นทุนและราคา!$C$14+P275*ต้นทุนและราคา!$C$15+Q275*ต้นทุนและราคา!$C$16+R275*ต้นทุนและราคา!$C$17+S275*ต้นทุนและราคา!$C$18+T275*ต้นทุนและราคา!$C$19+U275*ต้นทุนและราคา!$C$20+IF($C275="16 oz",ต้นทุนและราคา!$C$21,IF($C275="20 oz",ต้นทุนและราคา!$C$22,ต้นทุนและราคา!$C$23)),2)</f>
        <v>18.72</v>
      </c>
      <c r="X275" s="64" cm="1">
        <f t="array" ref="X275">IFERROR(INDEX(ต้นทุนและราคา!$C$26:$E$101,MATCH($B275,ต้นทุนและราคา!$A$26:$A$101,0),IF($C275="16 oz",1,IF($C275="20 oz",2,3))),"")</f>
        <v>70</v>
      </c>
      <c r="Y275" s="66">
        <f t="shared" si="35"/>
        <v>0.73257142857142854</v>
      </c>
      <c r="Z275" s="48" t="str">
        <f>"[20 oz = 16 oz x "&amp;TEXT($AB$2,"0.00")&amp;"] "&amp;Z65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6" spans="1:26" x14ac:dyDescent="0.25">
      <c r="A276" s="4" t="str">
        <f t="shared" si="33"/>
        <v>Thai Tea Frappe|20 oz|100%</v>
      </c>
      <c r="B276" s="4" t="s">
        <v>73</v>
      </c>
      <c r="C276" s="4" t="s">
        <v>1046</v>
      </c>
      <c r="D276" s="4" t="s">
        <v>66</v>
      </c>
      <c r="E276" s="63">
        <f t="shared" ref="E276:U276" si="53">ROUND(E66*$AB$2,1)</f>
        <v>112.5</v>
      </c>
      <c r="F276" s="63">
        <f t="shared" si="53"/>
        <v>0</v>
      </c>
      <c r="G276" s="63">
        <f t="shared" si="53"/>
        <v>87.5</v>
      </c>
      <c r="H276" s="63">
        <f t="shared" si="53"/>
        <v>25</v>
      </c>
      <c r="I276" s="63">
        <f t="shared" si="53"/>
        <v>40</v>
      </c>
      <c r="J276" s="63">
        <f t="shared" si="53"/>
        <v>14.4</v>
      </c>
      <c r="K276" s="63">
        <f t="shared" si="53"/>
        <v>0</v>
      </c>
      <c r="L276" s="63">
        <f t="shared" si="53"/>
        <v>0</v>
      </c>
      <c r="M276" s="63">
        <f t="shared" si="53"/>
        <v>0</v>
      </c>
      <c r="N276" s="63">
        <f t="shared" si="53"/>
        <v>0</v>
      </c>
      <c r="O276" s="63">
        <f t="shared" si="53"/>
        <v>0</v>
      </c>
      <c r="P276" s="63">
        <f t="shared" si="53"/>
        <v>0</v>
      </c>
      <c r="Q276" s="63">
        <f t="shared" si="53"/>
        <v>0</v>
      </c>
      <c r="R276" s="63">
        <f t="shared" si="53"/>
        <v>0</v>
      </c>
      <c r="S276" s="63">
        <f t="shared" si="53"/>
        <v>250</v>
      </c>
      <c r="T276" s="63">
        <f t="shared" si="53"/>
        <v>0</v>
      </c>
      <c r="U276" s="63">
        <f t="shared" si="53"/>
        <v>0</v>
      </c>
      <c r="V276" s="65">
        <f t="shared" si="16"/>
        <v>279.39999999999998</v>
      </c>
      <c r="W276" s="8">
        <f>ROUND(E276*ต้นทุนและราคา!$C$4+F276*ต้นทุนและราคา!$C$5+G276*ต้นทุนและราคา!$C$6+H276*ต้นทุนและราคา!$C$7+I276*ต้นทุนและราคา!$C$8+J276*ต้นทุนและราคา!$C$9+K276*ต้นทุนและราคา!$C$10+L276*ต้นทุนและราคา!$C$11+M276*ต้นทุนและราคา!$C$12+N276*ต้นทุนและราคา!$C$13+O276*ต้นทุนและราคา!$C$14+P276*ต้นทุนและราคา!$C$15+Q276*ต้นทุนและราคา!$C$16+R276*ต้นทุนและราคา!$C$17+S276*ต้นทุนและราคา!$C$18+T276*ต้นทุนและราคา!$C$19+U276*ต้นทุนและราคา!$C$20+IF($C276="16 oz",ต้นทุนและราคา!$C$21,IF($C276="20 oz",ต้นทุนและราคา!$C$22,ต้นทุนและราคา!$C$23)),2)</f>
        <v>19.420000000000002</v>
      </c>
      <c r="X276" s="64" cm="1">
        <f t="array" ref="X276">IFERROR(INDEX(ต้นทุนและราคา!$C$26:$E$101,MATCH($B276,ต้นทุนและราคา!$A$26:$A$101,0),IF($C276="16 oz",1,IF($C276="20 oz",2,3))),"")</f>
        <v>70</v>
      </c>
      <c r="Y276" s="66">
        <f t="shared" si="35"/>
        <v>0.72257142857142853</v>
      </c>
      <c r="Z276" s="48" t="str">
        <f>"[20 oz = 16 oz x "&amp;TEXT($AB$2,"0.00")&amp;"] "&amp;Z66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7" spans="1:26" x14ac:dyDescent="0.25">
      <c r="A277" s="4" t="str">
        <f t="shared" si="33"/>
        <v>Coconut Frappe|20 oz|0%</v>
      </c>
      <c r="B277" s="4" t="s">
        <v>74</v>
      </c>
      <c r="C277" s="4" t="s">
        <v>1046</v>
      </c>
      <c r="D277" s="4" t="s">
        <v>63</v>
      </c>
      <c r="E277" s="63">
        <f t="shared" ref="E277:U277" si="54">ROUND(E72*$AB$2,1)</f>
        <v>93.8</v>
      </c>
      <c r="F277" s="63">
        <f t="shared" si="54"/>
        <v>0</v>
      </c>
      <c r="G277" s="63">
        <f t="shared" si="54"/>
        <v>43.8</v>
      </c>
      <c r="H277" s="63">
        <f t="shared" si="54"/>
        <v>0</v>
      </c>
      <c r="I277" s="63">
        <f t="shared" si="54"/>
        <v>0</v>
      </c>
      <c r="J277" s="63">
        <f t="shared" si="54"/>
        <v>0</v>
      </c>
      <c r="K277" s="63">
        <f t="shared" si="54"/>
        <v>0</v>
      </c>
      <c r="L277" s="63">
        <f t="shared" si="54"/>
        <v>0</v>
      </c>
      <c r="M277" s="63">
        <f t="shared" si="54"/>
        <v>0</v>
      </c>
      <c r="N277" s="63">
        <f t="shared" si="54"/>
        <v>106.3</v>
      </c>
      <c r="O277" s="63">
        <f t="shared" si="54"/>
        <v>0</v>
      </c>
      <c r="P277" s="63">
        <f t="shared" si="54"/>
        <v>0</v>
      </c>
      <c r="Q277" s="63">
        <f t="shared" si="54"/>
        <v>0</v>
      </c>
      <c r="R277" s="63">
        <f t="shared" si="54"/>
        <v>0</v>
      </c>
      <c r="S277" s="63">
        <f t="shared" si="54"/>
        <v>250</v>
      </c>
      <c r="T277" s="63">
        <f t="shared" si="54"/>
        <v>0</v>
      </c>
      <c r="U277" s="63">
        <f t="shared" si="54"/>
        <v>0</v>
      </c>
      <c r="V277" s="65">
        <f t="shared" si="16"/>
        <v>243.89999999999998</v>
      </c>
      <c r="W277" s="8">
        <f>ROUND(E277*ต้นทุนและราคา!$C$4+F277*ต้นทุนและราคา!$C$5+G277*ต้นทุนและราคา!$C$6+H277*ต้นทุนและราคา!$C$7+I277*ต้นทุนและราคา!$C$8+J277*ต้นทุนและราคา!$C$9+K277*ต้นทุนและราคา!$C$10+L277*ต้นทุนและราคา!$C$11+M277*ต้นทุนและราคา!$C$12+N277*ต้นทุนและราคา!$C$13+O277*ต้นทุนและราคา!$C$14+P277*ต้นทุนและราคา!$C$15+Q277*ต้นทุนและราคา!$C$16+R277*ต้นทุนและราคา!$C$17+S277*ต้นทุนและราคา!$C$18+T277*ต้นทุนและราคา!$C$19+U277*ต้นทุนและราคา!$C$20+IF($C277="16 oz",ต้นทุนและราคา!$C$21,IF($C277="20 oz",ต้นทุนและราคา!$C$22,ต้นทุนและราคา!$C$23)),2)</f>
        <v>19.89</v>
      </c>
      <c r="X277" s="64" cm="1">
        <f t="array" ref="X277">IFERROR(INDEX(ต้นทุนและราคา!$C$26:$E$101,MATCH($B277,ต้นทุนและราคา!$A$26:$A$101,0),IF($C277="16 oz",1,IF($C277="20 oz",2,3))),"")</f>
        <v>75</v>
      </c>
      <c r="Y277" s="66">
        <f t="shared" si="35"/>
        <v>0.73480000000000001</v>
      </c>
      <c r="Z277" s="48" t="str">
        <f>"[20 oz = 16 oz x "&amp;TEXT($AB$2,"0.00")&amp;"] "&amp;Z72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78" spans="1:26" x14ac:dyDescent="0.25">
      <c r="A278" s="4" t="str">
        <f t="shared" si="33"/>
        <v>Coconut Frappe|20 oz|25%</v>
      </c>
      <c r="B278" s="4" t="s">
        <v>74</v>
      </c>
      <c r="C278" s="4" t="s">
        <v>1046</v>
      </c>
      <c r="D278" s="4" t="s">
        <v>64</v>
      </c>
      <c r="E278" s="63">
        <f t="shared" ref="E278:U278" si="55">ROUND(E73*$AB$2,1)</f>
        <v>93.8</v>
      </c>
      <c r="F278" s="63">
        <f t="shared" si="55"/>
        <v>0</v>
      </c>
      <c r="G278" s="63">
        <f t="shared" si="55"/>
        <v>43.8</v>
      </c>
      <c r="H278" s="63">
        <f t="shared" si="55"/>
        <v>0</v>
      </c>
      <c r="I278" s="63">
        <f t="shared" si="55"/>
        <v>7.5</v>
      </c>
      <c r="J278" s="63">
        <f t="shared" si="55"/>
        <v>12</v>
      </c>
      <c r="K278" s="63">
        <f t="shared" si="55"/>
        <v>0</v>
      </c>
      <c r="L278" s="63">
        <f t="shared" si="55"/>
        <v>0</v>
      </c>
      <c r="M278" s="63">
        <f t="shared" si="55"/>
        <v>0</v>
      </c>
      <c r="N278" s="63">
        <f t="shared" si="55"/>
        <v>106.3</v>
      </c>
      <c r="O278" s="63">
        <f t="shared" si="55"/>
        <v>0</v>
      </c>
      <c r="P278" s="63">
        <f t="shared" si="55"/>
        <v>0</v>
      </c>
      <c r="Q278" s="63">
        <f t="shared" si="55"/>
        <v>0</v>
      </c>
      <c r="R278" s="63">
        <f t="shared" si="55"/>
        <v>0</v>
      </c>
      <c r="S278" s="63">
        <f t="shared" si="55"/>
        <v>250</v>
      </c>
      <c r="T278" s="63">
        <f t="shared" si="55"/>
        <v>0</v>
      </c>
      <c r="U278" s="63">
        <f t="shared" si="55"/>
        <v>0</v>
      </c>
      <c r="V278" s="65">
        <f t="shared" si="16"/>
        <v>263.39999999999998</v>
      </c>
      <c r="W278" s="8">
        <f>ROUND(E278*ต้นทุนและราคา!$C$4+F278*ต้นทุนและราคา!$C$5+G278*ต้นทุนและราคา!$C$6+H278*ต้นทุนและราคา!$C$7+I278*ต้นทุนและราคา!$C$8+J278*ต้นทุนและราคา!$C$9+K278*ต้นทุนและราคา!$C$10+L278*ต้นทุนและราคา!$C$11+M278*ต้นทุนและราคา!$C$12+N278*ต้นทุนและราคา!$C$13+O278*ต้นทุนและราคา!$C$14+P278*ต้นทุนและราคา!$C$15+Q278*ต้นทุนและราคา!$C$16+R278*ต้นทุนและราคา!$C$17+S278*ต้นทุนและราคา!$C$18+T278*ต้นทุนและราคา!$C$19+U278*ต้นทุนและราคา!$C$20+IF($C278="16 oz",ต้นทุนและราคา!$C$21,IF($C278="20 oz",ต้นทุนและราคา!$C$22,ต้นทุนและราคา!$C$23)),2)</f>
        <v>20.62</v>
      </c>
      <c r="X278" s="64" cm="1">
        <f t="array" ref="X278">IFERROR(INDEX(ต้นทุนและราคา!$C$26:$E$101,MATCH($B278,ต้นทุนและราคา!$A$26:$A$101,0),IF($C278="16 oz",1,IF($C278="20 oz",2,3))),"")</f>
        <v>75</v>
      </c>
      <c r="Y278" s="66">
        <f t="shared" si="35"/>
        <v>0.72506666666666664</v>
      </c>
      <c r="Z278" s="48" t="str">
        <f>"[20 oz = 16 oz x "&amp;TEXT($AB$2,"0.00")&amp;"] "&amp;Z73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79" spans="1:26" x14ac:dyDescent="0.25">
      <c r="A279" s="4" t="str">
        <f t="shared" si="33"/>
        <v>Coconut Frappe|20 oz|50%</v>
      </c>
      <c r="B279" s="4" t="s">
        <v>74</v>
      </c>
      <c r="C279" s="4" t="s">
        <v>1046</v>
      </c>
      <c r="D279" s="4" t="s">
        <v>7</v>
      </c>
      <c r="E279" s="63">
        <f t="shared" ref="E279:U279" si="56">ROUND(E74*$AB$2,1)</f>
        <v>93.8</v>
      </c>
      <c r="F279" s="63">
        <f t="shared" si="56"/>
        <v>0</v>
      </c>
      <c r="G279" s="63">
        <f t="shared" si="56"/>
        <v>43.8</v>
      </c>
      <c r="H279" s="63">
        <f t="shared" si="56"/>
        <v>0</v>
      </c>
      <c r="I279" s="63">
        <f t="shared" si="56"/>
        <v>15</v>
      </c>
      <c r="J279" s="63">
        <f t="shared" si="56"/>
        <v>12</v>
      </c>
      <c r="K279" s="63">
        <f t="shared" si="56"/>
        <v>0</v>
      </c>
      <c r="L279" s="63">
        <f t="shared" si="56"/>
        <v>0</v>
      </c>
      <c r="M279" s="63">
        <f t="shared" si="56"/>
        <v>0</v>
      </c>
      <c r="N279" s="63">
        <f t="shared" si="56"/>
        <v>106.3</v>
      </c>
      <c r="O279" s="63">
        <f t="shared" si="56"/>
        <v>0</v>
      </c>
      <c r="P279" s="63">
        <f t="shared" si="56"/>
        <v>0</v>
      </c>
      <c r="Q279" s="63">
        <f t="shared" si="56"/>
        <v>0</v>
      </c>
      <c r="R279" s="63">
        <f t="shared" si="56"/>
        <v>0</v>
      </c>
      <c r="S279" s="63">
        <f t="shared" si="56"/>
        <v>250</v>
      </c>
      <c r="T279" s="63">
        <f t="shared" si="56"/>
        <v>0</v>
      </c>
      <c r="U279" s="63">
        <f t="shared" si="56"/>
        <v>0</v>
      </c>
      <c r="V279" s="65">
        <f t="shared" si="16"/>
        <v>270.89999999999998</v>
      </c>
      <c r="W279" s="8">
        <f>ROUND(E279*ต้นทุนและราคา!$C$4+F279*ต้นทุนและราคา!$C$5+G279*ต้นทุนและราคา!$C$6+H279*ต้นทุนและราคา!$C$7+I279*ต้นทุนและราคา!$C$8+J279*ต้นทุนและราคา!$C$9+K279*ต้นทุนและราคา!$C$10+L279*ต้นทุนและราคา!$C$11+M279*ต้นทุนและราคา!$C$12+N279*ต้นทุนและราคา!$C$13+O279*ต้นทุนและราคา!$C$14+P279*ต้นทุนและราคา!$C$15+Q279*ต้นทุนและราคา!$C$16+R279*ต้นทุนและราคา!$C$17+S279*ต้นทุนและราคา!$C$18+T279*ต้นทุนและราคา!$C$19+U279*ต้นทุนและราคา!$C$20+IF($C279="16 oz",ต้นทุนและราคา!$C$21,IF($C279="20 oz",ต้นทุนและราคา!$C$22,ต้นทุนและราคา!$C$23)),2)</f>
        <v>21.14</v>
      </c>
      <c r="X279" s="64" cm="1">
        <f t="array" ref="X279">IFERROR(INDEX(ต้นทุนและราคา!$C$26:$E$101,MATCH($B279,ต้นทุนและราคา!$A$26:$A$101,0),IF($C279="16 oz",1,IF($C279="20 oz",2,3))),"")</f>
        <v>75</v>
      </c>
      <c r="Y279" s="66">
        <f t="shared" si="35"/>
        <v>0.71813333333333329</v>
      </c>
      <c r="Z279" s="48" t="str">
        <f>"[20 oz = 16 oz x "&amp;TEXT($AB$2,"0.00")&amp;"] "&amp;Z74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80" spans="1:26" x14ac:dyDescent="0.25">
      <c r="A280" s="4" t="str">
        <f t="shared" si="33"/>
        <v>Coconut Frappe|20 oz|75%</v>
      </c>
      <c r="B280" s="4" t="s">
        <v>74</v>
      </c>
      <c r="C280" s="4" t="s">
        <v>1046</v>
      </c>
      <c r="D280" s="4" t="s">
        <v>65</v>
      </c>
      <c r="E280" s="63">
        <f t="shared" ref="E280:U280" si="57">ROUND(E75*$AB$2,1)</f>
        <v>93.8</v>
      </c>
      <c r="F280" s="63">
        <f t="shared" si="57"/>
        <v>0</v>
      </c>
      <c r="G280" s="63">
        <f t="shared" si="57"/>
        <v>43.8</v>
      </c>
      <c r="H280" s="63">
        <f t="shared" si="57"/>
        <v>0</v>
      </c>
      <c r="I280" s="63">
        <f t="shared" si="57"/>
        <v>22.5</v>
      </c>
      <c r="J280" s="63">
        <f t="shared" si="57"/>
        <v>12</v>
      </c>
      <c r="K280" s="63">
        <f t="shared" si="57"/>
        <v>0</v>
      </c>
      <c r="L280" s="63">
        <f t="shared" si="57"/>
        <v>0</v>
      </c>
      <c r="M280" s="63">
        <f t="shared" si="57"/>
        <v>0</v>
      </c>
      <c r="N280" s="63">
        <f t="shared" si="57"/>
        <v>106.3</v>
      </c>
      <c r="O280" s="63">
        <f t="shared" si="57"/>
        <v>0</v>
      </c>
      <c r="P280" s="63">
        <f t="shared" si="57"/>
        <v>0</v>
      </c>
      <c r="Q280" s="63">
        <f t="shared" si="57"/>
        <v>0</v>
      </c>
      <c r="R280" s="63">
        <f t="shared" si="57"/>
        <v>0</v>
      </c>
      <c r="S280" s="63">
        <f t="shared" si="57"/>
        <v>250</v>
      </c>
      <c r="T280" s="63">
        <f t="shared" si="57"/>
        <v>0</v>
      </c>
      <c r="U280" s="63">
        <f t="shared" si="57"/>
        <v>0</v>
      </c>
      <c r="V280" s="65">
        <f t="shared" si="16"/>
        <v>278.39999999999998</v>
      </c>
      <c r="W280" s="8">
        <f>ROUND(E280*ต้นทุนและราคา!$C$4+F280*ต้นทุนและราคา!$C$5+G280*ต้นทุนและราคา!$C$6+H280*ต้นทุนและราคา!$C$7+I280*ต้นทุนและราคา!$C$8+J280*ต้นทุนและราคา!$C$9+K280*ต้นทุนและราคา!$C$10+L280*ต้นทุนและราคา!$C$11+M280*ต้นทุนและราคา!$C$12+N280*ต้นทุนและราคา!$C$13+O280*ต้นทุนและราคา!$C$14+P280*ต้นทุนและราคา!$C$15+Q280*ต้นทุนและราคา!$C$16+R280*ต้นทุนและราคา!$C$17+S280*ต้นทุนและราคา!$C$18+T280*ต้นทุนและราคา!$C$19+U280*ต้นทุนและราคา!$C$20+IF($C280="16 oz",ต้นทุนและราคา!$C$21,IF($C280="20 oz",ต้นทุนและราคา!$C$22,ต้นทุนและราคา!$C$23)),2)</f>
        <v>21.65</v>
      </c>
      <c r="X280" s="64" cm="1">
        <f t="array" ref="X280">IFERROR(INDEX(ต้นทุนและราคา!$C$26:$E$101,MATCH($B280,ต้นทุนและราคา!$A$26:$A$101,0),IF($C280="16 oz",1,IF($C280="20 oz",2,3))),"")</f>
        <v>75</v>
      </c>
      <c r="Y280" s="66">
        <f t="shared" si="35"/>
        <v>0.71133333333333337</v>
      </c>
      <c r="Z280" s="48" t="str">
        <f>"[20 oz = 16 oz x "&amp;TEXT($AB$2,"0.00")&amp;"] "&amp;Z75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81" spans="1:26" x14ac:dyDescent="0.25">
      <c r="A281" s="4" t="str">
        <f t="shared" si="33"/>
        <v>Coconut Frappe|20 oz|100%</v>
      </c>
      <c r="B281" s="4" t="s">
        <v>74</v>
      </c>
      <c r="C281" s="4" t="s">
        <v>1046</v>
      </c>
      <c r="D281" s="4" t="s">
        <v>66</v>
      </c>
      <c r="E281" s="63">
        <f t="shared" ref="E281:U281" si="58">ROUND(E76*$AB$2,1)</f>
        <v>93.8</v>
      </c>
      <c r="F281" s="63">
        <f t="shared" si="58"/>
        <v>0</v>
      </c>
      <c r="G281" s="63">
        <f t="shared" si="58"/>
        <v>43.8</v>
      </c>
      <c r="H281" s="63">
        <f t="shared" si="58"/>
        <v>0</v>
      </c>
      <c r="I281" s="63">
        <f t="shared" si="58"/>
        <v>30</v>
      </c>
      <c r="J281" s="63">
        <f t="shared" si="58"/>
        <v>12</v>
      </c>
      <c r="K281" s="63">
        <f t="shared" si="58"/>
        <v>0</v>
      </c>
      <c r="L281" s="63">
        <f t="shared" si="58"/>
        <v>0</v>
      </c>
      <c r="M281" s="63">
        <f t="shared" si="58"/>
        <v>0</v>
      </c>
      <c r="N281" s="63">
        <f t="shared" si="58"/>
        <v>106.3</v>
      </c>
      <c r="O281" s="63">
        <f t="shared" si="58"/>
        <v>0</v>
      </c>
      <c r="P281" s="63">
        <f t="shared" si="58"/>
        <v>0</v>
      </c>
      <c r="Q281" s="63">
        <f t="shared" si="58"/>
        <v>0</v>
      </c>
      <c r="R281" s="63">
        <f t="shared" si="58"/>
        <v>0</v>
      </c>
      <c r="S281" s="63">
        <f t="shared" si="58"/>
        <v>250</v>
      </c>
      <c r="T281" s="63">
        <f t="shared" si="58"/>
        <v>0</v>
      </c>
      <c r="U281" s="63">
        <f t="shared" si="58"/>
        <v>0</v>
      </c>
      <c r="V281" s="65">
        <f t="shared" si="16"/>
        <v>285.89999999999998</v>
      </c>
      <c r="W281" s="8">
        <f>ROUND(E281*ต้นทุนและราคา!$C$4+F281*ต้นทุนและราคา!$C$5+G281*ต้นทุนและราคา!$C$6+H281*ต้นทุนและราคา!$C$7+I281*ต้นทุนและราคา!$C$8+J281*ต้นทุนและราคา!$C$9+K281*ต้นทุนและราคา!$C$10+L281*ต้นทุนและราคา!$C$11+M281*ต้นทุนและราคา!$C$12+N281*ต้นทุนและราคา!$C$13+O281*ต้นทุนและราคา!$C$14+P281*ต้นทุนและราคา!$C$15+Q281*ต้นทุนและราคา!$C$16+R281*ต้นทุนและราคา!$C$17+S281*ต้นทุนและราคา!$C$18+T281*ต้นทุนและราคา!$C$19+U281*ต้นทุนและราคา!$C$20+IF($C281="16 oz",ต้นทุนและราคา!$C$21,IF($C281="20 oz",ต้นทุนและราคา!$C$22,ต้นทุนและราคา!$C$23)),2)</f>
        <v>22.17</v>
      </c>
      <c r="X281" s="64" cm="1">
        <f t="array" ref="X281">IFERROR(INDEX(ต้นทุนและราคา!$C$26:$E$101,MATCH($B281,ต้นทุนและราคา!$A$26:$A$101,0),IF($C281="16 oz",1,IF($C281="20 oz",2,3))),"")</f>
        <v>75</v>
      </c>
      <c r="Y281" s="66">
        <f t="shared" si="35"/>
        <v>0.70440000000000003</v>
      </c>
      <c r="Z281" s="48" t="str">
        <f>"[20 oz = 16 oz x "&amp;TEXT($AB$2,"0.00")&amp;"] "&amp;Z76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</row>
    <row r="282" spans="1:26" x14ac:dyDescent="0.25">
      <c r="A282" s="4" t="str">
        <f t="shared" si="33"/>
        <v>Honey Milk|20 oz|0%</v>
      </c>
      <c r="B282" s="4" t="s">
        <v>75</v>
      </c>
      <c r="C282" s="4" t="s">
        <v>1046</v>
      </c>
      <c r="D282" s="4" t="s">
        <v>63</v>
      </c>
      <c r="E282" s="63">
        <f t="shared" ref="E282:U282" si="59">ROUND(E82*$AB$2,1)</f>
        <v>150</v>
      </c>
      <c r="F282" s="63">
        <f t="shared" si="59"/>
        <v>0</v>
      </c>
      <c r="G282" s="63">
        <f t="shared" si="59"/>
        <v>68.8</v>
      </c>
      <c r="H282" s="63">
        <f t="shared" si="59"/>
        <v>22.5</v>
      </c>
      <c r="I282" s="63">
        <f t="shared" si="59"/>
        <v>0</v>
      </c>
      <c r="J282" s="63">
        <f t="shared" si="59"/>
        <v>0</v>
      </c>
      <c r="K282" s="63">
        <f t="shared" si="59"/>
        <v>0</v>
      </c>
      <c r="L282" s="63">
        <f t="shared" si="59"/>
        <v>0</v>
      </c>
      <c r="M282" s="63">
        <f t="shared" si="59"/>
        <v>0</v>
      </c>
      <c r="N282" s="63">
        <f t="shared" si="59"/>
        <v>0</v>
      </c>
      <c r="O282" s="63">
        <f t="shared" si="59"/>
        <v>0</v>
      </c>
      <c r="P282" s="63">
        <f t="shared" si="59"/>
        <v>0</v>
      </c>
      <c r="Q282" s="63">
        <f t="shared" si="59"/>
        <v>0</v>
      </c>
      <c r="R282" s="63">
        <f t="shared" si="59"/>
        <v>0</v>
      </c>
      <c r="S282" s="63">
        <f t="shared" si="59"/>
        <v>300</v>
      </c>
      <c r="T282" s="63">
        <f t="shared" si="59"/>
        <v>0</v>
      </c>
      <c r="U282" s="63">
        <f t="shared" si="59"/>
        <v>0</v>
      </c>
      <c r="V282" s="65">
        <f t="shared" si="16"/>
        <v>241.3</v>
      </c>
      <c r="W282" s="8">
        <f>ROUND(E282*ต้นทุนและราคา!$C$4+F282*ต้นทุนและราคา!$C$5+G282*ต้นทุนและราคา!$C$6+H282*ต้นทุนและราคา!$C$7+I282*ต้นทุนและราคา!$C$8+J282*ต้นทุนและราคา!$C$9+K282*ต้นทุนและราคา!$C$10+L282*ต้นทุนและราคา!$C$11+M282*ต้นทุนและราคา!$C$12+N282*ต้นทุนและราคา!$C$13+O282*ต้นทุนและราคา!$C$14+P282*ต้นทุนและราคา!$C$15+Q282*ต้นทุนและราคา!$C$16+R282*ต้นทุนและราคา!$C$17+S282*ต้นทุนและราคา!$C$18+T282*ต้นทุนและราคา!$C$19+U282*ต้นทุนและราคา!$C$20+IF($C282="16 oz",ต้นทุนและราคา!$C$21,IF($C282="20 oz",ต้นทุนและราคา!$C$22,ต้นทุนและราคา!$C$23)),2)</f>
        <v>16.77</v>
      </c>
      <c r="X282" s="64" cm="1">
        <f t="array" ref="X282">IFERROR(INDEX(ต้นทุนและราคา!$C$26:$E$101,MATCH($B282,ต้นทุนและราคา!$A$26:$A$101,0),IF($C282="16 oz",1,IF($C282="20 oz",2,3))),"")</f>
        <v>55</v>
      </c>
      <c r="Y282" s="66">
        <f t="shared" si="35"/>
        <v>0.6950909090909092</v>
      </c>
      <c r="Z282" s="48" t="str">
        <f>"[20 oz = 16 oz x "&amp;TEXT($AB$2,"0.00")&amp;"] "&amp;Z82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83" spans="1:26" x14ac:dyDescent="0.25">
      <c r="A283" s="4" t="str">
        <f t="shared" si="33"/>
        <v>Honey Milk|20 oz|25%</v>
      </c>
      <c r="B283" s="4" t="s">
        <v>75</v>
      </c>
      <c r="C283" s="4" t="s">
        <v>1046</v>
      </c>
      <c r="D283" s="4" t="s">
        <v>64</v>
      </c>
      <c r="E283" s="63">
        <f t="shared" ref="E283:U283" si="60">ROUND(E83*$AB$2,1)</f>
        <v>150</v>
      </c>
      <c r="F283" s="63">
        <f t="shared" si="60"/>
        <v>0</v>
      </c>
      <c r="G283" s="63">
        <f t="shared" si="60"/>
        <v>49.5</v>
      </c>
      <c r="H283" s="63">
        <f t="shared" si="60"/>
        <v>22.5</v>
      </c>
      <c r="I283" s="63">
        <f t="shared" si="60"/>
        <v>0</v>
      </c>
      <c r="J283" s="63">
        <f t="shared" si="60"/>
        <v>23</v>
      </c>
      <c r="K283" s="63">
        <f t="shared" si="60"/>
        <v>5</v>
      </c>
      <c r="L283" s="63">
        <f t="shared" si="60"/>
        <v>0</v>
      </c>
      <c r="M283" s="63">
        <f t="shared" si="60"/>
        <v>0</v>
      </c>
      <c r="N283" s="63">
        <f t="shared" si="60"/>
        <v>0</v>
      </c>
      <c r="O283" s="63">
        <f t="shared" si="60"/>
        <v>0</v>
      </c>
      <c r="P283" s="63">
        <f t="shared" si="60"/>
        <v>0</v>
      </c>
      <c r="Q283" s="63">
        <f t="shared" si="60"/>
        <v>0</v>
      </c>
      <c r="R283" s="63">
        <f t="shared" si="60"/>
        <v>0</v>
      </c>
      <c r="S283" s="63">
        <f t="shared" si="60"/>
        <v>300</v>
      </c>
      <c r="T283" s="63">
        <f t="shared" si="60"/>
        <v>0</v>
      </c>
      <c r="U283" s="63">
        <f t="shared" si="60"/>
        <v>0</v>
      </c>
      <c r="V283" s="65">
        <f t="shared" si="16"/>
        <v>250</v>
      </c>
      <c r="W283" s="8">
        <f>ROUND(E283*ต้นทุนและราคา!$C$4+F283*ต้นทุนและราคา!$C$5+G283*ต้นทุนและราคา!$C$6+H283*ต้นทุนและราคา!$C$7+I283*ต้นทุนและราคา!$C$8+J283*ต้นทุนและราคา!$C$9+K283*ต้นทุนและราคา!$C$10+L283*ต้นทุนและราคา!$C$11+M283*ต้นทุนและราคา!$C$12+N283*ต้นทุนและราคา!$C$13+O283*ต้นทุนและราคา!$C$14+P283*ต้นทุนและราคา!$C$15+Q283*ต้นทุนและราคา!$C$16+R283*ต้นทุนและราคา!$C$17+S283*ต้นทุนและราคา!$C$18+T283*ต้นทุนและราคา!$C$19+U283*ต้นทุนและราคา!$C$20+IF($C283="16 oz",ต้นทุนและราคา!$C$21,IF($C283="20 oz",ต้นทุนและราคา!$C$22,ต้นทุนและราคา!$C$23)),2)</f>
        <v>17.399999999999999</v>
      </c>
      <c r="X283" s="64" cm="1">
        <f t="array" ref="X283">IFERROR(INDEX(ต้นทุนและราคา!$C$26:$E$101,MATCH($B283,ต้นทุนและราคา!$A$26:$A$101,0),IF($C283="16 oz",1,IF($C283="20 oz",2,3))),"")</f>
        <v>55</v>
      </c>
      <c r="Y283" s="66">
        <f t="shared" si="35"/>
        <v>0.68363636363636371</v>
      </c>
      <c r="Z283" s="48" t="str">
        <f>"[20 oz = 16 oz x "&amp;TEXT($AB$2,"0.00")&amp;"] "&amp;Z83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84" spans="1:26" x14ac:dyDescent="0.25">
      <c r="A284" s="4" t="str">
        <f t="shared" si="33"/>
        <v>Honey Milk|20 oz|50%</v>
      </c>
      <c r="B284" s="4" t="s">
        <v>75</v>
      </c>
      <c r="C284" s="4" t="s">
        <v>1046</v>
      </c>
      <c r="D284" s="4" t="s">
        <v>7</v>
      </c>
      <c r="E284" s="63">
        <f t="shared" ref="E284:U284" si="61">ROUND(E84*$AB$2,1)</f>
        <v>150</v>
      </c>
      <c r="F284" s="63">
        <f t="shared" si="61"/>
        <v>0</v>
      </c>
      <c r="G284" s="63">
        <f t="shared" si="61"/>
        <v>49.5</v>
      </c>
      <c r="H284" s="63">
        <f t="shared" si="61"/>
        <v>22.5</v>
      </c>
      <c r="I284" s="63">
        <f t="shared" si="61"/>
        <v>0</v>
      </c>
      <c r="J284" s="63">
        <f t="shared" si="61"/>
        <v>26.8</v>
      </c>
      <c r="K284" s="63">
        <f t="shared" si="61"/>
        <v>10</v>
      </c>
      <c r="L284" s="63">
        <f t="shared" si="61"/>
        <v>0</v>
      </c>
      <c r="M284" s="63">
        <f t="shared" si="61"/>
        <v>0</v>
      </c>
      <c r="N284" s="63">
        <f t="shared" si="61"/>
        <v>0</v>
      </c>
      <c r="O284" s="63">
        <f t="shared" si="61"/>
        <v>0</v>
      </c>
      <c r="P284" s="63">
        <f t="shared" si="61"/>
        <v>0</v>
      </c>
      <c r="Q284" s="63">
        <f t="shared" si="61"/>
        <v>0</v>
      </c>
      <c r="R284" s="63">
        <f t="shared" si="61"/>
        <v>0</v>
      </c>
      <c r="S284" s="63">
        <f t="shared" si="61"/>
        <v>300</v>
      </c>
      <c r="T284" s="63">
        <f t="shared" si="61"/>
        <v>0</v>
      </c>
      <c r="U284" s="63">
        <f t="shared" si="61"/>
        <v>0</v>
      </c>
      <c r="V284" s="65">
        <f t="shared" si="16"/>
        <v>258.8</v>
      </c>
      <c r="W284" s="8">
        <f>ROUND(E284*ต้นทุนและราคา!$C$4+F284*ต้นทุนและราคา!$C$5+G284*ต้นทุนและราคา!$C$6+H284*ต้นทุนและราคา!$C$7+I284*ต้นทุนและราคา!$C$8+J284*ต้นทุนและราคา!$C$9+K284*ต้นทุนและราคา!$C$10+L284*ต้นทุนและราคา!$C$11+M284*ต้นทุนและราคา!$C$12+N284*ต้นทุนและราคา!$C$13+O284*ต้นทุนและราคา!$C$14+P284*ต้นทุนและราคา!$C$15+Q284*ต้นทุนและราคา!$C$16+R284*ต้นทุนและราคา!$C$17+S284*ต้นทุนและราคา!$C$18+T284*ต้นทุนและราคา!$C$19+U284*ต้นทุนและราคา!$C$20+IF($C284="16 oz",ต้นทุนและราคา!$C$21,IF($C284="20 oz",ต้นทุนและราคา!$C$22,ต้นทุนและราคา!$C$23)),2)</f>
        <v>18.63</v>
      </c>
      <c r="X284" s="64" cm="1">
        <f t="array" ref="X284">IFERROR(INDEX(ต้นทุนและราคา!$C$26:$E$101,MATCH($B284,ต้นทุนและราคา!$A$26:$A$101,0),IF($C284="16 oz",1,IF($C284="20 oz",2,3))),"")</f>
        <v>55</v>
      </c>
      <c r="Y284" s="66">
        <f t="shared" si="35"/>
        <v>0.66127272727272735</v>
      </c>
      <c r="Z284" s="48" t="str">
        <f>"[20 oz = 16 oz x "&amp;TEXT($AB$2,"0.00")&amp;"] "&amp;Z84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85" spans="1:26" x14ac:dyDescent="0.25">
      <c r="A285" s="4" t="str">
        <f t="shared" si="33"/>
        <v>Honey Milk|20 oz|75%</v>
      </c>
      <c r="B285" s="4" t="s">
        <v>75</v>
      </c>
      <c r="C285" s="4" t="s">
        <v>1046</v>
      </c>
      <c r="D285" s="4" t="s">
        <v>65</v>
      </c>
      <c r="E285" s="63">
        <f t="shared" ref="E285:U285" si="62">ROUND(E85*$AB$2,1)</f>
        <v>150</v>
      </c>
      <c r="F285" s="63">
        <f t="shared" si="62"/>
        <v>0</v>
      </c>
      <c r="G285" s="63">
        <f t="shared" si="62"/>
        <v>49.5</v>
      </c>
      <c r="H285" s="63">
        <f t="shared" si="62"/>
        <v>22.5</v>
      </c>
      <c r="I285" s="63">
        <f t="shared" si="62"/>
        <v>0</v>
      </c>
      <c r="J285" s="63">
        <f t="shared" si="62"/>
        <v>30.5</v>
      </c>
      <c r="K285" s="63">
        <f t="shared" si="62"/>
        <v>15</v>
      </c>
      <c r="L285" s="63">
        <f t="shared" si="62"/>
        <v>0</v>
      </c>
      <c r="M285" s="63">
        <f t="shared" si="62"/>
        <v>0</v>
      </c>
      <c r="N285" s="63">
        <f t="shared" si="62"/>
        <v>0</v>
      </c>
      <c r="O285" s="63">
        <f t="shared" si="62"/>
        <v>0</v>
      </c>
      <c r="P285" s="63">
        <f t="shared" si="62"/>
        <v>0</v>
      </c>
      <c r="Q285" s="63">
        <f t="shared" si="62"/>
        <v>0</v>
      </c>
      <c r="R285" s="63">
        <f t="shared" si="62"/>
        <v>0</v>
      </c>
      <c r="S285" s="63">
        <f t="shared" si="62"/>
        <v>300</v>
      </c>
      <c r="T285" s="63">
        <f t="shared" si="62"/>
        <v>0</v>
      </c>
      <c r="U285" s="63">
        <f t="shared" si="62"/>
        <v>0</v>
      </c>
      <c r="V285" s="65">
        <f t="shared" si="16"/>
        <v>267.5</v>
      </c>
      <c r="W285" s="8">
        <f>ROUND(E285*ต้นทุนและราคา!$C$4+F285*ต้นทุนและราคา!$C$5+G285*ต้นทุนและราคา!$C$6+H285*ต้นทุนและราคา!$C$7+I285*ต้นทุนและราคา!$C$8+J285*ต้นทุนและราคา!$C$9+K285*ต้นทุนและราคา!$C$10+L285*ต้นทุนและราคา!$C$11+M285*ต้นทุนและราคา!$C$12+N285*ต้นทุนและราคา!$C$13+O285*ต้นทุนและราคา!$C$14+P285*ต้นทุนและราคา!$C$15+Q285*ต้นทุนและราคา!$C$16+R285*ต้นทุนและราคา!$C$17+S285*ต้นทุนและราคา!$C$18+T285*ต้นทุนและราคา!$C$19+U285*ต้นทุนและราคา!$C$20+IF($C285="16 oz",ต้นทุนและราคา!$C$21,IF($C285="20 oz",ต้นทุนและราคา!$C$22,ต้นทุนและราคา!$C$23)),2)</f>
        <v>19.86</v>
      </c>
      <c r="X285" s="64" cm="1">
        <f t="array" ref="X285">IFERROR(INDEX(ต้นทุนและราคา!$C$26:$E$101,MATCH($B285,ต้นทุนและราคา!$A$26:$A$101,0),IF($C285="16 oz",1,IF($C285="20 oz",2,3))),"")</f>
        <v>55</v>
      </c>
      <c r="Y285" s="66">
        <f t="shared" si="35"/>
        <v>0.63890909090909087</v>
      </c>
      <c r="Z285" s="48" t="str">
        <f>"[20 oz = 16 oz x "&amp;TEXT($AB$2,"0.00")&amp;"] "&amp;Z85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86" spans="1:26" x14ac:dyDescent="0.25">
      <c r="A286" s="4" t="str">
        <f t="shared" si="33"/>
        <v>Honey Milk|20 oz|100%</v>
      </c>
      <c r="B286" s="4" t="s">
        <v>75</v>
      </c>
      <c r="C286" s="4" t="s">
        <v>1046</v>
      </c>
      <c r="D286" s="4" t="s">
        <v>66</v>
      </c>
      <c r="E286" s="63">
        <f t="shared" ref="E286:U286" si="63">ROUND(E86*$AB$2,1)</f>
        <v>150</v>
      </c>
      <c r="F286" s="63">
        <f t="shared" si="63"/>
        <v>0</v>
      </c>
      <c r="G286" s="63">
        <f t="shared" si="63"/>
        <v>49.5</v>
      </c>
      <c r="H286" s="63">
        <f t="shared" si="63"/>
        <v>22.5</v>
      </c>
      <c r="I286" s="63">
        <f t="shared" si="63"/>
        <v>0</v>
      </c>
      <c r="J286" s="63">
        <f t="shared" si="63"/>
        <v>34.299999999999997</v>
      </c>
      <c r="K286" s="63">
        <f t="shared" si="63"/>
        <v>20</v>
      </c>
      <c r="L286" s="63">
        <f t="shared" si="63"/>
        <v>0</v>
      </c>
      <c r="M286" s="63">
        <f t="shared" si="63"/>
        <v>0</v>
      </c>
      <c r="N286" s="63">
        <f t="shared" si="63"/>
        <v>0</v>
      </c>
      <c r="O286" s="63">
        <f t="shared" si="63"/>
        <v>0</v>
      </c>
      <c r="P286" s="63">
        <f t="shared" si="63"/>
        <v>0</v>
      </c>
      <c r="Q286" s="63">
        <f t="shared" si="63"/>
        <v>0</v>
      </c>
      <c r="R286" s="63">
        <f t="shared" si="63"/>
        <v>0</v>
      </c>
      <c r="S286" s="63">
        <f t="shared" si="63"/>
        <v>300</v>
      </c>
      <c r="T286" s="63">
        <f t="shared" si="63"/>
        <v>0</v>
      </c>
      <c r="U286" s="63">
        <f t="shared" si="63"/>
        <v>0</v>
      </c>
      <c r="V286" s="65">
        <f t="shared" si="16"/>
        <v>276.3</v>
      </c>
      <c r="W286" s="8">
        <f>ROUND(E286*ต้นทุนและราคา!$C$4+F286*ต้นทุนและราคา!$C$5+G286*ต้นทุนและราคา!$C$6+H286*ต้นทุนและราคา!$C$7+I286*ต้นทุนและราคา!$C$8+J286*ต้นทุนและราคา!$C$9+K286*ต้นทุนและราคา!$C$10+L286*ต้นทุนและราคา!$C$11+M286*ต้นทุนและราคา!$C$12+N286*ต้นทุนและราคา!$C$13+O286*ต้นทุนและราคา!$C$14+P286*ต้นทุนและราคา!$C$15+Q286*ต้นทุนและราคา!$C$16+R286*ต้นทุนและราคา!$C$17+S286*ต้นทุนและราคา!$C$18+T286*ต้นทุนและราคา!$C$19+U286*ต้นทุนและราคา!$C$20+IF($C286="16 oz",ต้นทุนและราคา!$C$21,IF($C286="20 oz",ต้นทุนและราคา!$C$22,ต้นทุนและราคา!$C$23)),2)</f>
        <v>21.09</v>
      </c>
      <c r="X286" s="64" cm="1">
        <f t="array" ref="X286">IFERROR(INDEX(ต้นทุนและราคา!$C$26:$E$101,MATCH($B286,ต้นทุนและราคา!$A$26:$A$101,0),IF($C286="16 oz",1,IF($C286="20 oz",2,3))),"")</f>
        <v>55</v>
      </c>
      <c r="Y286" s="66">
        <f t="shared" si="35"/>
        <v>0.61654545454545451</v>
      </c>
      <c r="Z286" s="48" t="str">
        <f>"[20 oz = 16 oz x "&amp;TEXT($AB$2,"0.00")&amp;"] "&amp;Z86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</row>
    <row r="287" spans="1:26" x14ac:dyDescent="0.25">
      <c r="A287" s="4" t="str">
        <f t="shared" si="33"/>
        <v>Coconut Tea|20 oz|0%</v>
      </c>
      <c r="B287" s="4" t="s">
        <v>76</v>
      </c>
      <c r="C287" s="4" t="s">
        <v>1046</v>
      </c>
      <c r="D287" s="4" t="s">
        <v>63</v>
      </c>
      <c r="E287" s="63">
        <f t="shared" ref="E287:U287" si="64">ROUND(E92*$AB$2,1)</f>
        <v>125</v>
      </c>
      <c r="F287" s="63">
        <f t="shared" si="64"/>
        <v>0</v>
      </c>
      <c r="G287" s="63">
        <f t="shared" si="64"/>
        <v>0</v>
      </c>
      <c r="H287" s="63">
        <f t="shared" si="64"/>
        <v>15</v>
      </c>
      <c r="I287" s="63">
        <f t="shared" si="64"/>
        <v>0</v>
      </c>
      <c r="J287" s="63">
        <f t="shared" si="64"/>
        <v>0</v>
      </c>
      <c r="K287" s="63">
        <f t="shared" si="64"/>
        <v>0</v>
      </c>
      <c r="L287" s="63">
        <f t="shared" si="64"/>
        <v>0</v>
      </c>
      <c r="M287" s="63">
        <f t="shared" si="64"/>
        <v>0</v>
      </c>
      <c r="N287" s="63">
        <f t="shared" si="64"/>
        <v>118.8</v>
      </c>
      <c r="O287" s="63">
        <f t="shared" si="64"/>
        <v>0</v>
      </c>
      <c r="P287" s="63">
        <f t="shared" si="64"/>
        <v>0</v>
      </c>
      <c r="Q287" s="63">
        <f t="shared" si="64"/>
        <v>0</v>
      </c>
      <c r="R287" s="63">
        <f t="shared" si="64"/>
        <v>0</v>
      </c>
      <c r="S287" s="63">
        <f t="shared" si="64"/>
        <v>275</v>
      </c>
      <c r="T287" s="63">
        <f t="shared" si="64"/>
        <v>0</v>
      </c>
      <c r="U287" s="63">
        <f t="shared" si="64"/>
        <v>0</v>
      </c>
      <c r="V287" s="65">
        <f t="shared" si="16"/>
        <v>258.8</v>
      </c>
      <c r="W287" s="8">
        <f>ROUND(E287*ต้นทุนและราคา!$C$4+F287*ต้นทุนและราคา!$C$5+G287*ต้นทุนและราคา!$C$6+H287*ต้นทุนและราคา!$C$7+I287*ต้นทุนและราคา!$C$8+J287*ต้นทุนและราคา!$C$9+K287*ต้นทุนและราคา!$C$10+L287*ต้นทุนและราคา!$C$11+M287*ต้นทุนและราคา!$C$12+N287*ต้นทุนและราคา!$C$13+O287*ต้นทุนและราคา!$C$14+P287*ต้นทุนและราคา!$C$15+Q287*ต้นทุนและราคา!$C$16+R287*ต้นทุนและราคา!$C$17+S287*ต้นทุนและราคา!$C$18+T287*ต้นทุนและราคา!$C$19+U287*ต้นทุนและราคา!$C$20+IF($C287="16 oz",ต้นทุนและราคา!$C$21,IF($C287="20 oz",ต้นทุนและราคา!$C$22,ต้นทุนและราคา!$C$23)),2)</f>
        <v>20.8</v>
      </c>
      <c r="X287" s="64" cm="1">
        <f t="array" ref="X287">IFERROR(INDEX(ต้นทุนและราคา!$C$26:$E$101,MATCH($B287,ต้นทุนและราคา!$A$26:$A$101,0),IF($C287="16 oz",1,IF($C287="20 oz",2,3))),"")</f>
        <v>65</v>
      </c>
      <c r="Y287" s="66">
        <f t="shared" si="35"/>
        <v>0.68</v>
      </c>
      <c r="Z287" s="48" t="str">
        <f>"[20 oz = 16 oz x "&amp;TEXT($AB$2,"0.00")&amp;"] "&amp;Z92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88" spans="1:26" x14ac:dyDescent="0.25">
      <c r="A288" s="4" t="str">
        <f t="shared" si="33"/>
        <v>Coconut Tea|20 oz|25%</v>
      </c>
      <c r="B288" s="4" t="s">
        <v>76</v>
      </c>
      <c r="C288" s="4" t="s">
        <v>1046</v>
      </c>
      <c r="D288" s="4" t="s">
        <v>64</v>
      </c>
      <c r="E288" s="63">
        <f t="shared" ref="E288:U288" si="65">ROUND(E93*$AB$2,1)</f>
        <v>125</v>
      </c>
      <c r="F288" s="63">
        <f t="shared" si="65"/>
        <v>0</v>
      </c>
      <c r="G288" s="63">
        <f t="shared" si="65"/>
        <v>0</v>
      </c>
      <c r="H288" s="63">
        <f t="shared" si="65"/>
        <v>15</v>
      </c>
      <c r="I288" s="63">
        <f t="shared" si="65"/>
        <v>6.3</v>
      </c>
      <c r="J288" s="63">
        <f t="shared" si="65"/>
        <v>16</v>
      </c>
      <c r="K288" s="63">
        <f t="shared" si="65"/>
        <v>0</v>
      </c>
      <c r="L288" s="63">
        <f t="shared" si="65"/>
        <v>0</v>
      </c>
      <c r="M288" s="63">
        <f t="shared" si="65"/>
        <v>0</v>
      </c>
      <c r="N288" s="63">
        <f t="shared" si="65"/>
        <v>102.8</v>
      </c>
      <c r="O288" s="63">
        <f t="shared" si="65"/>
        <v>0</v>
      </c>
      <c r="P288" s="63">
        <f t="shared" si="65"/>
        <v>0</v>
      </c>
      <c r="Q288" s="63">
        <f t="shared" si="65"/>
        <v>0</v>
      </c>
      <c r="R288" s="63">
        <f t="shared" si="65"/>
        <v>0</v>
      </c>
      <c r="S288" s="63">
        <f t="shared" si="65"/>
        <v>275</v>
      </c>
      <c r="T288" s="63">
        <f t="shared" si="65"/>
        <v>0</v>
      </c>
      <c r="U288" s="63">
        <f t="shared" si="65"/>
        <v>0</v>
      </c>
      <c r="V288" s="65">
        <f t="shared" si="16"/>
        <v>265.10000000000002</v>
      </c>
      <c r="W288" s="8">
        <f>ROUND(E288*ต้นทุนและราคา!$C$4+F288*ต้นทุนและราคา!$C$5+G288*ต้นทุนและราคา!$C$6+H288*ต้นทุนและราคา!$C$7+I288*ต้นทุนและราคา!$C$8+J288*ต้นทุนและราคา!$C$9+K288*ต้นทุนและราคา!$C$10+L288*ต้นทุนและราคา!$C$11+M288*ต้นทุนและราคา!$C$12+N288*ต้นทุนและราคา!$C$13+O288*ต้นทุนและราคา!$C$14+P288*ต้นทุนและราคา!$C$15+Q288*ต้นทุนและราคา!$C$16+R288*ต้นทุนและราคา!$C$17+S288*ต้นทุนและราคา!$C$18+T288*ต้นทุนและราคา!$C$19+U288*ต้นทุนและราคา!$C$20+IF($C288="16 oz",ต้นทุนและราคา!$C$21,IF($C288="20 oz",ต้นทุนและราคา!$C$22,ต้นทุนและราคา!$C$23)),2)</f>
        <v>20.32</v>
      </c>
      <c r="X288" s="64" cm="1">
        <f t="array" ref="X288">IFERROR(INDEX(ต้นทุนและราคา!$C$26:$E$101,MATCH($B288,ต้นทุนและราคา!$A$26:$A$101,0),IF($C288="16 oz",1,IF($C288="20 oz",2,3))),"")</f>
        <v>65</v>
      </c>
      <c r="Y288" s="66">
        <f t="shared" si="35"/>
        <v>0.68738461538461537</v>
      </c>
      <c r="Z288" s="48" t="str">
        <f>"[20 oz = 16 oz x "&amp;TEXT($AB$2,"0.00")&amp;"] "&amp;Z93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</row>
    <row r="289" spans="1:26" x14ac:dyDescent="0.25">
      <c r="A289" s="4" t="str">
        <f t="shared" si="33"/>
        <v>Coconut Tea|20 oz|50%</v>
      </c>
      <c r="B289" s="4" t="s">
        <v>76</v>
      </c>
      <c r="C289" s="4" t="s">
        <v>1046</v>
      </c>
      <c r="D289" s="4" t="s">
        <v>7</v>
      </c>
      <c r="E289" s="63">
        <f t="shared" ref="E289:U289" si="66">ROUND(E94*$AB$2,1)</f>
        <v>125</v>
      </c>
      <c r="F289" s="63">
        <f t="shared" si="66"/>
        <v>0</v>
      </c>
      <c r="G289" s="63">
        <f t="shared" si="66"/>
        <v>0</v>
      </c>
      <c r="H289" s="63">
        <f t="shared" si="66"/>
        <v>15</v>
      </c>
      <c r="I289" s="63">
        <f t="shared" si="66"/>
        <v>12.5</v>
      </c>
      <c r="J289" s="63">
        <f t="shared" si="66"/>
        <v>16</v>
      </c>
      <c r="K289" s="63">
        <f t="shared" si="66"/>
        <v>0</v>
      </c>
      <c r="L289" s="63">
        <f t="shared" si="66"/>
        <v>0</v>
      </c>
      <c r="M289" s="63">
        <f t="shared" si="66"/>
        <v>0</v>
      </c>
      <c r="N289" s="63">
        <f t="shared" si="66"/>
        <v>102.8</v>
      </c>
      <c r="O289" s="63">
        <f t="shared" si="66"/>
        <v>0</v>
      </c>
      <c r="P289" s="63">
        <f t="shared" si="66"/>
        <v>0</v>
      </c>
      <c r="Q289" s="63">
        <f t="shared" si="66"/>
        <v>0</v>
      </c>
      <c r="R289" s="63">
        <f t="shared" si="66"/>
        <v>0</v>
      </c>
      <c r="S289" s="63">
        <f t="shared" si="66"/>
        <v>275</v>
      </c>
      <c r="T289" s="63">
        <f t="shared" si="66"/>
        <v>0</v>
      </c>
      <c r="U289" s="63">
        <f t="shared" si="66"/>
        <v>0</v>
      </c>
      <c r="V289" s="65">
        <f t="shared" si="16"/>
        <v>271.3</v>
      </c>
      <c r="W289" s="8">
        <f>ROUND(E289*ต้นทุนและราคา!$C$4+F289*ต้นทุนและราคา!$C$5+G289*ต้นทุนและราคา!$C$6+H289*ต้นทุนและราคา!$C$7+I289*ต้นทุนและราคา!$C$8+J289*ต้นทุนและราคา!$C$9+K289*ต้นทุนและราคา!$C$10+L289*ต้นทุนและราคา!$C$11+M289*ต้นทุนและราคา!$C$12+N289*ต้นทุนและราคา!$C$13+O289*ต้นทุนและราคา!$C$14+P289*ต้นทุนและราคา!$C$15+Q289*ต้นทุนและราคา!$C$16+R289*ต้นทุนและราคา!$C$17+S289*ต้นทุนและราคา!$C$18+T289*ต้นทุนและราคา!$C$19+U289*ต้นทุนและราคา!$C$20+IF($C289="16 oz",ต้นทุนและราคา!$C$21,IF($C289="20 oz",ต้นทุนและราคา!$C$22,ต้นทุนและราคา!$C$23)),2)</f>
        <v>20.75</v>
      </c>
      <c r="X289" s="64" cm="1">
        <f t="array" ref="X289">IFERROR(INDEX(ต้นทุนและราคา!$C$26:$E$101,MATCH($B289,ต้นทุนและราคา!$A$26:$A$101,0),IF($C289="16 oz",1,IF($C289="20 oz",2,3))),"")</f>
        <v>65</v>
      </c>
      <c r="Y289" s="66">
        <f t="shared" si="35"/>
        <v>0.68076923076923079</v>
      </c>
      <c r="Z289" s="48" t="str">
        <f>"[20 oz = 16 oz x "&amp;TEXT($AB$2,"0.00")&amp;"] "&amp;Z94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</row>
    <row r="290" spans="1:26" x14ac:dyDescent="0.25">
      <c r="A290" s="4" t="str">
        <f t="shared" si="33"/>
        <v>Coconut Tea|20 oz|75%</v>
      </c>
      <c r="B290" s="4" t="s">
        <v>76</v>
      </c>
      <c r="C290" s="4" t="s">
        <v>1046</v>
      </c>
      <c r="D290" s="4" t="s">
        <v>65</v>
      </c>
      <c r="E290" s="63">
        <f t="shared" ref="E290:U290" si="67">ROUND(E95*$AB$2,1)</f>
        <v>125</v>
      </c>
      <c r="F290" s="63">
        <f t="shared" si="67"/>
        <v>0</v>
      </c>
      <c r="G290" s="63">
        <f t="shared" si="67"/>
        <v>0</v>
      </c>
      <c r="H290" s="63">
        <f t="shared" si="67"/>
        <v>15</v>
      </c>
      <c r="I290" s="63">
        <f t="shared" si="67"/>
        <v>18.8</v>
      </c>
      <c r="J290" s="63">
        <f t="shared" si="67"/>
        <v>16</v>
      </c>
      <c r="K290" s="63">
        <f t="shared" si="67"/>
        <v>0</v>
      </c>
      <c r="L290" s="63">
        <f t="shared" si="67"/>
        <v>0</v>
      </c>
      <c r="M290" s="63">
        <f t="shared" si="67"/>
        <v>0</v>
      </c>
      <c r="N290" s="63">
        <f t="shared" si="67"/>
        <v>102.8</v>
      </c>
      <c r="O290" s="63">
        <f t="shared" si="67"/>
        <v>0</v>
      </c>
      <c r="P290" s="63">
        <f t="shared" si="67"/>
        <v>0</v>
      </c>
      <c r="Q290" s="63">
        <f t="shared" si="67"/>
        <v>0</v>
      </c>
      <c r="R290" s="63">
        <f t="shared" si="67"/>
        <v>0</v>
      </c>
      <c r="S290" s="63">
        <f t="shared" si="67"/>
        <v>275</v>
      </c>
      <c r="T290" s="63">
        <f t="shared" si="67"/>
        <v>0</v>
      </c>
      <c r="U290" s="63">
        <f t="shared" si="67"/>
        <v>0</v>
      </c>
      <c r="V290" s="65">
        <f t="shared" si="16"/>
        <v>277.60000000000002</v>
      </c>
      <c r="W290" s="8">
        <f>ROUND(E290*ต้นทุนและราคา!$C$4+F290*ต้นทุนและราคา!$C$5+G290*ต้นทุนและราคา!$C$6+H290*ต้นทุนและราคา!$C$7+I290*ต้นทุนและราคา!$C$8+J290*ต้นทุนและราคา!$C$9+K290*ต้นทุนและราคา!$C$10+L290*ต้นทุนและราคา!$C$11+M290*ต้นทุนและราคา!$C$12+N290*ต้นทุนและราคา!$C$13+O290*ต้นทุนและราคา!$C$14+P290*ต้นทุนและราคา!$C$15+Q290*ต้นทุนและราคา!$C$16+R290*ต้นทุนและราคา!$C$17+S290*ต้นทุนและราคา!$C$18+T290*ต้นทุนและราคา!$C$19+U290*ต้นทุนและราคา!$C$20+IF($C290="16 oz",ต้นทุนและราคา!$C$21,IF($C290="20 oz",ต้นทุนและราคา!$C$22,ต้นทุนและราคา!$C$23)),2)</f>
        <v>21.19</v>
      </c>
      <c r="X290" s="64" cm="1">
        <f t="array" ref="X290">IFERROR(INDEX(ต้นทุนและราคา!$C$26:$E$101,MATCH($B290,ต้นทุนและราคา!$A$26:$A$101,0),IF($C290="16 oz",1,IF($C290="20 oz",2,3))),"")</f>
        <v>65</v>
      </c>
      <c r="Y290" s="66">
        <f t="shared" si="35"/>
        <v>0.67400000000000004</v>
      </c>
      <c r="Z290" s="48" t="str">
        <f>"[20 oz = 16 oz x "&amp;TEXT($AB$2,"0.00")&amp;"] "&amp;Z95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</row>
    <row r="291" spans="1:26" x14ac:dyDescent="0.25">
      <c r="A291" s="4" t="str">
        <f t="shared" si="33"/>
        <v>Coconut Tea|20 oz|100%</v>
      </c>
      <c r="B291" s="4" t="s">
        <v>76</v>
      </c>
      <c r="C291" s="4" t="s">
        <v>1046</v>
      </c>
      <c r="D291" s="4" t="s">
        <v>66</v>
      </c>
      <c r="E291" s="63">
        <f t="shared" ref="E291:U291" si="68">ROUND(E96*$AB$2,1)</f>
        <v>125</v>
      </c>
      <c r="F291" s="63">
        <f t="shared" si="68"/>
        <v>0</v>
      </c>
      <c r="G291" s="63">
        <f t="shared" si="68"/>
        <v>0</v>
      </c>
      <c r="H291" s="63">
        <f t="shared" si="68"/>
        <v>15</v>
      </c>
      <c r="I291" s="63">
        <f t="shared" si="68"/>
        <v>25</v>
      </c>
      <c r="J291" s="63">
        <f t="shared" si="68"/>
        <v>16</v>
      </c>
      <c r="K291" s="63">
        <f t="shared" si="68"/>
        <v>0</v>
      </c>
      <c r="L291" s="63">
        <f t="shared" si="68"/>
        <v>0</v>
      </c>
      <c r="M291" s="63">
        <f t="shared" si="68"/>
        <v>0</v>
      </c>
      <c r="N291" s="63">
        <f t="shared" si="68"/>
        <v>102.8</v>
      </c>
      <c r="O291" s="63">
        <f t="shared" si="68"/>
        <v>0</v>
      </c>
      <c r="P291" s="63">
        <f t="shared" si="68"/>
        <v>0</v>
      </c>
      <c r="Q291" s="63">
        <f t="shared" si="68"/>
        <v>0</v>
      </c>
      <c r="R291" s="63">
        <f t="shared" si="68"/>
        <v>0</v>
      </c>
      <c r="S291" s="63">
        <f t="shared" si="68"/>
        <v>275</v>
      </c>
      <c r="T291" s="63">
        <f t="shared" si="68"/>
        <v>0</v>
      </c>
      <c r="U291" s="63">
        <f t="shared" si="68"/>
        <v>0</v>
      </c>
      <c r="V291" s="65">
        <f t="shared" si="16"/>
        <v>283.8</v>
      </c>
      <c r="W291" s="8">
        <f>ROUND(E291*ต้นทุนและราคา!$C$4+F291*ต้นทุนและราคา!$C$5+G291*ต้นทุนและราคา!$C$6+H291*ต้นทุนและราคา!$C$7+I291*ต้นทุนและราคา!$C$8+J291*ต้นทุนและราคา!$C$9+K291*ต้นทุนและราคา!$C$10+L291*ต้นทุนและราคา!$C$11+M291*ต้นทุนและราคา!$C$12+N291*ต้นทุนและราคา!$C$13+O291*ต้นทุนและราคา!$C$14+P291*ต้นทุนและราคา!$C$15+Q291*ต้นทุนและราคา!$C$16+R291*ต้นทุนและราคา!$C$17+S291*ต้นทุนและราคา!$C$18+T291*ต้นทุนและราคา!$C$19+U291*ต้นทุนและราคา!$C$20+IF($C291="16 oz",ต้นทุนและราคา!$C$21,IF($C291="20 oz",ต้นทุนและราคา!$C$22,ต้นทุนและราคา!$C$23)),2)</f>
        <v>21.62</v>
      </c>
      <c r="X291" s="64" cm="1">
        <f t="array" ref="X291">IFERROR(INDEX(ต้นทุนและราคา!$C$26:$E$101,MATCH($B291,ต้นทุนและราคา!$A$26:$A$101,0),IF($C291="16 oz",1,IF($C291="20 oz",2,3))),"")</f>
        <v>65</v>
      </c>
      <c r="Y291" s="66">
        <f t="shared" si="35"/>
        <v>0.66738461538461535</v>
      </c>
      <c r="Z291" s="48" t="str">
        <f>"[20 oz = 16 oz x "&amp;TEXT($AB$2,"0.00")&amp;"] "&amp;Z96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</row>
    <row r="292" spans="1:26" x14ac:dyDescent="0.25">
      <c r="A292" s="4" t="str">
        <f t="shared" si="33"/>
        <v>Lemon Tea|20 oz|0%</v>
      </c>
      <c r="B292" s="4" t="s">
        <v>77</v>
      </c>
      <c r="C292" s="4" t="s">
        <v>1046</v>
      </c>
      <c r="D292" s="4" t="s">
        <v>63</v>
      </c>
      <c r="E292" s="63">
        <f t="shared" ref="E292:U292" si="69">ROUND(E102*$AB$2,1)</f>
        <v>206.3</v>
      </c>
      <c r="F292" s="63">
        <f t="shared" si="69"/>
        <v>0</v>
      </c>
      <c r="G292" s="63">
        <f t="shared" si="69"/>
        <v>0</v>
      </c>
      <c r="H292" s="63">
        <f t="shared" si="69"/>
        <v>0</v>
      </c>
      <c r="I292" s="63">
        <f t="shared" si="69"/>
        <v>0</v>
      </c>
      <c r="J292" s="63">
        <f t="shared" si="69"/>
        <v>0</v>
      </c>
      <c r="K292" s="63">
        <f t="shared" si="69"/>
        <v>0</v>
      </c>
      <c r="L292" s="63">
        <f t="shared" si="69"/>
        <v>0</v>
      </c>
      <c r="M292" s="63">
        <f t="shared" si="69"/>
        <v>0</v>
      </c>
      <c r="N292" s="63">
        <f t="shared" si="69"/>
        <v>0</v>
      </c>
      <c r="O292" s="63">
        <f t="shared" si="69"/>
        <v>0</v>
      </c>
      <c r="P292" s="63">
        <f t="shared" si="69"/>
        <v>18.8</v>
      </c>
      <c r="Q292" s="63">
        <f t="shared" si="69"/>
        <v>0</v>
      </c>
      <c r="R292" s="63">
        <f t="shared" si="69"/>
        <v>0</v>
      </c>
      <c r="S292" s="63">
        <f t="shared" si="69"/>
        <v>300</v>
      </c>
      <c r="T292" s="63">
        <f t="shared" si="69"/>
        <v>0</v>
      </c>
      <c r="U292" s="63">
        <f t="shared" si="69"/>
        <v>0</v>
      </c>
      <c r="V292" s="65">
        <f t="shared" si="16"/>
        <v>225.10000000000002</v>
      </c>
      <c r="W292" s="8">
        <f>ROUND(E292*ต้นทุนและราคา!$C$4+F292*ต้นทุนและราคา!$C$5+G292*ต้นทุนและราคา!$C$6+H292*ต้นทุนและราคา!$C$7+I292*ต้นทุนและราคา!$C$8+J292*ต้นทุนและราคา!$C$9+K292*ต้นทุนและราคา!$C$10+L292*ต้นทุนและราคา!$C$11+M292*ต้นทุนและราคา!$C$12+N292*ต้นทุนและราคา!$C$13+O292*ต้นทุนและราคา!$C$14+P292*ต้นทุนและราคา!$C$15+Q292*ต้นทุนและราคา!$C$16+R292*ต้นทุนและราคา!$C$17+S292*ต้นทุนและราคา!$C$18+T292*ต้นทุนและราคา!$C$19+U292*ต้นทุนและราคา!$C$20+IF($C292="16 oz",ต้นทุนและราคา!$C$21,IF($C292="20 oz",ต้นทุนและราคา!$C$22,ต้นทุนและราคา!$C$23)),2)</f>
        <v>17.440000000000001</v>
      </c>
      <c r="X292" s="64" cm="1">
        <f t="array" ref="X292">IFERROR(INDEX(ต้นทุนและราคา!$C$26:$E$101,MATCH($B292,ต้นทุนและราคา!$A$26:$A$101,0),IF($C292="16 oz",1,IF($C292="20 oz",2,3))),"")</f>
        <v>49</v>
      </c>
      <c r="Y292" s="66">
        <f t="shared" si="35"/>
        <v>0.64408163265306118</v>
      </c>
      <c r="Z292" s="48" t="str">
        <f>"[20 oz = 16 oz x "&amp;TEXT($AB$2,"0.00")&amp;"] "&amp;Z102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</row>
    <row r="293" spans="1:26" x14ac:dyDescent="0.25">
      <c r="A293" s="4" t="str">
        <f t="shared" si="33"/>
        <v>Lemon Tea|20 oz|25%</v>
      </c>
      <c r="B293" s="4" t="s">
        <v>77</v>
      </c>
      <c r="C293" s="4" t="s">
        <v>1046</v>
      </c>
      <c r="D293" s="4" t="s">
        <v>64</v>
      </c>
      <c r="E293" s="63">
        <f t="shared" ref="E293:U293" si="70">ROUND(E103*$AB$2,1)</f>
        <v>182.9</v>
      </c>
      <c r="F293" s="63">
        <f t="shared" si="70"/>
        <v>0</v>
      </c>
      <c r="G293" s="63">
        <f t="shared" si="70"/>
        <v>0</v>
      </c>
      <c r="H293" s="63">
        <f t="shared" si="70"/>
        <v>0</v>
      </c>
      <c r="I293" s="63">
        <f t="shared" si="70"/>
        <v>0</v>
      </c>
      <c r="J293" s="63">
        <f t="shared" si="70"/>
        <v>33.4</v>
      </c>
      <c r="K293" s="63">
        <f t="shared" si="70"/>
        <v>0</v>
      </c>
      <c r="L293" s="63">
        <f t="shared" si="70"/>
        <v>0</v>
      </c>
      <c r="M293" s="63">
        <f t="shared" si="70"/>
        <v>0</v>
      </c>
      <c r="N293" s="63">
        <f t="shared" si="70"/>
        <v>0</v>
      </c>
      <c r="O293" s="63">
        <f t="shared" si="70"/>
        <v>0</v>
      </c>
      <c r="P293" s="63">
        <f t="shared" si="70"/>
        <v>18.8</v>
      </c>
      <c r="Q293" s="63">
        <f t="shared" si="70"/>
        <v>0</v>
      </c>
      <c r="R293" s="63">
        <f t="shared" si="70"/>
        <v>0</v>
      </c>
      <c r="S293" s="63">
        <f t="shared" si="70"/>
        <v>300</v>
      </c>
      <c r="T293" s="63">
        <f t="shared" si="70"/>
        <v>0</v>
      </c>
      <c r="U293" s="63">
        <f t="shared" si="70"/>
        <v>0</v>
      </c>
      <c r="V293" s="65">
        <f t="shared" si="16"/>
        <v>235.10000000000002</v>
      </c>
      <c r="W293" s="8">
        <f>ROUND(E293*ต้นทุนและราคา!$C$4+F293*ต้นทุนและราคา!$C$5+G293*ต้นทุนและราคา!$C$6+H293*ต้นทุนและราคา!$C$7+I293*ต้นทุนและราคา!$C$8+J293*ต้นทุนและราคา!$C$9+K293*ต้นทุนและราคา!$C$10+L293*ต้นทุนและราคา!$C$11+M293*ต้นทุนและราคา!$C$12+N293*ต้นทุนและราคา!$C$13+O293*ต้นทุนและราคา!$C$14+P293*ต้นทุนและราคา!$C$15+Q293*ต้นทุนและราคา!$C$16+R293*ต้นทุนและราคา!$C$17+S293*ต้นทุนและราคา!$C$18+T293*ต้นทุนและราคา!$C$19+U293*ต้นทุนและราคา!$C$20+IF($C293="16 oz",ต้นทุนและราคา!$C$21,IF($C293="20 oz",ต้นทุนและราคา!$C$22,ต้นทุนและราคา!$C$23)),2)</f>
        <v>17.53</v>
      </c>
      <c r="X293" s="64" cm="1">
        <f t="array" ref="X293">IFERROR(INDEX(ต้นทุนและราคา!$C$26:$E$101,MATCH($B293,ต้นทุนและราคา!$A$26:$A$101,0),IF($C293="16 oz",1,IF($C293="20 oz",2,3))),"")</f>
        <v>49</v>
      </c>
      <c r="Y293" s="66">
        <f t="shared" si="35"/>
        <v>0.6422448979591836</v>
      </c>
      <c r="Z293" s="48" t="str">
        <f>"[20 oz = 16 oz x "&amp;TEXT($AB$2,"0.00")&amp;"] "&amp;Z103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</row>
    <row r="294" spans="1:26" x14ac:dyDescent="0.25">
      <c r="A294" s="4" t="str">
        <f t="shared" si="33"/>
        <v>Lemon Tea|20 oz|50%</v>
      </c>
      <c r="B294" s="4" t="s">
        <v>77</v>
      </c>
      <c r="C294" s="4" t="s">
        <v>1046</v>
      </c>
      <c r="D294" s="4" t="s">
        <v>7</v>
      </c>
      <c r="E294" s="63">
        <f t="shared" ref="E294:U294" si="71">ROUND(E104*$AB$2,1)</f>
        <v>182.9</v>
      </c>
      <c r="F294" s="63">
        <f t="shared" si="71"/>
        <v>0</v>
      </c>
      <c r="G294" s="63">
        <f t="shared" si="71"/>
        <v>0</v>
      </c>
      <c r="H294" s="63">
        <f t="shared" si="71"/>
        <v>0</v>
      </c>
      <c r="I294" s="63">
        <f t="shared" si="71"/>
        <v>0</v>
      </c>
      <c r="J294" s="63">
        <f t="shared" si="71"/>
        <v>43.4</v>
      </c>
      <c r="K294" s="63">
        <f t="shared" si="71"/>
        <v>0</v>
      </c>
      <c r="L294" s="63">
        <f t="shared" si="71"/>
        <v>0</v>
      </c>
      <c r="M294" s="63">
        <f t="shared" si="71"/>
        <v>0</v>
      </c>
      <c r="N294" s="63">
        <f t="shared" si="71"/>
        <v>0</v>
      </c>
      <c r="O294" s="63">
        <f t="shared" si="71"/>
        <v>0</v>
      </c>
      <c r="P294" s="63">
        <f t="shared" si="71"/>
        <v>18.8</v>
      </c>
      <c r="Q294" s="63">
        <f t="shared" si="71"/>
        <v>0</v>
      </c>
      <c r="R294" s="63">
        <f t="shared" si="71"/>
        <v>0</v>
      </c>
      <c r="S294" s="63">
        <f t="shared" si="71"/>
        <v>300</v>
      </c>
      <c r="T294" s="63">
        <f t="shared" si="71"/>
        <v>0</v>
      </c>
      <c r="U294" s="63">
        <f t="shared" si="71"/>
        <v>0</v>
      </c>
      <c r="V294" s="65">
        <f t="shared" si="16"/>
        <v>245.10000000000002</v>
      </c>
      <c r="W294" s="8">
        <f>ROUND(E294*ต้นทุนและราคา!$C$4+F294*ต้นทุนและราคา!$C$5+G294*ต้นทุนและราคา!$C$6+H294*ต้นทุนและราคา!$C$7+I294*ต้นทุนและราคา!$C$8+J294*ต้นทุนและราคา!$C$9+K294*ต้นทุนและราคา!$C$10+L294*ต้นทุนและราคา!$C$11+M294*ต้นทุนและราคา!$C$12+N294*ต้นทุนและราคา!$C$13+O294*ต้นทุนและราคา!$C$14+P294*ต้นทุนและราคา!$C$15+Q294*ต้นทุนและราคา!$C$16+R294*ต้นทุนและราคา!$C$17+S294*ต้นทุนและราคา!$C$18+T294*ต้นทุนและราคา!$C$19+U294*ต้นทุนและราคา!$C$20+IF($C294="16 oz",ต้นทุนและราคา!$C$21,IF($C294="20 oz",ต้นทุนและราคา!$C$22,ต้นทุนและราคา!$C$23)),2)</f>
        <v>17.7</v>
      </c>
      <c r="X294" s="64" cm="1">
        <f t="array" ref="X294">IFERROR(INDEX(ต้นทุนและราคา!$C$26:$E$101,MATCH($B294,ต้นทุนและราคา!$A$26:$A$101,0),IF($C294="16 oz",1,IF($C294="20 oz",2,3))),"")</f>
        <v>49</v>
      </c>
      <c r="Y294" s="66">
        <f t="shared" si="35"/>
        <v>0.63877551020408163</v>
      </c>
      <c r="Z294" s="48" t="str">
        <f>"[20 oz = 16 oz x "&amp;TEXT($AB$2,"0.00")&amp;"] "&amp;Z104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</row>
    <row r="295" spans="1:26" x14ac:dyDescent="0.25">
      <c r="A295" s="4" t="str">
        <f t="shared" si="33"/>
        <v>Lemon Tea|20 oz|75%</v>
      </c>
      <c r="B295" s="4" t="s">
        <v>77</v>
      </c>
      <c r="C295" s="4" t="s">
        <v>1046</v>
      </c>
      <c r="D295" s="4" t="s">
        <v>65</v>
      </c>
      <c r="E295" s="63">
        <f t="shared" ref="E295:U295" si="72">ROUND(E105*$AB$2,1)</f>
        <v>182.9</v>
      </c>
      <c r="F295" s="63">
        <f t="shared" si="72"/>
        <v>0</v>
      </c>
      <c r="G295" s="63">
        <f t="shared" si="72"/>
        <v>0</v>
      </c>
      <c r="H295" s="63">
        <f t="shared" si="72"/>
        <v>0</v>
      </c>
      <c r="I295" s="63">
        <f t="shared" si="72"/>
        <v>0</v>
      </c>
      <c r="J295" s="63">
        <f t="shared" si="72"/>
        <v>53.4</v>
      </c>
      <c r="K295" s="63">
        <f t="shared" si="72"/>
        <v>0</v>
      </c>
      <c r="L295" s="63">
        <f t="shared" si="72"/>
        <v>0</v>
      </c>
      <c r="M295" s="63">
        <f t="shared" si="72"/>
        <v>0</v>
      </c>
      <c r="N295" s="63">
        <f t="shared" si="72"/>
        <v>0</v>
      </c>
      <c r="O295" s="63">
        <f t="shared" si="72"/>
        <v>0</v>
      </c>
      <c r="P295" s="63">
        <f t="shared" si="72"/>
        <v>18.8</v>
      </c>
      <c r="Q295" s="63">
        <f t="shared" si="72"/>
        <v>0</v>
      </c>
      <c r="R295" s="63">
        <f t="shared" si="72"/>
        <v>0</v>
      </c>
      <c r="S295" s="63">
        <f t="shared" si="72"/>
        <v>300</v>
      </c>
      <c r="T295" s="63">
        <f t="shared" si="72"/>
        <v>0</v>
      </c>
      <c r="U295" s="63">
        <f t="shared" si="72"/>
        <v>0</v>
      </c>
      <c r="V295" s="65">
        <f t="shared" si="16"/>
        <v>255.10000000000002</v>
      </c>
      <c r="W295" s="8">
        <f>ROUND(E295*ต้นทุนและราคา!$C$4+F295*ต้นทุนและราคา!$C$5+G295*ต้นทุนและราคา!$C$6+H295*ต้นทุนและราคา!$C$7+I295*ต้นทุนและราคา!$C$8+J295*ต้นทุนและราคา!$C$9+K295*ต้นทุนและราคา!$C$10+L295*ต้นทุนและราคา!$C$11+M295*ต้นทุนและราคา!$C$12+N295*ต้นทุนและราคา!$C$13+O295*ต้นทุนและราคา!$C$14+P295*ต้นทุนและราคา!$C$15+Q295*ต้นทุนและราคา!$C$16+R295*ต้นทุนและราคา!$C$17+S295*ต้นทุนและราคา!$C$18+T295*ต้นทุนและราคา!$C$19+U295*ต้นทุนและราคา!$C$20+IF($C295="16 oz",ต้นทุนและราคา!$C$21,IF($C295="20 oz",ต้นทุนและราคา!$C$22,ต้นทุนและราคา!$C$23)),2)</f>
        <v>17.86</v>
      </c>
      <c r="X295" s="64" cm="1">
        <f t="array" ref="X295">IFERROR(INDEX(ต้นทุนและราคา!$C$26:$E$101,MATCH($B295,ต้นทุนและราคา!$A$26:$A$101,0),IF($C295="16 oz",1,IF($C295="20 oz",2,3))),"")</f>
        <v>49</v>
      </c>
      <c r="Y295" s="66">
        <f t="shared" si="35"/>
        <v>0.63551020408163261</v>
      </c>
      <c r="Z295" s="48" t="str">
        <f>"[20 oz = 16 oz x "&amp;TEXT($AB$2,"0.00")&amp;"] "&amp;Z105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</row>
    <row r="296" spans="1:26" x14ac:dyDescent="0.25">
      <c r="A296" s="4" t="str">
        <f t="shared" si="33"/>
        <v>Lemon Tea|20 oz|100%</v>
      </c>
      <c r="B296" s="4" t="s">
        <v>77</v>
      </c>
      <c r="C296" s="4" t="s">
        <v>1046</v>
      </c>
      <c r="D296" s="4" t="s">
        <v>66</v>
      </c>
      <c r="E296" s="63">
        <f t="shared" ref="E296:U296" si="73">ROUND(E106*$AB$2,1)</f>
        <v>182.9</v>
      </c>
      <c r="F296" s="63">
        <f t="shared" si="73"/>
        <v>0</v>
      </c>
      <c r="G296" s="63">
        <f t="shared" si="73"/>
        <v>0</v>
      </c>
      <c r="H296" s="63">
        <f t="shared" si="73"/>
        <v>0</v>
      </c>
      <c r="I296" s="63">
        <f t="shared" si="73"/>
        <v>0</v>
      </c>
      <c r="J296" s="63">
        <f t="shared" si="73"/>
        <v>63.4</v>
      </c>
      <c r="K296" s="63">
        <f t="shared" si="73"/>
        <v>0</v>
      </c>
      <c r="L296" s="63">
        <f t="shared" si="73"/>
        <v>0</v>
      </c>
      <c r="M296" s="63">
        <f t="shared" si="73"/>
        <v>0</v>
      </c>
      <c r="N296" s="63">
        <f t="shared" si="73"/>
        <v>0</v>
      </c>
      <c r="O296" s="63">
        <f t="shared" si="73"/>
        <v>0</v>
      </c>
      <c r="P296" s="63">
        <f t="shared" si="73"/>
        <v>18.8</v>
      </c>
      <c r="Q296" s="63">
        <f t="shared" si="73"/>
        <v>0</v>
      </c>
      <c r="R296" s="63">
        <f t="shared" si="73"/>
        <v>0</v>
      </c>
      <c r="S296" s="63">
        <f t="shared" si="73"/>
        <v>300</v>
      </c>
      <c r="T296" s="63">
        <f t="shared" si="73"/>
        <v>0</v>
      </c>
      <c r="U296" s="63">
        <f t="shared" si="73"/>
        <v>0</v>
      </c>
      <c r="V296" s="65">
        <f t="shared" ref="V296:V359" si="74">E296+F296+G296+H296+I296+J296+K296+M296+N296+P296+Q296+T296+U296</f>
        <v>265.10000000000002</v>
      </c>
      <c r="W296" s="8">
        <f>ROUND(E296*ต้นทุนและราคา!$C$4+F296*ต้นทุนและราคา!$C$5+G296*ต้นทุนและราคา!$C$6+H296*ต้นทุนและราคา!$C$7+I296*ต้นทุนและราคา!$C$8+J296*ต้นทุนและราคา!$C$9+K296*ต้นทุนและราคา!$C$10+L296*ต้นทุนและราคา!$C$11+M296*ต้นทุนและราคา!$C$12+N296*ต้นทุนและราคา!$C$13+O296*ต้นทุนและราคา!$C$14+P296*ต้นทุนและราคา!$C$15+Q296*ต้นทุนและราคา!$C$16+R296*ต้นทุนและราคา!$C$17+S296*ต้นทุนและราคา!$C$18+T296*ต้นทุนและราคา!$C$19+U296*ต้นทุนและราคา!$C$20+IF($C296="16 oz",ต้นทุนและราคา!$C$21,IF($C296="20 oz",ต้นทุนและราคา!$C$22,ต้นทุนและราคา!$C$23)),2)</f>
        <v>18.03</v>
      </c>
      <c r="X296" s="64" cm="1">
        <f t="array" ref="X296">IFERROR(INDEX(ต้นทุนและราคา!$C$26:$E$101,MATCH($B296,ต้นทุนและราคา!$A$26:$A$101,0),IF($C296="16 oz",1,IF($C296="20 oz",2,3))),"")</f>
        <v>49</v>
      </c>
      <c r="Y296" s="66">
        <f t="shared" si="35"/>
        <v>0.63204081632653064</v>
      </c>
      <c r="Z296" s="48" t="str">
        <f>"[20 oz = 16 oz x "&amp;TEXT($AB$2,"0.00")&amp;"] "&amp;Z106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</row>
    <row r="297" spans="1:26" x14ac:dyDescent="0.25">
      <c r="A297" s="4" t="str">
        <f t="shared" si="33"/>
        <v>Green Tea|20 oz|0%</v>
      </c>
      <c r="B297" s="4" t="s">
        <v>78</v>
      </c>
      <c r="C297" s="4" t="s">
        <v>1046</v>
      </c>
      <c r="D297" s="4" t="s">
        <v>63</v>
      </c>
      <c r="E297" s="63">
        <f t="shared" ref="E297:U297" si="75">ROUND(E112*$AB$2,1)</f>
        <v>0</v>
      </c>
      <c r="F297" s="63">
        <f t="shared" si="75"/>
        <v>168.8</v>
      </c>
      <c r="G297" s="63">
        <f t="shared" si="75"/>
        <v>0</v>
      </c>
      <c r="H297" s="63">
        <f t="shared" si="75"/>
        <v>70</v>
      </c>
      <c r="I297" s="63">
        <f t="shared" si="75"/>
        <v>0</v>
      </c>
      <c r="J297" s="63">
        <f t="shared" si="75"/>
        <v>0</v>
      </c>
      <c r="K297" s="63">
        <f t="shared" si="75"/>
        <v>0</v>
      </c>
      <c r="L297" s="63">
        <f t="shared" si="75"/>
        <v>0</v>
      </c>
      <c r="M297" s="63">
        <f t="shared" si="75"/>
        <v>0</v>
      </c>
      <c r="N297" s="63">
        <f t="shared" si="75"/>
        <v>0</v>
      </c>
      <c r="O297" s="63">
        <f t="shared" si="75"/>
        <v>0</v>
      </c>
      <c r="P297" s="63">
        <f t="shared" si="75"/>
        <v>0</v>
      </c>
      <c r="Q297" s="63">
        <f t="shared" si="75"/>
        <v>0</v>
      </c>
      <c r="R297" s="63">
        <f t="shared" si="75"/>
        <v>0</v>
      </c>
      <c r="S297" s="63">
        <f t="shared" si="75"/>
        <v>300</v>
      </c>
      <c r="T297" s="63">
        <f t="shared" si="75"/>
        <v>0</v>
      </c>
      <c r="U297" s="63">
        <f t="shared" si="75"/>
        <v>0</v>
      </c>
      <c r="V297" s="65">
        <f t="shared" si="74"/>
        <v>238.8</v>
      </c>
      <c r="W297" s="8">
        <f>ROUND(E297*ต้นทุนและราคา!$C$4+F297*ต้นทุนและราคา!$C$5+G297*ต้นทุนและราคา!$C$6+H297*ต้นทุนและราคา!$C$7+I297*ต้นทุนและราคา!$C$8+J297*ต้นทุนและราคา!$C$9+K297*ต้นทุนและราคา!$C$10+L297*ต้นทุนและราคา!$C$11+M297*ต้นทุนและราคา!$C$12+N297*ต้นทุนและราคา!$C$13+O297*ต้นทุนและราคา!$C$14+P297*ต้นทุนและราคา!$C$15+Q297*ต้นทุนและราคา!$C$16+R297*ต้นทุนและราคา!$C$17+S297*ต้นทุนและราคา!$C$18+T297*ต้นทุนและราคา!$C$19+U297*ต้นทุนและราคา!$C$20+IF($C297="16 oz",ต้นทุนและราคา!$C$21,IF($C297="20 oz",ต้นทุนและราคา!$C$22,ต้นทุนและราคา!$C$23)),2)</f>
        <v>18.09</v>
      </c>
      <c r="X297" s="64" cm="1">
        <f t="array" ref="X297">IFERROR(INDEX(ต้นทุนและราคา!$C$26:$E$101,MATCH($B297,ต้นทุนและราคา!$A$26:$A$101,0),IF($C297="16 oz",1,IF($C297="20 oz",2,3))),"")</f>
        <v>50</v>
      </c>
      <c r="Y297" s="66">
        <f t="shared" si="35"/>
        <v>0.63819999999999999</v>
      </c>
      <c r="Z297" s="48" t="s">
        <v>1237</v>
      </c>
    </row>
    <row r="298" spans="1:26" x14ac:dyDescent="0.25">
      <c r="A298" s="4" t="str">
        <f t="shared" si="33"/>
        <v>Green Tea|20 oz|25%</v>
      </c>
      <c r="B298" s="4" t="s">
        <v>78</v>
      </c>
      <c r="C298" s="4" t="s">
        <v>1046</v>
      </c>
      <c r="D298" s="4" t="s">
        <v>64</v>
      </c>
      <c r="E298" s="63">
        <f t="shared" ref="E298:U298" si="76">ROUND(E113*$AB$2,1)</f>
        <v>0</v>
      </c>
      <c r="F298" s="63">
        <f t="shared" si="76"/>
        <v>168.8</v>
      </c>
      <c r="G298" s="63">
        <f t="shared" si="76"/>
        <v>0</v>
      </c>
      <c r="H298" s="63">
        <f t="shared" si="76"/>
        <v>62.5</v>
      </c>
      <c r="I298" s="63">
        <f t="shared" si="76"/>
        <v>10</v>
      </c>
      <c r="J298" s="63">
        <f>ROUND(0+$AD$2*F298,1)</f>
        <v>21.6</v>
      </c>
      <c r="K298" s="63">
        <f t="shared" si="76"/>
        <v>0</v>
      </c>
      <c r="L298" s="63">
        <f t="shared" si="76"/>
        <v>0</v>
      </c>
      <c r="M298" s="63">
        <f t="shared" si="76"/>
        <v>0</v>
      </c>
      <c r="N298" s="63">
        <f t="shared" si="76"/>
        <v>0</v>
      </c>
      <c r="O298" s="63">
        <f t="shared" si="76"/>
        <v>0</v>
      </c>
      <c r="P298" s="63">
        <f t="shared" si="76"/>
        <v>0</v>
      </c>
      <c r="Q298" s="63">
        <f t="shared" si="76"/>
        <v>0</v>
      </c>
      <c r="R298" s="63">
        <f t="shared" si="76"/>
        <v>0</v>
      </c>
      <c r="S298" s="63">
        <f t="shared" si="76"/>
        <v>300</v>
      </c>
      <c r="T298" s="63">
        <f t="shared" si="76"/>
        <v>0</v>
      </c>
      <c r="U298" s="63">
        <f t="shared" si="76"/>
        <v>0</v>
      </c>
      <c r="V298" s="65">
        <f t="shared" si="74"/>
        <v>262.90000000000003</v>
      </c>
      <c r="W298" s="8">
        <f>ROUND(E298*ต้นทุนและราคา!$C$4+F298*ต้นทุนและราคา!$C$5+G298*ต้นทุนและราคา!$C$6+H298*ต้นทุนและราคา!$C$7+I298*ต้นทุนและราคา!$C$8+J298*ต้นทุนและราคา!$C$9+K298*ต้นทุนและราคา!$C$10+L298*ต้นทุนและราคา!$C$11+M298*ต้นทุนและราคา!$C$12+N298*ต้นทุนและราคา!$C$13+O298*ต้นทุนและราคา!$C$14+P298*ต้นทุนและราคา!$C$15+Q298*ต้นทุนและราคา!$C$16+R298*ต้นทุนและราคา!$C$17+S298*ต้นทุนและราคา!$C$18+T298*ต้นทุนและราคา!$C$19+U298*ต้นทุนและราคา!$C$20+IF($C298="16 oz",ต้นทุนและราคา!$C$21,IF($C298="20 oz",ต้นทุนและราคา!$C$22,ต้นทุนและราคา!$C$23)),2)</f>
        <v>18.59</v>
      </c>
      <c r="X298" s="64" cm="1">
        <f t="array" ref="X298">IFERROR(INDEX(ต้นทุนและราคา!$C$26:$E$101,MATCH($B298,ต้นทุนและราคา!$A$26:$A$101,0),IF($C298="16 oz",1,IF($C298="20 oz",2,3))),"")</f>
        <v>50</v>
      </c>
      <c r="Y298" s="66">
        <f t="shared" si="35"/>
        <v>0.62819999999999998</v>
      </c>
      <c r="Z298" s="48" t="s">
        <v>1238</v>
      </c>
    </row>
    <row r="299" spans="1:26" x14ac:dyDescent="0.25">
      <c r="A299" s="4" t="str">
        <f t="shared" si="33"/>
        <v>Green Tea|20 oz|50%</v>
      </c>
      <c r="B299" s="4" t="s">
        <v>78</v>
      </c>
      <c r="C299" s="4" t="s">
        <v>1046</v>
      </c>
      <c r="D299" s="4" t="s">
        <v>7</v>
      </c>
      <c r="E299" s="63">
        <f t="shared" ref="E299:U299" si="77">ROUND(E114*$AB$2,1)</f>
        <v>0</v>
      </c>
      <c r="F299" s="63">
        <f t="shared" si="77"/>
        <v>168.8</v>
      </c>
      <c r="G299" s="63">
        <f t="shared" si="77"/>
        <v>0</v>
      </c>
      <c r="H299" s="63">
        <f t="shared" si="77"/>
        <v>55</v>
      </c>
      <c r="I299" s="63">
        <f t="shared" si="77"/>
        <v>20</v>
      </c>
      <c r="J299" s="63">
        <f>ROUND(0+$AD$2*F299,1)</f>
        <v>21.6</v>
      </c>
      <c r="K299" s="63">
        <f t="shared" si="77"/>
        <v>0</v>
      </c>
      <c r="L299" s="63">
        <f t="shared" si="77"/>
        <v>0</v>
      </c>
      <c r="M299" s="63">
        <f t="shared" si="77"/>
        <v>0</v>
      </c>
      <c r="N299" s="63">
        <f t="shared" si="77"/>
        <v>0</v>
      </c>
      <c r="O299" s="63">
        <f t="shared" si="77"/>
        <v>0</v>
      </c>
      <c r="P299" s="63">
        <f t="shared" si="77"/>
        <v>0</v>
      </c>
      <c r="Q299" s="63">
        <f t="shared" si="77"/>
        <v>0</v>
      </c>
      <c r="R299" s="63">
        <f t="shared" si="77"/>
        <v>0</v>
      </c>
      <c r="S299" s="63">
        <f t="shared" si="77"/>
        <v>300</v>
      </c>
      <c r="T299" s="63">
        <f t="shared" si="77"/>
        <v>0</v>
      </c>
      <c r="U299" s="63">
        <f t="shared" si="77"/>
        <v>0</v>
      </c>
      <c r="V299" s="65">
        <f t="shared" si="74"/>
        <v>265.40000000000003</v>
      </c>
      <c r="W299" s="8">
        <f>ROUND(E299*ต้นทุนและราคา!$C$4+F299*ต้นทุนและราคา!$C$5+G299*ต้นทุนและราคา!$C$6+H299*ต้นทุนและราคา!$C$7+I299*ต้นทุนและราคา!$C$8+J299*ต้นทุนและราคา!$C$9+K299*ต้นทุนและราคา!$C$10+L299*ต้นทุนและราคา!$C$11+M299*ต้นทุนและราคา!$C$12+N299*ต้นทุนและราคา!$C$13+O299*ต้นทุนและราคา!$C$14+P299*ต้นทุนและราคา!$C$15+Q299*ต้นทุนและราคา!$C$16+R299*ต้นทุนและราคา!$C$17+S299*ต้นทุนและราคา!$C$18+T299*ต้นทุนและราคา!$C$19+U299*ต้นทุนและราคา!$C$20+IF($C299="16 oz",ต้นทุนและราคา!$C$21,IF($C299="20 oz",ต้นทุนและราคา!$C$22,ต้นทุนและราคา!$C$23)),2)</f>
        <v>18.73</v>
      </c>
      <c r="X299" s="64" cm="1">
        <f t="array" ref="X299">IFERROR(INDEX(ต้นทุนและราคา!$C$26:$E$101,MATCH($B299,ต้นทุนและราคา!$A$26:$A$101,0),IF($C299="16 oz",1,IF($C299="20 oz",2,3))),"")</f>
        <v>50</v>
      </c>
      <c r="Y299" s="66">
        <f t="shared" si="35"/>
        <v>0.62539999999999996</v>
      </c>
      <c r="Z299" s="48" t="s">
        <v>1238</v>
      </c>
    </row>
    <row r="300" spans="1:26" x14ac:dyDescent="0.25">
      <c r="A300" s="4" t="str">
        <f t="shared" si="33"/>
        <v>Green Tea|20 oz|75%</v>
      </c>
      <c r="B300" s="4" t="s">
        <v>78</v>
      </c>
      <c r="C300" s="4" t="s">
        <v>1046</v>
      </c>
      <c r="D300" s="4" t="s">
        <v>65</v>
      </c>
      <c r="E300" s="63">
        <f t="shared" ref="E300:U300" si="78">ROUND(E115*$AB$2,1)</f>
        <v>0</v>
      </c>
      <c r="F300" s="63">
        <f t="shared" si="78"/>
        <v>168.8</v>
      </c>
      <c r="G300" s="63">
        <f t="shared" si="78"/>
        <v>0</v>
      </c>
      <c r="H300" s="63">
        <f t="shared" si="78"/>
        <v>47.5</v>
      </c>
      <c r="I300" s="63">
        <f t="shared" si="78"/>
        <v>30</v>
      </c>
      <c r="J300" s="63">
        <f>ROUND(0+$AD$2*F300,1)</f>
        <v>21.6</v>
      </c>
      <c r="K300" s="63">
        <f t="shared" si="78"/>
        <v>0</v>
      </c>
      <c r="L300" s="63">
        <f t="shared" si="78"/>
        <v>0</v>
      </c>
      <c r="M300" s="63">
        <f t="shared" si="78"/>
        <v>0</v>
      </c>
      <c r="N300" s="63">
        <f t="shared" si="78"/>
        <v>0</v>
      </c>
      <c r="O300" s="63">
        <f t="shared" si="78"/>
        <v>0</v>
      </c>
      <c r="P300" s="63">
        <f t="shared" si="78"/>
        <v>0</v>
      </c>
      <c r="Q300" s="63">
        <f t="shared" si="78"/>
        <v>0</v>
      </c>
      <c r="R300" s="63">
        <f t="shared" si="78"/>
        <v>0</v>
      </c>
      <c r="S300" s="63">
        <f t="shared" si="78"/>
        <v>300</v>
      </c>
      <c r="T300" s="63">
        <f t="shared" si="78"/>
        <v>0</v>
      </c>
      <c r="U300" s="63">
        <f t="shared" si="78"/>
        <v>0</v>
      </c>
      <c r="V300" s="65">
        <f t="shared" si="74"/>
        <v>267.90000000000003</v>
      </c>
      <c r="W300" s="8">
        <f>ROUND(E300*ต้นทุนและราคา!$C$4+F300*ต้นทุนและราคา!$C$5+G300*ต้นทุนและราคา!$C$6+H300*ต้นทุนและราคา!$C$7+I300*ต้นทุนและราคา!$C$8+J300*ต้นทุนและราคา!$C$9+K300*ต้นทุนและราคา!$C$10+L300*ต้นทุนและราคา!$C$11+M300*ต้นทุนและราคา!$C$12+N300*ต้นทุนและราคา!$C$13+O300*ต้นทุนและราคา!$C$14+P300*ต้นทุนและราคา!$C$15+Q300*ต้นทุนและราคา!$C$16+R300*ต้นทุนและราคา!$C$17+S300*ต้นทุนและราคา!$C$18+T300*ต้นทุนและราคา!$C$19+U300*ต้นทุนและราคา!$C$20+IF($C300="16 oz",ต้นทุนและราคา!$C$21,IF($C300="20 oz",ต้นทุนและราคา!$C$22,ต้นทุนและราคา!$C$23)),2)</f>
        <v>18.87</v>
      </c>
      <c r="X300" s="64" cm="1">
        <f t="array" ref="X300">IFERROR(INDEX(ต้นทุนและราคา!$C$26:$E$101,MATCH($B300,ต้นทุนและราคา!$A$26:$A$101,0),IF($C300="16 oz",1,IF($C300="20 oz",2,3))),"")</f>
        <v>50</v>
      </c>
      <c r="Y300" s="66">
        <f t="shared" si="35"/>
        <v>0.62259999999999993</v>
      </c>
      <c r="Z300" s="48" t="s">
        <v>1238</v>
      </c>
    </row>
    <row r="301" spans="1:26" x14ac:dyDescent="0.25">
      <c r="A301" s="4" t="str">
        <f t="shared" si="33"/>
        <v>Green Tea|20 oz|100%</v>
      </c>
      <c r="B301" s="4" t="s">
        <v>78</v>
      </c>
      <c r="C301" s="4" t="s">
        <v>1046</v>
      </c>
      <c r="D301" s="4" t="s">
        <v>66</v>
      </c>
      <c r="E301" s="63">
        <f t="shared" ref="E301:U301" si="79">ROUND(E116*$AB$2,1)</f>
        <v>0</v>
      </c>
      <c r="F301" s="63">
        <f t="shared" si="79"/>
        <v>168.8</v>
      </c>
      <c r="G301" s="63">
        <f t="shared" si="79"/>
        <v>0</v>
      </c>
      <c r="H301" s="63">
        <f t="shared" si="79"/>
        <v>40</v>
      </c>
      <c r="I301" s="63">
        <f t="shared" si="79"/>
        <v>40</v>
      </c>
      <c r="J301" s="63">
        <f>ROUND(0+$AD$2*F301,1)</f>
        <v>21.6</v>
      </c>
      <c r="K301" s="63">
        <f t="shared" si="79"/>
        <v>0</v>
      </c>
      <c r="L301" s="63">
        <f t="shared" si="79"/>
        <v>0</v>
      </c>
      <c r="M301" s="63">
        <f t="shared" si="79"/>
        <v>0</v>
      </c>
      <c r="N301" s="63">
        <f t="shared" si="79"/>
        <v>0</v>
      </c>
      <c r="O301" s="63">
        <f t="shared" si="79"/>
        <v>0</v>
      </c>
      <c r="P301" s="63">
        <f t="shared" si="79"/>
        <v>0</v>
      </c>
      <c r="Q301" s="63">
        <f t="shared" si="79"/>
        <v>0</v>
      </c>
      <c r="R301" s="63">
        <f t="shared" si="79"/>
        <v>0</v>
      </c>
      <c r="S301" s="63">
        <f t="shared" si="79"/>
        <v>300</v>
      </c>
      <c r="T301" s="63">
        <f t="shared" si="79"/>
        <v>0</v>
      </c>
      <c r="U301" s="63">
        <f t="shared" si="79"/>
        <v>0</v>
      </c>
      <c r="V301" s="65">
        <f t="shared" si="74"/>
        <v>270.40000000000003</v>
      </c>
      <c r="W301" s="8">
        <f>ROUND(E301*ต้นทุนและราคา!$C$4+F301*ต้นทุนและราคา!$C$5+G301*ต้นทุนและราคา!$C$6+H301*ต้นทุนและราคา!$C$7+I301*ต้นทุนและราคา!$C$8+J301*ต้นทุนและราคา!$C$9+K301*ต้นทุนและราคา!$C$10+L301*ต้นทุนและราคา!$C$11+M301*ต้นทุนและราคา!$C$12+N301*ต้นทุนและราคา!$C$13+O301*ต้นทุนและราคา!$C$14+P301*ต้นทุนและราคา!$C$15+Q301*ต้นทุนและราคา!$C$16+R301*ต้นทุนและราคา!$C$17+S301*ต้นทุนและราคา!$C$18+T301*ต้นทุนและราคา!$C$19+U301*ต้นทุนและราคา!$C$20+IF($C301="16 oz",ต้นทุนและราคา!$C$21,IF($C301="20 oz",ต้นทุนและราคา!$C$22,ต้นทุนและราคา!$C$23)),2)</f>
        <v>19</v>
      </c>
      <c r="X301" s="64" cm="1">
        <f t="array" ref="X301">IFERROR(INDEX(ต้นทุนและราคา!$C$26:$E$101,MATCH($B301,ต้นทุนและราคา!$A$26:$A$101,0),IF($C301="16 oz",1,IF($C301="20 oz",2,3))),"")</f>
        <v>50</v>
      </c>
      <c r="Y301" s="66">
        <f t="shared" si="35"/>
        <v>0.62</v>
      </c>
      <c r="Z301" s="48" t="s">
        <v>1238</v>
      </c>
    </row>
    <row r="302" spans="1:26" x14ac:dyDescent="0.25">
      <c r="A302" s="4" t="str">
        <f t="shared" si="33"/>
        <v>Green Coconut|20 oz|0%</v>
      </c>
      <c r="B302" s="4" t="s">
        <v>79</v>
      </c>
      <c r="C302" s="4" t="s">
        <v>1046</v>
      </c>
      <c r="D302" s="4" t="s">
        <v>63</v>
      </c>
      <c r="E302" s="63">
        <f t="shared" ref="E302:U302" si="80">ROUND(E122*$AB$2,1)</f>
        <v>0</v>
      </c>
      <c r="F302" s="63">
        <f t="shared" si="80"/>
        <v>131.30000000000001</v>
      </c>
      <c r="G302" s="63">
        <f t="shared" si="80"/>
        <v>0</v>
      </c>
      <c r="H302" s="63">
        <f t="shared" si="80"/>
        <v>12.5</v>
      </c>
      <c r="I302" s="63">
        <f t="shared" si="80"/>
        <v>0</v>
      </c>
      <c r="J302" s="63">
        <f t="shared" si="80"/>
        <v>0</v>
      </c>
      <c r="K302" s="63">
        <f t="shared" si="80"/>
        <v>0</v>
      </c>
      <c r="L302" s="63">
        <f t="shared" si="80"/>
        <v>0</v>
      </c>
      <c r="M302" s="63">
        <f t="shared" si="80"/>
        <v>0</v>
      </c>
      <c r="N302" s="63">
        <f t="shared" si="80"/>
        <v>118.8</v>
      </c>
      <c r="O302" s="63">
        <f t="shared" si="80"/>
        <v>0</v>
      </c>
      <c r="P302" s="63">
        <f t="shared" si="80"/>
        <v>0</v>
      </c>
      <c r="Q302" s="63">
        <f t="shared" si="80"/>
        <v>0</v>
      </c>
      <c r="R302" s="63">
        <f t="shared" si="80"/>
        <v>0</v>
      </c>
      <c r="S302" s="63">
        <f t="shared" si="80"/>
        <v>275</v>
      </c>
      <c r="T302" s="63">
        <f t="shared" si="80"/>
        <v>0</v>
      </c>
      <c r="U302" s="63">
        <f t="shared" si="80"/>
        <v>0</v>
      </c>
      <c r="V302" s="65">
        <f t="shared" si="74"/>
        <v>262.60000000000002</v>
      </c>
      <c r="W302" s="8">
        <f>ROUND(E302*ต้นทุนและราคา!$C$4+F302*ต้นทุนและราคา!$C$5+G302*ต้นทุนและราคา!$C$6+H302*ต้นทุนและราคา!$C$7+I302*ต้นทุนและราคา!$C$8+J302*ต้นทุนและราคา!$C$9+K302*ต้นทุนและราคา!$C$10+L302*ต้นทุนและราคา!$C$11+M302*ต้นทุนและราคา!$C$12+N302*ต้นทุนและราคา!$C$13+O302*ต้นทุนและราคา!$C$14+P302*ต้นทุนและราคา!$C$15+Q302*ต้นทุนและราคา!$C$16+R302*ต้นทุนและราคา!$C$17+S302*ต้นทุนและราคา!$C$18+T302*ต้นทุนและราคา!$C$19+U302*ต้นทุนและราคา!$C$20+IF($C302="16 oz",ต้นทุนและราคา!$C$21,IF($C302="20 oz",ต้นทุนและราคา!$C$22,ต้นทุนและราคา!$C$23)),2)</f>
        <v>21.31</v>
      </c>
      <c r="X302" s="64" cm="1">
        <f t="array" ref="X302">IFERROR(INDEX(ต้นทุนและราคา!$C$26:$E$101,MATCH($B302,ต้นทุนและราคา!$A$26:$A$101,0),IF($C302="16 oz",1,IF($C302="20 oz",2,3))),"")</f>
        <v>65</v>
      </c>
      <c r="Y302" s="66">
        <f t="shared" si="35"/>
        <v>0.6721538461538461</v>
      </c>
      <c r="Z302" s="48" t="s">
        <v>1239</v>
      </c>
    </row>
    <row r="303" spans="1:26" x14ac:dyDescent="0.25">
      <c r="A303" s="4" t="str">
        <f t="shared" si="33"/>
        <v>Green Coconut|20 oz|25%</v>
      </c>
      <c r="B303" s="4" t="s">
        <v>79</v>
      </c>
      <c r="C303" s="4" t="s">
        <v>1046</v>
      </c>
      <c r="D303" s="4" t="s">
        <v>64</v>
      </c>
      <c r="E303" s="63">
        <f t="shared" ref="E303:U303" si="81">ROUND(E123*$AB$2,1)</f>
        <v>0</v>
      </c>
      <c r="F303" s="63">
        <f t="shared" si="81"/>
        <v>131.30000000000001</v>
      </c>
      <c r="G303" s="63">
        <f t="shared" si="81"/>
        <v>0</v>
      </c>
      <c r="H303" s="63">
        <f t="shared" si="81"/>
        <v>12.5</v>
      </c>
      <c r="I303" s="63">
        <f t="shared" si="81"/>
        <v>6.3</v>
      </c>
      <c r="J303" s="63">
        <f>ROUND(0+$AD$2*F303,1)</f>
        <v>16.8</v>
      </c>
      <c r="K303" s="63">
        <f t="shared" si="81"/>
        <v>0</v>
      </c>
      <c r="L303" s="63">
        <f t="shared" si="81"/>
        <v>0</v>
      </c>
      <c r="M303" s="63">
        <f t="shared" si="81"/>
        <v>0</v>
      </c>
      <c r="N303" s="63">
        <f>ROUND(118.8-$AD$2*F303,1)</f>
        <v>102</v>
      </c>
      <c r="O303" s="63">
        <f t="shared" si="81"/>
        <v>0</v>
      </c>
      <c r="P303" s="63">
        <f t="shared" si="81"/>
        <v>0</v>
      </c>
      <c r="Q303" s="63">
        <f t="shared" si="81"/>
        <v>0</v>
      </c>
      <c r="R303" s="63">
        <f t="shared" si="81"/>
        <v>0</v>
      </c>
      <c r="S303" s="63">
        <f t="shared" si="81"/>
        <v>275</v>
      </c>
      <c r="T303" s="63">
        <f t="shared" si="81"/>
        <v>0</v>
      </c>
      <c r="U303" s="63">
        <f t="shared" si="81"/>
        <v>0</v>
      </c>
      <c r="V303" s="65">
        <f t="shared" si="74"/>
        <v>268.90000000000003</v>
      </c>
      <c r="W303" s="8">
        <f>ROUND(E303*ต้นทุนและราคา!$C$4+F303*ต้นทุนและราคา!$C$5+G303*ต้นทุนและราคา!$C$6+H303*ต้นทุนและราคา!$C$7+I303*ต้นทุนและราคา!$C$8+J303*ต้นทุนและราคา!$C$9+K303*ต้นทุนและราคา!$C$10+L303*ต้นทุนและราคา!$C$11+M303*ต้นทุนและราคา!$C$12+N303*ต้นทุนและราคา!$C$13+O303*ต้นทุนและราคา!$C$14+P303*ต้นทุนและราคา!$C$15+Q303*ต้นทุนและราคา!$C$16+R303*ต้นทุนและราคา!$C$17+S303*ต้นทุนและราคา!$C$18+T303*ต้นทุนและราคา!$C$19+U303*ต้นทุนและราคา!$C$20+IF($C303="16 oz",ต้นทุนและราคา!$C$21,IF($C303="20 oz",ต้นทุนและราคา!$C$22,ต้นทุนและราคา!$C$23)),2)</f>
        <v>20.79</v>
      </c>
      <c r="X303" s="64" cm="1">
        <f t="array" ref="X303">IFERROR(INDEX(ต้นทุนและราคา!$C$26:$E$101,MATCH($B303,ต้นทุนและราคา!$A$26:$A$101,0),IF($C303="16 oz",1,IF($C303="20 oz",2,3))),"")</f>
        <v>65</v>
      </c>
      <c r="Y303" s="66">
        <f t="shared" si="35"/>
        <v>0.68015384615384622</v>
      </c>
      <c r="Z303" s="48" t="s">
        <v>1253</v>
      </c>
    </row>
    <row r="304" spans="1:26" x14ac:dyDescent="0.25">
      <c r="A304" s="4" t="str">
        <f t="shared" si="33"/>
        <v>Green Coconut|20 oz|50%</v>
      </c>
      <c r="B304" s="4" t="s">
        <v>79</v>
      </c>
      <c r="C304" s="4" t="s">
        <v>1046</v>
      </c>
      <c r="D304" s="4" t="s">
        <v>7</v>
      </c>
      <c r="E304" s="63">
        <f t="shared" ref="E304:U304" si="82">ROUND(E124*$AB$2,1)</f>
        <v>0</v>
      </c>
      <c r="F304" s="63">
        <f t="shared" si="82"/>
        <v>131.30000000000001</v>
      </c>
      <c r="G304" s="63">
        <f t="shared" si="82"/>
        <v>0</v>
      </c>
      <c r="H304" s="63">
        <f t="shared" si="82"/>
        <v>12.5</v>
      </c>
      <c r="I304" s="63">
        <f t="shared" si="82"/>
        <v>12.5</v>
      </c>
      <c r="J304" s="63">
        <f>ROUND(0+$AD$2*F304,1)</f>
        <v>16.8</v>
      </c>
      <c r="K304" s="63">
        <f t="shared" si="82"/>
        <v>0</v>
      </c>
      <c r="L304" s="63">
        <f t="shared" si="82"/>
        <v>0</v>
      </c>
      <c r="M304" s="63">
        <f t="shared" si="82"/>
        <v>0</v>
      </c>
      <c r="N304" s="63">
        <f>ROUND(118.8-$AD$2*F304,1)</f>
        <v>102</v>
      </c>
      <c r="O304" s="63">
        <f t="shared" si="82"/>
        <v>0</v>
      </c>
      <c r="P304" s="63">
        <f t="shared" si="82"/>
        <v>0</v>
      </c>
      <c r="Q304" s="63">
        <f t="shared" si="82"/>
        <v>0</v>
      </c>
      <c r="R304" s="63">
        <f t="shared" si="82"/>
        <v>0</v>
      </c>
      <c r="S304" s="63">
        <f t="shared" si="82"/>
        <v>275</v>
      </c>
      <c r="T304" s="63">
        <f t="shared" si="82"/>
        <v>0</v>
      </c>
      <c r="U304" s="63">
        <f t="shared" si="82"/>
        <v>0</v>
      </c>
      <c r="V304" s="65">
        <f t="shared" si="74"/>
        <v>275.10000000000002</v>
      </c>
      <c r="W304" s="8">
        <f>ROUND(E304*ต้นทุนและราคา!$C$4+F304*ต้นทุนและราคา!$C$5+G304*ต้นทุนและราคา!$C$6+H304*ต้นทุนและราคา!$C$7+I304*ต้นทุนและราคา!$C$8+J304*ต้นทุนและราคา!$C$9+K304*ต้นทุนและราคา!$C$10+L304*ต้นทุนและราคา!$C$11+M304*ต้นทุนและราคา!$C$12+N304*ต้นทุนและราคา!$C$13+O304*ต้นทุนและราคา!$C$14+P304*ต้นทุนและราคา!$C$15+Q304*ต้นทุนและราคา!$C$16+R304*ต้นทุนและราคา!$C$17+S304*ต้นทุนและราคา!$C$18+T304*ต้นทุนและราคา!$C$19+U304*ต้นทุนและราคา!$C$20+IF($C304="16 oz",ต้นทุนและราคา!$C$21,IF($C304="20 oz",ต้นทุนและราคา!$C$22,ต้นทุนและราคา!$C$23)),2)</f>
        <v>21.22</v>
      </c>
      <c r="X304" s="64" cm="1">
        <f t="array" ref="X304">IFERROR(INDEX(ต้นทุนและราคา!$C$26:$E$101,MATCH($B304,ต้นทุนและราคา!$A$26:$A$101,0),IF($C304="16 oz",1,IF($C304="20 oz",2,3))),"")</f>
        <v>65</v>
      </c>
      <c r="Y304" s="66">
        <f t="shared" si="35"/>
        <v>0.67353846153846153</v>
      </c>
      <c r="Z304" s="48" t="s">
        <v>1253</v>
      </c>
    </row>
    <row r="305" spans="1:26" x14ac:dyDescent="0.25">
      <c r="A305" s="4" t="str">
        <f t="shared" si="33"/>
        <v>Green Coconut|20 oz|75%</v>
      </c>
      <c r="B305" s="4" t="s">
        <v>79</v>
      </c>
      <c r="C305" s="4" t="s">
        <v>1046</v>
      </c>
      <c r="D305" s="4" t="s">
        <v>65</v>
      </c>
      <c r="E305" s="63">
        <f t="shared" ref="E305:U305" si="83">ROUND(E125*$AB$2,1)</f>
        <v>0</v>
      </c>
      <c r="F305" s="63">
        <f t="shared" si="83"/>
        <v>131.30000000000001</v>
      </c>
      <c r="G305" s="63">
        <f t="shared" si="83"/>
        <v>0</v>
      </c>
      <c r="H305" s="63">
        <f t="shared" si="83"/>
        <v>12.5</v>
      </c>
      <c r="I305" s="63">
        <f t="shared" si="83"/>
        <v>18.8</v>
      </c>
      <c r="J305" s="63">
        <f>ROUND(0+$AD$2*F305,1)</f>
        <v>16.8</v>
      </c>
      <c r="K305" s="63">
        <f t="shared" si="83"/>
        <v>0</v>
      </c>
      <c r="L305" s="63">
        <f t="shared" si="83"/>
        <v>0</v>
      </c>
      <c r="M305" s="63">
        <f t="shared" si="83"/>
        <v>0</v>
      </c>
      <c r="N305" s="63">
        <f>ROUND(118.8-$AD$2*F305,1)</f>
        <v>102</v>
      </c>
      <c r="O305" s="63">
        <f t="shared" si="83"/>
        <v>0</v>
      </c>
      <c r="P305" s="63">
        <f t="shared" si="83"/>
        <v>0</v>
      </c>
      <c r="Q305" s="63">
        <f t="shared" si="83"/>
        <v>0</v>
      </c>
      <c r="R305" s="63">
        <f t="shared" si="83"/>
        <v>0</v>
      </c>
      <c r="S305" s="63">
        <f t="shared" si="83"/>
        <v>275</v>
      </c>
      <c r="T305" s="63">
        <f t="shared" si="83"/>
        <v>0</v>
      </c>
      <c r="U305" s="63">
        <f t="shared" si="83"/>
        <v>0</v>
      </c>
      <c r="V305" s="65">
        <f t="shared" si="74"/>
        <v>281.40000000000003</v>
      </c>
      <c r="W305" s="8">
        <f>ROUND(E305*ต้นทุนและราคา!$C$4+F305*ต้นทุนและราคา!$C$5+G305*ต้นทุนและราคา!$C$6+H305*ต้นทุนและราคา!$C$7+I305*ต้นทุนและราคา!$C$8+J305*ต้นทุนและราคา!$C$9+K305*ต้นทุนและราคา!$C$10+L305*ต้นทุนและราคา!$C$11+M305*ต้นทุนและราคา!$C$12+N305*ต้นทุนและราคา!$C$13+O305*ต้นทุนและราคา!$C$14+P305*ต้นทุนและราคา!$C$15+Q305*ต้นทุนและราคา!$C$16+R305*ต้นทุนและราคา!$C$17+S305*ต้นทุนและราคา!$C$18+T305*ต้นทุนและราคา!$C$19+U305*ต้นทุนและราคา!$C$20+IF($C305="16 oz",ต้นทุนและราคา!$C$21,IF($C305="20 oz",ต้นทุนและราคา!$C$22,ต้นทุนและราคา!$C$23)),2)</f>
        <v>21.66</v>
      </c>
      <c r="X305" s="64" cm="1">
        <f t="array" ref="X305">IFERROR(INDEX(ต้นทุนและราคา!$C$26:$E$101,MATCH($B305,ต้นทุนและราคา!$A$26:$A$101,0),IF($C305="16 oz",1,IF($C305="20 oz",2,3))),"")</f>
        <v>65</v>
      </c>
      <c r="Y305" s="66">
        <f t="shared" si="35"/>
        <v>0.66676923076923078</v>
      </c>
      <c r="Z305" s="48" t="s">
        <v>1253</v>
      </c>
    </row>
    <row r="306" spans="1:26" x14ac:dyDescent="0.25">
      <c r="A306" s="4" t="str">
        <f t="shared" si="33"/>
        <v>Green Coconut|20 oz|100%</v>
      </c>
      <c r="B306" s="4" t="s">
        <v>79</v>
      </c>
      <c r="C306" s="4" t="s">
        <v>1046</v>
      </c>
      <c r="D306" s="4" t="s">
        <v>66</v>
      </c>
      <c r="E306" s="63">
        <f t="shared" ref="E306:U306" si="84">ROUND(E126*$AB$2,1)</f>
        <v>0</v>
      </c>
      <c r="F306" s="63">
        <f t="shared" si="84"/>
        <v>131.30000000000001</v>
      </c>
      <c r="G306" s="63">
        <f t="shared" si="84"/>
        <v>0</v>
      </c>
      <c r="H306" s="63">
        <f t="shared" si="84"/>
        <v>12.5</v>
      </c>
      <c r="I306" s="63">
        <f t="shared" si="84"/>
        <v>25</v>
      </c>
      <c r="J306" s="63">
        <f>ROUND(0+$AD$2*F306,1)</f>
        <v>16.8</v>
      </c>
      <c r="K306" s="63">
        <f t="shared" si="84"/>
        <v>0</v>
      </c>
      <c r="L306" s="63">
        <f t="shared" si="84"/>
        <v>0</v>
      </c>
      <c r="M306" s="63">
        <f t="shared" si="84"/>
        <v>0</v>
      </c>
      <c r="N306" s="63">
        <f>ROUND(118.8-$AD$2*F306,1)</f>
        <v>102</v>
      </c>
      <c r="O306" s="63">
        <f t="shared" si="84"/>
        <v>0</v>
      </c>
      <c r="P306" s="63">
        <f t="shared" si="84"/>
        <v>0</v>
      </c>
      <c r="Q306" s="63">
        <f t="shared" si="84"/>
        <v>0</v>
      </c>
      <c r="R306" s="63">
        <f t="shared" si="84"/>
        <v>0</v>
      </c>
      <c r="S306" s="63">
        <f t="shared" si="84"/>
        <v>275</v>
      </c>
      <c r="T306" s="63">
        <f t="shared" si="84"/>
        <v>0</v>
      </c>
      <c r="U306" s="63">
        <f t="shared" si="84"/>
        <v>0</v>
      </c>
      <c r="V306" s="65">
        <f t="shared" si="74"/>
        <v>287.60000000000002</v>
      </c>
      <c r="W306" s="8">
        <f>ROUND(E306*ต้นทุนและราคา!$C$4+F306*ต้นทุนและราคา!$C$5+G306*ต้นทุนและราคา!$C$6+H306*ต้นทุนและราคา!$C$7+I306*ต้นทุนและราคา!$C$8+J306*ต้นทุนและราคา!$C$9+K306*ต้นทุนและราคา!$C$10+L306*ต้นทุนและราคา!$C$11+M306*ต้นทุนและราคา!$C$12+N306*ต้นทุนและราคา!$C$13+O306*ต้นทุนและราคา!$C$14+P306*ต้นทุนและราคา!$C$15+Q306*ต้นทุนและราคา!$C$16+R306*ต้นทุนและราคา!$C$17+S306*ต้นทุนและราคา!$C$18+T306*ต้นทุนและราคา!$C$19+U306*ต้นทุนและราคา!$C$20+IF($C306="16 oz",ต้นทุนและราคา!$C$21,IF($C306="20 oz",ต้นทุนและราคา!$C$22,ต้นทุนและราคา!$C$23)),2)</f>
        <v>22.08</v>
      </c>
      <c r="X306" s="64" cm="1">
        <f t="array" ref="X306">IFERROR(INDEX(ต้นทุนและราคา!$C$26:$E$101,MATCH($B306,ต้นทุนและราคา!$A$26:$A$101,0),IF($C306="16 oz",1,IF($C306="20 oz",2,3))),"")</f>
        <v>65</v>
      </c>
      <c r="Y306" s="66">
        <f t="shared" si="35"/>
        <v>0.66030769230769237</v>
      </c>
      <c r="Z306" s="48" t="s">
        <v>1253</v>
      </c>
    </row>
    <row r="307" spans="1:26" x14ac:dyDescent="0.25">
      <c r="A307" s="4" t="str">
        <f t="shared" si="33"/>
        <v>Green Honey Milk|20 oz|0%</v>
      </c>
      <c r="B307" s="4" t="s">
        <v>80</v>
      </c>
      <c r="C307" s="4" t="s">
        <v>1046</v>
      </c>
      <c r="D307" s="4" t="s">
        <v>63</v>
      </c>
      <c r="E307" s="63">
        <f t="shared" ref="E307:U307" si="85">ROUND(E132*$AB$2,1)</f>
        <v>0</v>
      </c>
      <c r="F307" s="63">
        <f t="shared" si="85"/>
        <v>162.5</v>
      </c>
      <c r="G307" s="63">
        <f t="shared" si="85"/>
        <v>68.8</v>
      </c>
      <c r="H307" s="63">
        <f t="shared" si="85"/>
        <v>0</v>
      </c>
      <c r="I307" s="63">
        <f t="shared" si="85"/>
        <v>0</v>
      </c>
      <c r="J307" s="63">
        <f t="shared" si="85"/>
        <v>0</v>
      </c>
      <c r="K307" s="63">
        <f t="shared" si="85"/>
        <v>0</v>
      </c>
      <c r="L307" s="63">
        <f t="shared" si="85"/>
        <v>0</v>
      </c>
      <c r="M307" s="63">
        <f t="shared" si="85"/>
        <v>0</v>
      </c>
      <c r="N307" s="63">
        <f t="shared" si="85"/>
        <v>0</v>
      </c>
      <c r="O307" s="63">
        <f t="shared" si="85"/>
        <v>0</v>
      </c>
      <c r="P307" s="63">
        <f t="shared" si="85"/>
        <v>0</v>
      </c>
      <c r="Q307" s="63">
        <f t="shared" si="85"/>
        <v>0</v>
      </c>
      <c r="R307" s="63">
        <f t="shared" si="85"/>
        <v>0</v>
      </c>
      <c r="S307" s="63">
        <f t="shared" si="85"/>
        <v>300</v>
      </c>
      <c r="T307" s="63">
        <f t="shared" si="85"/>
        <v>0</v>
      </c>
      <c r="U307" s="63">
        <f t="shared" si="85"/>
        <v>0</v>
      </c>
      <c r="V307" s="65">
        <f t="shared" si="74"/>
        <v>231.3</v>
      </c>
      <c r="W307" s="8">
        <f>ROUND(E307*ต้นทุนและราคา!$C$4+F307*ต้นทุนและราคา!$C$5+G307*ต้นทุนและราคา!$C$6+H307*ต้นทุนและราคา!$C$7+I307*ต้นทุนและราคา!$C$8+J307*ต้นทุนและราคา!$C$9+K307*ต้นทุนและราคา!$C$10+L307*ต้นทุนและราคา!$C$11+M307*ต้นทุนและราคา!$C$12+N307*ต้นทุนและราคา!$C$13+O307*ต้นทุนและราคา!$C$14+P307*ต้นทุนและราคา!$C$15+Q307*ต้นทุนและราคา!$C$16+R307*ต้นทุนและราคา!$C$17+S307*ต้นทุนและราคา!$C$18+T307*ต้นทุนและราคา!$C$19+U307*ต้นทุนและราคา!$C$20+IF($C307="16 oz",ต้นทุนและราคา!$C$21,IF($C307="20 oz",ต้นทุนและราคา!$C$22,ต้นทุนและราคา!$C$23)),2)</f>
        <v>16.059999999999999</v>
      </c>
      <c r="X307" s="64" cm="1">
        <f t="array" ref="X307">IFERROR(INDEX(ต้นทุนและราคา!$C$26:$E$101,MATCH($B307,ต้นทุนและราคา!$A$26:$A$101,0),IF($C307="16 oz",1,IF($C307="20 oz",2,3))),"")</f>
        <v>55</v>
      </c>
      <c r="Y307" s="66">
        <f t="shared" si="35"/>
        <v>0.70799999999999996</v>
      </c>
      <c r="Z307" s="48" t="s">
        <v>1240</v>
      </c>
    </row>
    <row r="308" spans="1:26" x14ac:dyDescent="0.25">
      <c r="A308" s="4" t="str">
        <f t="shared" si="33"/>
        <v>Green Honey Milk|20 oz|25%</v>
      </c>
      <c r="B308" s="4" t="s">
        <v>80</v>
      </c>
      <c r="C308" s="4" t="s">
        <v>1046</v>
      </c>
      <c r="D308" s="4" t="s">
        <v>64</v>
      </c>
      <c r="E308" s="63">
        <f t="shared" ref="E308:U308" si="86">ROUND(E133*$AB$2,1)</f>
        <v>0</v>
      </c>
      <c r="F308" s="63">
        <f t="shared" si="86"/>
        <v>162.5</v>
      </c>
      <c r="G308" s="63">
        <f>ROUND(68.8-$AD$2*F308,1)</f>
        <v>48</v>
      </c>
      <c r="H308" s="63">
        <f t="shared" si="86"/>
        <v>0</v>
      </c>
      <c r="I308" s="63">
        <f t="shared" si="86"/>
        <v>0</v>
      </c>
      <c r="J308" s="63">
        <f>ROUND(3.8+$AD$2*F308,1)</f>
        <v>24.6</v>
      </c>
      <c r="K308" s="63">
        <f t="shared" si="86"/>
        <v>5</v>
      </c>
      <c r="L308" s="63">
        <f t="shared" si="86"/>
        <v>0</v>
      </c>
      <c r="M308" s="63">
        <f t="shared" si="86"/>
        <v>0</v>
      </c>
      <c r="N308" s="63">
        <f t="shared" si="86"/>
        <v>0</v>
      </c>
      <c r="O308" s="63">
        <f t="shared" si="86"/>
        <v>0</v>
      </c>
      <c r="P308" s="63">
        <f t="shared" si="86"/>
        <v>0</v>
      </c>
      <c r="Q308" s="63">
        <f t="shared" si="86"/>
        <v>0</v>
      </c>
      <c r="R308" s="63">
        <f t="shared" si="86"/>
        <v>0</v>
      </c>
      <c r="S308" s="63">
        <f t="shared" si="86"/>
        <v>300</v>
      </c>
      <c r="T308" s="63">
        <f t="shared" si="86"/>
        <v>0</v>
      </c>
      <c r="U308" s="63">
        <f t="shared" si="86"/>
        <v>0</v>
      </c>
      <c r="V308" s="65">
        <f t="shared" si="74"/>
        <v>240.1</v>
      </c>
      <c r="W308" s="8">
        <f>ROUND(E308*ต้นทุนและราคา!$C$4+F308*ต้นทุนและราคา!$C$5+G308*ต้นทุนและราคา!$C$6+H308*ต้นทุนและราคา!$C$7+I308*ต้นทุนและราคา!$C$8+J308*ต้นทุนและราคา!$C$9+K308*ต้นทุนและราคา!$C$10+L308*ต้นทุนและราคา!$C$11+M308*ต้นทุนและราคา!$C$12+N308*ต้นทุนและราคา!$C$13+O308*ต้นทุนและราคา!$C$14+P308*ต้นทุนและราคา!$C$15+Q308*ต้นทุนและราคา!$C$16+R308*ต้นทุนและราคา!$C$17+S308*ต้นทุนและราคา!$C$18+T308*ต้นทุนและราคา!$C$19+U308*ต้นทุนและราคา!$C$20+IF($C308="16 oz",ต้นทุนและราคา!$C$21,IF($C308="20 oz",ต้นทุนและราคา!$C$22,ต้นทุนและราคา!$C$23)),2)</f>
        <v>16.64</v>
      </c>
      <c r="X308" s="64" cm="1">
        <f t="array" ref="X308">IFERROR(INDEX(ต้นทุนและราคา!$C$26:$E$101,MATCH($B308,ต้นทุนและราคา!$A$26:$A$101,0),IF($C308="16 oz",1,IF($C308="20 oz",2,3))),"")</f>
        <v>55</v>
      </c>
      <c r="Y308" s="66">
        <f t="shared" si="35"/>
        <v>0.69745454545454544</v>
      </c>
      <c r="Z308" s="48" t="s">
        <v>1241</v>
      </c>
    </row>
    <row r="309" spans="1:26" x14ac:dyDescent="0.25">
      <c r="A309" s="4" t="str">
        <f t="shared" si="33"/>
        <v>Green Honey Milk|20 oz|50%</v>
      </c>
      <c r="B309" s="4" t="s">
        <v>80</v>
      </c>
      <c r="C309" s="4" t="s">
        <v>1046</v>
      </c>
      <c r="D309" s="4" t="s">
        <v>7</v>
      </c>
      <c r="E309" s="63">
        <f t="shared" ref="E309:U309" si="87">ROUND(E134*$AB$2,1)</f>
        <v>0</v>
      </c>
      <c r="F309" s="63">
        <f t="shared" si="87"/>
        <v>162.5</v>
      </c>
      <c r="G309" s="63">
        <f>ROUND(68.8-$AD$2*F309,1)</f>
        <v>48</v>
      </c>
      <c r="H309" s="63">
        <f t="shared" si="87"/>
        <v>0</v>
      </c>
      <c r="I309" s="63">
        <f t="shared" si="87"/>
        <v>0</v>
      </c>
      <c r="J309" s="63">
        <f>ROUND(7.5+$AD$2*F309,1)</f>
        <v>28.3</v>
      </c>
      <c r="K309" s="63">
        <f t="shared" si="87"/>
        <v>10</v>
      </c>
      <c r="L309" s="63">
        <f t="shared" si="87"/>
        <v>0</v>
      </c>
      <c r="M309" s="63">
        <f t="shared" si="87"/>
        <v>0</v>
      </c>
      <c r="N309" s="63">
        <f t="shared" si="87"/>
        <v>0</v>
      </c>
      <c r="O309" s="63">
        <f t="shared" si="87"/>
        <v>0</v>
      </c>
      <c r="P309" s="63">
        <f t="shared" si="87"/>
        <v>0</v>
      </c>
      <c r="Q309" s="63">
        <f t="shared" si="87"/>
        <v>0</v>
      </c>
      <c r="R309" s="63">
        <f t="shared" si="87"/>
        <v>0</v>
      </c>
      <c r="S309" s="63">
        <f t="shared" si="87"/>
        <v>300</v>
      </c>
      <c r="T309" s="63">
        <f t="shared" si="87"/>
        <v>0</v>
      </c>
      <c r="U309" s="63">
        <f t="shared" si="87"/>
        <v>0</v>
      </c>
      <c r="V309" s="65">
        <f t="shared" si="74"/>
        <v>248.8</v>
      </c>
      <c r="W309" s="8">
        <f>ROUND(E309*ต้นทุนและราคา!$C$4+F309*ต้นทุนและราคา!$C$5+G309*ต้นทุนและราคา!$C$6+H309*ต้นทุนและราคา!$C$7+I309*ต้นทุนและราคา!$C$8+J309*ต้นทุนและราคา!$C$9+K309*ต้นทุนและราคา!$C$10+L309*ต้นทุนและราคา!$C$11+M309*ต้นทุนและราคา!$C$12+N309*ต้นทุนและราคา!$C$13+O309*ต้นทุนและราคา!$C$14+P309*ต้นทุนและราคา!$C$15+Q309*ต้นทุนและราคา!$C$16+R309*ต้นทุนและราคา!$C$17+S309*ต้นทุนและราคา!$C$18+T309*ต้นทุนและราคา!$C$19+U309*ต้นทุนและราคา!$C$20+IF($C309="16 oz",ต้นทุนและราคา!$C$21,IF($C309="20 oz",ต้นทุนและราคา!$C$22,ต้นทุนและราคา!$C$23)),2)</f>
        <v>17.87</v>
      </c>
      <c r="X309" s="64" cm="1">
        <f t="array" ref="X309">IFERROR(INDEX(ต้นทุนและราคา!$C$26:$E$101,MATCH($B309,ต้นทุนและราคา!$A$26:$A$101,0),IF($C309="16 oz",1,IF($C309="20 oz",2,3))),"")</f>
        <v>55</v>
      </c>
      <c r="Y309" s="66">
        <f t="shared" si="35"/>
        <v>0.67509090909090896</v>
      </c>
      <c r="Z309" s="48" t="s">
        <v>1241</v>
      </c>
    </row>
    <row r="310" spans="1:26" x14ac:dyDescent="0.25">
      <c r="A310" s="4" t="str">
        <f t="shared" si="33"/>
        <v>Green Honey Milk|20 oz|75%</v>
      </c>
      <c r="B310" s="4" t="s">
        <v>80</v>
      </c>
      <c r="C310" s="4" t="s">
        <v>1046</v>
      </c>
      <c r="D310" s="4" t="s">
        <v>65</v>
      </c>
      <c r="E310" s="63">
        <f t="shared" ref="E310:U310" si="88">ROUND(E135*$AB$2,1)</f>
        <v>0</v>
      </c>
      <c r="F310" s="63">
        <f t="shared" si="88"/>
        <v>162.5</v>
      </c>
      <c r="G310" s="63">
        <f>ROUND(68.8-$AD$2*F310,1)</f>
        <v>48</v>
      </c>
      <c r="H310" s="63">
        <f t="shared" si="88"/>
        <v>0</v>
      </c>
      <c r="I310" s="63">
        <f t="shared" si="88"/>
        <v>0</v>
      </c>
      <c r="J310" s="63">
        <f>ROUND(11.3+$AD$2*F310,1)</f>
        <v>32.1</v>
      </c>
      <c r="K310" s="63">
        <f t="shared" si="88"/>
        <v>15</v>
      </c>
      <c r="L310" s="63">
        <f t="shared" si="88"/>
        <v>0</v>
      </c>
      <c r="M310" s="63">
        <f t="shared" si="88"/>
        <v>0</v>
      </c>
      <c r="N310" s="63">
        <f t="shared" si="88"/>
        <v>0</v>
      </c>
      <c r="O310" s="63">
        <f t="shared" si="88"/>
        <v>0</v>
      </c>
      <c r="P310" s="63">
        <f t="shared" si="88"/>
        <v>0</v>
      </c>
      <c r="Q310" s="63">
        <f t="shared" si="88"/>
        <v>0</v>
      </c>
      <c r="R310" s="63">
        <f t="shared" si="88"/>
        <v>0</v>
      </c>
      <c r="S310" s="63">
        <f t="shared" si="88"/>
        <v>300</v>
      </c>
      <c r="T310" s="63">
        <f t="shared" si="88"/>
        <v>0</v>
      </c>
      <c r="U310" s="63">
        <f t="shared" si="88"/>
        <v>0</v>
      </c>
      <c r="V310" s="65">
        <f t="shared" si="74"/>
        <v>257.60000000000002</v>
      </c>
      <c r="W310" s="8">
        <f>ROUND(E310*ต้นทุนและราคา!$C$4+F310*ต้นทุนและราคา!$C$5+G310*ต้นทุนและราคา!$C$6+H310*ต้นทุนและราคา!$C$7+I310*ต้นทุนและราคา!$C$8+J310*ต้นทุนและราคา!$C$9+K310*ต้นทุนและราคา!$C$10+L310*ต้นทุนและราคา!$C$11+M310*ต้นทุนและราคา!$C$12+N310*ต้นทุนและราคา!$C$13+O310*ต้นทุนและราคา!$C$14+P310*ต้นทุนและราคา!$C$15+Q310*ต้นทุนและราคา!$C$16+R310*ต้นทุนและราคา!$C$17+S310*ต้นทุนและราคา!$C$18+T310*ต้นทุนและราคา!$C$19+U310*ต้นทุนและราคา!$C$20+IF($C310="16 oz",ต้นทุนและราคา!$C$21,IF($C310="20 oz",ต้นทุนและราคา!$C$22,ต้นทุนและราคา!$C$23)),2)</f>
        <v>19.100000000000001</v>
      </c>
      <c r="X310" s="64" cm="1">
        <f t="array" ref="X310">IFERROR(INDEX(ต้นทุนและราคา!$C$26:$E$101,MATCH($B310,ต้นทุนและราคา!$A$26:$A$101,0),IF($C310="16 oz",1,IF($C310="20 oz",2,3))),"")</f>
        <v>55</v>
      </c>
      <c r="Y310" s="66">
        <f t="shared" si="35"/>
        <v>0.65272727272727271</v>
      </c>
      <c r="Z310" s="48" t="s">
        <v>1241</v>
      </c>
    </row>
    <row r="311" spans="1:26" x14ac:dyDescent="0.25">
      <c r="A311" s="4" t="str">
        <f t="shared" si="33"/>
        <v>Green Honey Milk|20 oz|100%</v>
      </c>
      <c r="B311" s="4" t="s">
        <v>80</v>
      </c>
      <c r="C311" s="4" t="s">
        <v>1046</v>
      </c>
      <c r="D311" s="4" t="s">
        <v>66</v>
      </c>
      <c r="E311" s="63">
        <f t="shared" ref="E311:U311" si="89">ROUND(E136*$AB$2,1)</f>
        <v>0</v>
      </c>
      <c r="F311" s="63">
        <f t="shared" si="89"/>
        <v>162.5</v>
      </c>
      <c r="G311" s="63">
        <f>ROUND(68.8-$AD$2*F311,1)</f>
        <v>48</v>
      </c>
      <c r="H311" s="63">
        <f t="shared" si="89"/>
        <v>0</v>
      </c>
      <c r="I311" s="63">
        <f t="shared" si="89"/>
        <v>0</v>
      </c>
      <c r="J311" s="63">
        <f>ROUND(15+$AD$2*F311,1)</f>
        <v>35.799999999999997</v>
      </c>
      <c r="K311" s="63">
        <f t="shared" si="89"/>
        <v>20</v>
      </c>
      <c r="L311" s="63">
        <f t="shared" si="89"/>
        <v>0</v>
      </c>
      <c r="M311" s="63">
        <f t="shared" si="89"/>
        <v>0</v>
      </c>
      <c r="N311" s="63">
        <f t="shared" si="89"/>
        <v>0</v>
      </c>
      <c r="O311" s="63">
        <f t="shared" si="89"/>
        <v>0</v>
      </c>
      <c r="P311" s="63">
        <f t="shared" si="89"/>
        <v>0</v>
      </c>
      <c r="Q311" s="63">
        <f t="shared" si="89"/>
        <v>0</v>
      </c>
      <c r="R311" s="63">
        <f t="shared" si="89"/>
        <v>0</v>
      </c>
      <c r="S311" s="63">
        <f t="shared" si="89"/>
        <v>300</v>
      </c>
      <c r="T311" s="63">
        <f t="shared" si="89"/>
        <v>0</v>
      </c>
      <c r="U311" s="63">
        <f t="shared" si="89"/>
        <v>0</v>
      </c>
      <c r="V311" s="65">
        <f t="shared" si="74"/>
        <v>266.3</v>
      </c>
      <c r="W311" s="8">
        <f>ROUND(E311*ต้นทุนและราคา!$C$4+F311*ต้นทุนและราคา!$C$5+G311*ต้นทุนและราคา!$C$6+H311*ต้นทุนและราคา!$C$7+I311*ต้นทุนและราคา!$C$8+J311*ต้นทุนและราคา!$C$9+K311*ต้นทุนและราคา!$C$10+L311*ต้นทุนและราคา!$C$11+M311*ต้นทุนและราคา!$C$12+N311*ต้นทุนและราคา!$C$13+O311*ต้นทุนและราคา!$C$14+P311*ต้นทุนและราคา!$C$15+Q311*ต้นทุนและราคา!$C$16+R311*ต้นทุนและราคา!$C$17+S311*ต้นทุนและราคา!$C$18+T311*ต้นทุนและราคา!$C$19+U311*ต้นทุนและราคา!$C$20+IF($C311="16 oz",ต้นทุนและราคา!$C$21,IF($C311="20 oz",ต้นทุนและราคา!$C$22,ต้นทุนและราคา!$C$23)),2)</f>
        <v>20.329999999999998</v>
      </c>
      <c r="X311" s="64" cm="1">
        <f t="array" ref="X311">IFERROR(INDEX(ต้นทุนและราคา!$C$26:$E$101,MATCH($B311,ต้นทุนและราคา!$A$26:$A$101,0),IF($C311="16 oz",1,IF($C311="20 oz",2,3))),"")</f>
        <v>55</v>
      </c>
      <c r="Y311" s="66">
        <f t="shared" si="35"/>
        <v>0.63036363636363635</v>
      </c>
      <c r="Z311" s="48" t="s">
        <v>1241</v>
      </c>
    </row>
    <row r="312" spans="1:26" x14ac:dyDescent="0.25">
      <c r="A312" s="4" t="str">
        <f t="shared" si="33"/>
        <v>Green Berry Soda|20 oz|0%</v>
      </c>
      <c r="B312" s="4" t="s">
        <v>81</v>
      </c>
      <c r="C312" s="4" t="s">
        <v>1046</v>
      </c>
      <c r="D312" s="4" t="s">
        <v>63</v>
      </c>
      <c r="E312" s="63">
        <f t="shared" ref="E312:U312" si="90">ROUND(E142*$AB$2,1)</f>
        <v>0</v>
      </c>
      <c r="F312" s="63">
        <f t="shared" si="90"/>
        <v>125</v>
      </c>
      <c r="G312" s="63">
        <f t="shared" si="90"/>
        <v>0</v>
      </c>
      <c r="H312" s="63">
        <f t="shared" si="90"/>
        <v>0</v>
      </c>
      <c r="I312" s="63">
        <f t="shared" si="90"/>
        <v>0</v>
      </c>
      <c r="J312" s="63">
        <f t="shared" si="90"/>
        <v>0</v>
      </c>
      <c r="K312" s="63">
        <f t="shared" si="90"/>
        <v>0</v>
      </c>
      <c r="L312" s="63">
        <f t="shared" si="90"/>
        <v>0</v>
      </c>
      <c r="M312" s="63">
        <f t="shared" si="90"/>
        <v>0</v>
      </c>
      <c r="N312" s="63">
        <f t="shared" si="90"/>
        <v>0</v>
      </c>
      <c r="O312" s="63">
        <f t="shared" si="90"/>
        <v>35</v>
      </c>
      <c r="P312" s="63">
        <f t="shared" si="90"/>
        <v>7.5</v>
      </c>
      <c r="Q312" s="63">
        <f t="shared" si="90"/>
        <v>100</v>
      </c>
      <c r="R312" s="63">
        <f t="shared" si="90"/>
        <v>0</v>
      </c>
      <c r="S312" s="63">
        <f t="shared" si="90"/>
        <v>300</v>
      </c>
      <c r="T312" s="63">
        <f t="shared" si="90"/>
        <v>0</v>
      </c>
      <c r="U312" s="63">
        <f t="shared" si="90"/>
        <v>0</v>
      </c>
      <c r="V312" s="65">
        <f t="shared" si="74"/>
        <v>232.5</v>
      </c>
      <c r="W312" s="8">
        <f>ROUND(E312*ต้นทุนและราคา!$C$4+F312*ต้นทุนและราคา!$C$5+G312*ต้นทุนและราคา!$C$6+H312*ต้นทุนและราคา!$C$7+I312*ต้นทุนและราคา!$C$8+J312*ต้นทุนและราคา!$C$9+K312*ต้นทุนและราคา!$C$10+L312*ต้นทุนและราคา!$C$11+M312*ต้นทุนและราคา!$C$12+N312*ต้นทุนและราคา!$C$13+O312*ต้นทุนและราคา!$C$14+P312*ต้นทุนและราคา!$C$15+Q312*ต้นทุนและราคา!$C$16+R312*ต้นทุนและราคา!$C$17+S312*ต้นทุนและราคา!$C$18+T312*ต้นทุนและราคา!$C$19+U312*ต้นทุนและราคา!$C$20+IF($C312="16 oz",ต้นทุนและราคา!$C$21,IF($C312="20 oz",ต้นทุนและราคา!$C$22,ต้นทุนและราคา!$C$23)),2)</f>
        <v>22.1</v>
      </c>
      <c r="X312" s="64" cm="1">
        <f t="array" ref="X312">IFERROR(INDEX(ต้นทุนและราคา!$C$26:$E$101,MATCH($B312,ต้นทุนและราคา!$A$26:$A$101,0),IF($C312="16 oz",1,IF($C312="20 oz",2,3))),"")</f>
        <v>59</v>
      </c>
      <c r="Y312" s="66">
        <f t="shared" si="35"/>
        <v>0.62542372881355934</v>
      </c>
      <c r="Z312" s="48" t="s">
        <v>1242</v>
      </c>
    </row>
    <row r="313" spans="1:26" x14ac:dyDescent="0.25">
      <c r="A313" s="4" t="str">
        <f t="shared" si="33"/>
        <v>Green Berry Soda|20 oz|25%</v>
      </c>
      <c r="B313" s="4" t="s">
        <v>81</v>
      </c>
      <c r="C313" s="4" t="s">
        <v>1046</v>
      </c>
      <c r="D313" s="4" t="s">
        <v>64</v>
      </c>
      <c r="E313" s="63">
        <f t="shared" ref="E313:U313" si="91">ROUND(E143*$AB$2,1)</f>
        <v>0</v>
      </c>
      <c r="F313" s="63">
        <f t="shared" si="91"/>
        <v>125</v>
      </c>
      <c r="G313" s="63">
        <f t="shared" si="91"/>
        <v>0</v>
      </c>
      <c r="H313" s="63">
        <f t="shared" si="91"/>
        <v>0</v>
      </c>
      <c r="I313" s="63">
        <f t="shared" si="91"/>
        <v>0</v>
      </c>
      <c r="J313" s="63">
        <f>ROUND(5+$AD$2*F313,1)</f>
        <v>21</v>
      </c>
      <c r="K313" s="63">
        <f t="shared" si="91"/>
        <v>0</v>
      </c>
      <c r="L313" s="63">
        <f t="shared" si="91"/>
        <v>0</v>
      </c>
      <c r="M313" s="63">
        <f t="shared" si="91"/>
        <v>0</v>
      </c>
      <c r="N313" s="63">
        <f t="shared" si="91"/>
        <v>0</v>
      </c>
      <c r="O313" s="63">
        <f t="shared" si="91"/>
        <v>35</v>
      </c>
      <c r="P313" s="63">
        <f t="shared" si="91"/>
        <v>7.5</v>
      </c>
      <c r="Q313" s="63">
        <f t="shared" si="91"/>
        <v>100</v>
      </c>
      <c r="R313" s="63">
        <f t="shared" si="91"/>
        <v>0</v>
      </c>
      <c r="S313" s="63">
        <f t="shared" si="91"/>
        <v>300</v>
      </c>
      <c r="T313" s="63">
        <f t="shared" si="91"/>
        <v>0</v>
      </c>
      <c r="U313" s="63">
        <f t="shared" si="91"/>
        <v>0</v>
      </c>
      <c r="V313" s="65">
        <f t="shared" si="74"/>
        <v>253.5</v>
      </c>
      <c r="W313" s="8">
        <f>ROUND(E313*ต้นทุนและราคา!$C$4+F313*ต้นทุนและราคา!$C$5+G313*ต้นทุนและราคา!$C$6+H313*ต้นทุนและราคา!$C$7+I313*ต้นทุนและราคา!$C$8+J313*ต้นทุนและราคา!$C$9+K313*ต้นทุนและราคา!$C$10+L313*ต้นทุนและราคา!$C$11+M313*ต้นทุนและราคา!$C$12+N313*ต้นทุนและราคา!$C$13+O313*ต้นทุนและราคา!$C$14+P313*ต้นทุนและราคา!$C$15+Q313*ต้นทุนและราคา!$C$16+R313*ต้นทุนและราคา!$C$17+S313*ต้นทุนและราคา!$C$18+T313*ต้นทุนและราคา!$C$19+U313*ต้นทุนและราคา!$C$20+IF($C313="16 oz",ต้นทุนและราคา!$C$21,IF($C313="20 oz",ต้นทุนและราคา!$C$22,ต้นทุนและราคา!$C$23)),2)</f>
        <v>22.45</v>
      </c>
      <c r="X313" s="64" cm="1">
        <f t="array" ref="X313">IFERROR(INDEX(ต้นทุนและราคา!$C$26:$E$101,MATCH($B313,ต้นทุนและราคา!$A$26:$A$101,0),IF($C313="16 oz",1,IF($C313="20 oz",2,3))),"")</f>
        <v>59</v>
      </c>
      <c r="Y313" s="66">
        <f t="shared" si="35"/>
        <v>0.61949152542372876</v>
      </c>
      <c r="Z313" s="48" t="s">
        <v>1243</v>
      </c>
    </row>
    <row r="314" spans="1:26" x14ac:dyDescent="0.25">
      <c r="A314" s="4" t="str">
        <f t="shared" si="33"/>
        <v>Green Berry Soda|20 oz|50%</v>
      </c>
      <c r="B314" s="4" t="s">
        <v>81</v>
      </c>
      <c r="C314" s="4" t="s">
        <v>1046</v>
      </c>
      <c r="D314" s="4" t="s">
        <v>7</v>
      </c>
      <c r="E314" s="63">
        <f t="shared" ref="E314:U314" si="92">ROUND(E144*$AB$2,1)</f>
        <v>0</v>
      </c>
      <c r="F314" s="63">
        <f t="shared" si="92"/>
        <v>125</v>
      </c>
      <c r="G314" s="63">
        <f t="shared" si="92"/>
        <v>0</v>
      </c>
      <c r="H314" s="63">
        <f t="shared" si="92"/>
        <v>0</v>
      </c>
      <c r="I314" s="63">
        <f t="shared" si="92"/>
        <v>0</v>
      </c>
      <c r="J314" s="63">
        <f>ROUND(10+$AD$2*F314,1)</f>
        <v>26</v>
      </c>
      <c r="K314" s="63">
        <f t="shared" si="92"/>
        <v>0</v>
      </c>
      <c r="L314" s="63">
        <f t="shared" si="92"/>
        <v>0</v>
      </c>
      <c r="M314" s="63">
        <f t="shared" si="92"/>
        <v>0</v>
      </c>
      <c r="N314" s="63">
        <f t="shared" si="92"/>
        <v>0</v>
      </c>
      <c r="O314" s="63">
        <f t="shared" si="92"/>
        <v>35</v>
      </c>
      <c r="P314" s="63">
        <f t="shared" si="92"/>
        <v>7.5</v>
      </c>
      <c r="Q314" s="63">
        <f t="shared" si="92"/>
        <v>100</v>
      </c>
      <c r="R314" s="63">
        <f t="shared" si="92"/>
        <v>0</v>
      </c>
      <c r="S314" s="63">
        <f t="shared" si="92"/>
        <v>300</v>
      </c>
      <c r="T314" s="63">
        <f t="shared" si="92"/>
        <v>0</v>
      </c>
      <c r="U314" s="63">
        <f t="shared" si="92"/>
        <v>0</v>
      </c>
      <c r="V314" s="65">
        <f t="shared" si="74"/>
        <v>258.5</v>
      </c>
      <c r="W314" s="8">
        <f>ROUND(E314*ต้นทุนและราคา!$C$4+F314*ต้นทุนและราคา!$C$5+G314*ต้นทุนและราคา!$C$6+H314*ต้นทุนและราคา!$C$7+I314*ต้นทุนและราคา!$C$8+J314*ต้นทุนและราคา!$C$9+K314*ต้นทุนและราคา!$C$10+L314*ต้นทุนและราคา!$C$11+M314*ต้นทุนและราคา!$C$12+N314*ต้นทุนและราคา!$C$13+O314*ต้นทุนและราคา!$C$14+P314*ต้นทุนและราคา!$C$15+Q314*ต้นทุนและราคา!$C$16+R314*ต้นทุนและราคา!$C$17+S314*ต้นทุนและราคา!$C$18+T314*ต้นทุนและราคา!$C$19+U314*ต้นทุนและราคา!$C$20+IF($C314="16 oz",ต้นทุนและราคา!$C$21,IF($C314="20 oz",ต้นทุนและราคา!$C$22,ต้นทุนและราคา!$C$23)),2)</f>
        <v>22.53</v>
      </c>
      <c r="X314" s="64" cm="1">
        <f t="array" ref="X314">IFERROR(INDEX(ต้นทุนและราคา!$C$26:$E$101,MATCH($B314,ต้นทุนและราคา!$A$26:$A$101,0),IF($C314="16 oz",1,IF($C314="20 oz",2,3))),"")</f>
        <v>59</v>
      </c>
      <c r="Y314" s="66">
        <f t="shared" si="35"/>
        <v>0.61813559322033895</v>
      </c>
      <c r="Z314" s="48" t="s">
        <v>1243</v>
      </c>
    </row>
    <row r="315" spans="1:26" x14ac:dyDescent="0.25">
      <c r="A315" s="4" t="str">
        <f t="shared" si="33"/>
        <v>Green Berry Soda|20 oz|75%</v>
      </c>
      <c r="B315" s="4" t="s">
        <v>81</v>
      </c>
      <c r="C315" s="4" t="s">
        <v>1046</v>
      </c>
      <c r="D315" s="4" t="s">
        <v>65</v>
      </c>
      <c r="E315" s="63">
        <f t="shared" ref="E315:U315" si="93">ROUND(E145*$AB$2,1)</f>
        <v>0</v>
      </c>
      <c r="F315" s="63">
        <f t="shared" si="93"/>
        <v>125</v>
      </c>
      <c r="G315" s="63">
        <f t="shared" si="93"/>
        <v>0</v>
      </c>
      <c r="H315" s="63">
        <f t="shared" si="93"/>
        <v>0</v>
      </c>
      <c r="I315" s="63">
        <f t="shared" si="93"/>
        <v>0</v>
      </c>
      <c r="J315" s="63">
        <f>ROUND(15+$AD$2*F315,1)</f>
        <v>31</v>
      </c>
      <c r="K315" s="63">
        <f t="shared" si="93"/>
        <v>0</v>
      </c>
      <c r="L315" s="63">
        <f t="shared" si="93"/>
        <v>0</v>
      </c>
      <c r="M315" s="63">
        <f t="shared" si="93"/>
        <v>0</v>
      </c>
      <c r="N315" s="63">
        <f t="shared" si="93"/>
        <v>0</v>
      </c>
      <c r="O315" s="63">
        <f t="shared" si="93"/>
        <v>35</v>
      </c>
      <c r="P315" s="63">
        <f t="shared" si="93"/>
        <v>7.5</v>
      </c>
      <c r="Q315" s="63">
        <f t="shared" si="93"/>
        <v>100</v>
      </c>
      <c r="R315" s="63">
        <f t="shared" si="93"/>
        <v>0</v>
      </c>
      <c r="S315" s="63">
        <f t="shared" si="93"/>
        <v>300</v>
      </c>
      <c r="T315" s="63">
        <f t="shared" si="93"/>
        <v>0</v>
      </c>
      <c r="U315" s="63">
        <f t="shared" si="93"/>
        <v>0</v>
      </c>
      <c r="V315" s="65">
        <f t="shared" si="74"/>
        <v>263.5</v>
      </c>
      <c r="W315" s="8">
        <f>ROUND(E315*ต้นทุนและราคา!$C$4+F315*ต้นทุนและราคา!$C$5+G315*ต้นทุนและราคา!$C$6+H315*ต้นทุนและราคา!$C$7+I315*ต้นทุนและราคา!$C$8+J315*ต้นทุนและราคา!$C$9+K315*ต้นทุนและราคา!$C$10+L315*ต้นทุนและราคา!$C$11+M315*ต้นทุนและราคา!$C$12+N315*ต้นทุนและราคา!$C$13+O315*ต้นทุนและราคา!$C$14+P315*ต้นทุนและราคา!$C$15+Q315*ต้นทุนและราคา!$C$16+R315*ต้นทุนและราคา!$C$17+S315*ต้นทุนและราคา!$C$18+T315*ต้นทุนและราคา!$C$19+U315*ต้นทุนและราคา!$C$20+IF($C315="16 oz",ต้นทุนและราคา!$C$21,IF($C315="20 oz",ต้นทุนและราคา!$C$22,ต้นทุนและราคา!$C$23)),2)</f>
        <v>22.61</v>
      </c>
      <c r="X315" s="64" cm="1">
        <f t="array" ref="X315">IFERROR(INDEX(ต้นทุนและราคา!$C$26:$E$101,MATCH($B315,ต้นทุนและราคา!$A$26:$A$101,0),IF($C315="16 oz",1,IF($C315="20 oz",2,3))),"")</f>
        <v>59</v>
      </c>
      <c r="Y315" s="66">
        <f t="shared" si="35"/>
        <v>0.61677966101694914</v>
      </c>
      <c r="Z315" s="48" t="s">
        <v>1243</v>
      </c>
    </row>
    <row r="316" spans="1:26" x14ac:dyDescent="0.25">
      <c r="A316" s="4" t="str">
        <f t="shared" si="33"/>
        <v>Green Berry Soda|20 oz|100%</v>
      </c>
      <c r="B316" s="4" t="s">
        <v>81</v>
      </c>
      <c r="C316" s="4" t="s">
        <v>1046</v>
      </c>
      <c r="D316" s="4" t="s">
        <v>66</v>
      </c>
      <c r="E316" s="63">
        <f t="shared" ref="E316:U316" si="94">ROUND(E146*$AB$2,1)</f>
        <v>0</v>
      </c>
      <c r="F316" s="63">
        <f t="shared" si="94"/>
        <v>125</v>
      </c>
      <c r="G316" s="63">
        <f t="shared" si="94"/>
        <v>0</v>
      </c>
      <c r="H316" s="63">
        <f t="shared" si="94"/>
        <v>0</v>
      </c>
      <c r="I316" s="63">
        <f t="shared" si="94"/>
        <v>0</v>
      </c>
      <c r="J316" s="63">
        <f>ROUND(20+$AD$2*F316,1)</f>
        <v>36</v>
      </c>
      <c r="K316" s="63">
        <f t="shared" si="94"/>
        <v>0</v>
      </c>
      <c r="L316" s="63">
        <f t="shared" si="94"/>
        <v>0</v>
      </c>
      <c r="M316" s="63">
        <f t="shared" si="94"/>
        <v>0</v>
      </c>
      <c r="N316" s="63">
        <f t="shared" si="94"/>
        <v>0</v>
      </c>
      <c r="O316" s="63">
        <f t="shared" si="94"/>
        <v>35</v>
      </c>
      <c r="P316" s="63">
        <f t="shared" si="94"/>
        <v>7.5</v>
      </c>
      <c r="Q316" s="63">
        <f t="shared" si="94"/>
        <v>100</v>
      </c>
      <c r="R316" s="63">
        <f t="shared" si="94"/>
        <v>0</v>
      </c>
      <c r="S316" s="63">
        <f t="shared" si="94"/>
        <v>300</v>
      </c>
      <c r="T316" s="63">
        <f t="shared" si="94"/>
        <v>0</v>
      </c>
      <c r="U316" s="63">
        <f t="shared" si="94"/>
        <v>0</v>
      </c>
      <c r="V316" s="65">
        <f t="shared" si="74"/>
        <v>268.5</v>
      </c>
      <c r="W316" s="8">
        <f>ROUND(E316*ต้นทุนและราคา!$C$4+F316*ต้นทุนและราคา!$C$5+G316*ต้นทุนและราคา!$C$6+H316*ต้นทุนและราคา!$C$7+I316*ต้นทุนและราคา!$C$8+J316*ต้นทุนและราคา!$C$9+K316*ต้นทุนและราคา!$C$10+L316*ต้นทุนและราคา!$C$11+M316*ต้นทุนและราคา!$C$12+N316*ต้นทุนและราคา!$C$13+O316*ต้นทุนและราคา!$C$14+P316*ต้นทุนและราคา!$C$15+Q316*ต้นทุนและราคา!$C$16+R316*ต้นทุนและราคา!$C$17+S316*ต้นทุนและราคา!$C$18+T316*ต้นทุนและราคา!$C$19+U316*ต้นทุนและราคา!$C$20+IF($C316="16 oz",ต้นทุนและราคา!$C$21,IF($C316="20 oz",ต้นทุนและราคา!$C$22,ต้นทุนและราคา!$C$23)),2)</f>
        <v>22.7</v>
      </c>
      <c r="X316" s="64" cm="1">
        <f t="array" ref="X316">IFERROR(INDEX(ต้นทุนและราคา!$C$26:$E$101,MATCH($B316,ต้นทุนและราคา!$A$26:$A$101,0),IF($C316="16 oz",1,IF($C316="20 oz",2,3))),"")</f>
        <v>59</v>
      </c>
      <c r="Y316" s="66">
        <f t="shared" si="35"/>
        <v>0.61525423728813555</v>
      </c>
      <c r="Z316" s="48" t="s">
        <v>1243</v>
      </c>
    </row>
    <row r="317" spans="1:26" x14ac:dyDescent="0.25">
      <c r="A317" s="4" t="str">
        <f t="shared" si="33"/>
        <v>Green Tea Frappe|20 oz|0%</v>
      </c>
      <c r="B317" s="4" t="s">
        <v>82</v>
      </c>
      <c r="C317" s="4" t="s">
        <v>1046</v>
      </c>
      <c r="D317" s="4" t="s">
        <v>63</v>
      </c>
      <c r="E317" s="63">
        <f t="shared" ref="E317:U317" si="95">ROUND(E152*$AB$2,1)</f>
        <v>0</v>
      </c>
      <c r="F317" s="63">
        <f t="shared" si="95"/>
        <v>112.5</v>
      </c>
      <c r="G317" s="63">
        <f t="shared" si="95"/>
        <v>87.5</v>
      </c>
      <c r="H317" s="63">
        <f t="shared" si="95"/>
        <v>25</v>
      </c>
      <c r="I317" s="63">
        <f t="shared" si="95"/>
        <v>0</v>
      </c>
      <c r="J317" s="63">
        <f t="shared" si="95"/>
        <v>0</v>
      </c>
      <c r="K317" s="63">
        <f t="shared" si="95"/>
        <v>0</v>
      </c>
      <c r="L317" s="63">
        <f t="shared" si="95"/>
        <v>0</v>
      </c>
      <c r="M317" s="63">
        <f t="shared" si="95"/>
        <v>0</v>
      </c>
      <c r="N317" s="63">
        <f t="shared" si="95"/>
        <v>0</v>
      </c>
      <c r="O317" s="63">
        <f t="shared" si="95"/>
        <v>0</v>
      </c>
      <c r="P317" s="63">
        <f t="shared" si="95"/>
        <v>0</v>
      </c>
      <c r="Q317" s="63">
        <f t="shared" si="95"/>
        <v>0</v>
      </c>
      <c r="R317" s="63">
        <f t="shared" si="95"/>
        <v>0</v>
      </c>
      <c r="S317" s="63">
        <f t="shared" si="95"/>
        <v>250</v>
      </c>
      <c r="T317" s="63">
        <f t="shared" si="95"/>
        <v>0</v>
      </c>
      <c r="U317" s="63">
        <f t="shared" si="95"/>
        <v>0</v>
      </c>
      <c r="V317" s="65">
        <f t="shared" si="74"/>
        <v>225</v>
      </c>
      <c r="W317" s="8">
        <f>ROUND(E317*ต้นทุนและราคา!$C$4+F317*ต้นทุนและราคา!$C$5+G317*ต้นทุนและราคา!$C$6+H317*ต้นทุนและราคา!$C$7+I317*ต้นทุนและราคา!$C$8+J317*ต้นทุนและราคา!$C$9+K317*ต้นทุนและราคา!$C$10+L317*ต้นทุนและราคา!$C$11+M317*ต้นทุนและราคา!$C$12+N317*ต้นทุนและราคา!$C$13+O317*ต้นทุนและราคา!$C$14+P317*ต้นทุนและราคา!$C$15+Q317*ต้นทุนและราคา!$C$16+R317*ต้นทุนและราคา!$C$17+S317*ต้นทุนและราคา!$C$18+T317*ต้นทุนและราคา!$C$19+U317*ต้นทุนและราคา!$C$20+IF($C317="16 oz",ต้นทุนและราคา!$C$21,IF($C317="20 oz",ต้นทุนและราคา!$C$22,ต้นทุนและราคา!$C$23)),2)</f>
        <v>16.89</v>
      </c>
      <c r="X317" s="64" cm="1">
        <f t="array" ref="X317">IFERROR(INDEX(ต้นทุนและราคา!$C$26:$E$101,MATCH($B317,ต้นทุนและราคา!$A$26:$A$101,0),IF($C317="16 oz",1,IF($C317="20 oz",2,3))),"")</f>
        <v>70</v>
      </c>
      <c r="Y317" s="66">
        <f t="shared" si="35"/>
        <v>0.75871428571428567</v>
      </c>
      <c r="Z317" s="48" t="s">
        <v>1244</v>
      </c>
    </row>
    <row r="318" spans="1:26" x14ac:dyDescent="0.25">
      <c r="A318" s="4" t="str">
        <f t="shared" si="33"/>
        <v>Green Tea Frappe|20 oz|25%</v>
      </c>
      <c r="B318" s="4" t="s">
        <v>82</v>
      </c>
      <c r="C318" s="4" t="s">
        <v>1046</v>
      </c>
      <c r="D318" s="4" t="s">
        <v>64</v>
      </c>
      <c r="E318" s="63">
        <f t="shared" ref="E318:U318" si="96">ROUND(E153*$AB$2,1)</f>
        <v>0</v>
      </c>
      <c r="F318" s="63">
        <f t="shared" si="96"/>
        <v>112.5</v>
      </c>
      <c r="G318" s="63">
        <f>ROUND(87.5-$AD$2*F318,1)</f>
        <v>73.099999999999994</v>
      </c>
      <c r="H318" s="63">
        <f t="shared" si="96"/>
        <v>25</v>
      </c>
      <c r="I318" s="63">
        <f t="shared" si="96"/>
        <v>10</v>
      </c>
      <c r="J318" s="63">
        <f>ROUND(0+$AD$2*F318,1)</f>
        <v>14.4</v>
      </c>
      <c r="K318" s="63">
        <f t="shared" si="96"/>
        <v>0</v>
      </c>
      <c r="L318" s="63">
        <f t="shared" si="96"/>
        <v>0</v>
      </c>
      <c r="M318" s="63">
        <f t="shared" si="96"/>
        <v>0</v>
      </c>
      <c r="N318" s="63">
        <f t="shared" si="96"/>
        <v>0</v>
      </c>
      <c r="O318" s="63">
        <f t="shared" si="96"/>
        <v>0</v>
      </c>
      <c r="P318" s="63">
        <f t="shared" si="96"/>
        <v>0</v>
      </c>
      <c r="Q318" s="63">
        <f t="shared" si="96"/>
        <v>0</v>
      </c>
      <c r="R318" s="63">
        <f t="shared" si="96"/>
        <v>0</v>
      </c>
      <c r="S318" s="63">
        <f t="shared" si="96"/>
        <v>250</v>
      </c>
      <c r="T318" s="63">
        <f t="shared" si="96"/>
        <v>0</v>
      </c>
      <c r="U318" s="63">
        <f t="shared" si="96"/>
        <v>0</v>
      </c>
      <c r="V318" s="65">
        <f t="shared" si="74"/>
        <v>235</v>
      </c>
      <c r="W318" s="8">
        <f>ROUND(E318*ต้นทุนและราคา!$C$4+F318*ต้นทุนและราคา!$C$5+G318*ต้นทุนและราคา!$C$6+H318*ต้นทุนและราคา!$C$7+I318*ต้นทุนและราคา!$C$8+J318*ต้นทุนและราคา!$C$9+K318*ต้นทุนและราคา!$C$10+L318*ต้นทุนและราคา!$C$11+M318*ต้นทุนและราคา!$C$12+N318*ต้นทุนและราคา!$C$13+O318*ต้นทุนและราคา!$C$14+P318*ต้นทุนและราคา!$C$15+Q318*ต้นทุนและราคา!$C$16+R318*ต้นทุนและราคา!$C$17+S318*ต้นทุนและราคา!$C$18+T318*ต้นทุนและราคา!$C$19+U318*ต้นทุนและราคา!$C$20+IF($C318="16 oz",ต้นทุนและราคา!$C$21,IF($C318="20 oz",ต้นทุนและราคา!$C$22,ต้นทุนและราคา!$C$23)),2)</f>
        <v>17.13</v>
      </c>
      <c r="X318" s="64" cm="1">
        <f t="array" ref="X318">IFERROR(INDEX(ต้นทุนและราคา!$C$26:$E$101,MATCH($B318,ต้นทุนและราคา!$A$26:$A$101,0),IF($C318="16 oz",1,IF($C318="20 oz",2,3))),"")</f>
        <v>70</v>
      </c>
      <c r="Y318" s="66">
        <f t="shared" si="35"/>
        <v>0.75528571428571434</v>
      </c>
      <c r="Z318" s="48" t="s">
        <v>1245</v>
      </c>
    </row>
    <row r="319" spans="1:26" x14ac:dyDescent="0.25">
      <c r="A319" s="4" t="str">
        <f t="shared" si="33"/>
        <v>Green Tea Frappe|20 oz|50%</v>
      </c>
      <c r="B319" s="4" t="s">
        <v>82</v>
      </c>
      <c r="C319" s="4" t="s">
        <v>1046</v>
      </c>
      <c r="D319" s="4" t="s">
        <v>7</v>
      </c>
      <c r="E319" s="63">
        <f t="shared" ref="E319:U319" si="97">ROUND(E154*$AB$2,1)</f>
        <v>0</v>
      </c>
      <c r="F319" s="63">
        <f t="shared" si="97"/>
        <v>112.5</v>
      </c>
      <c r="G319" s="63">
        <f>ROUND(87.5-$AD$2*F319,1)</f>
        <v>73.099999999999994</v>
      </c>
      <c r="H319" s="63">
        <f t="shared" si="97"/>
        <v>25</v>
      </c>
      <c r="I319" s="63">
        <f t="shared" si="97"/>
        <v>20</v>
      </c>
      <c r="J319" s="63">
        <f>ROUND(0+$AD$2*F319,1)</f>
        <v>14.4</v>
      </c>
      <c r="K319" s="63">
        <f t="shared" si="97"/>
        <v>0</v>
      </c>
      <c r="L319" s="63">
        <f t="shared" si="97"/>
        <v>0</v>
      </c>
      <c r="M319" s="63">
        <f t="shared" si="97"/>
        <v>0</v>
      </c>
      <c r="N319" s="63">
        <f t="shared" si="97"/>
        <v>0</v>
      </c>
      <c r="O319" s="63">
        <f t="shared" si="97"/>
        <v>0</v>
      </c>
      <c r="P319" s="63">
        <f t="shared" si="97"/>
        <v>0</v>
      </c>
      <c r="Q319" s="63">
        <f t="shared" si="97"/>
        <v>0</v>
      </c>
      <c r="R319" s="63">
        <f t="shared" si="97"/>
        <v>0</v>
      </c>
      <c r="S319" s="63">
        <f t="shared" si="97"/>
        <v>250</v>
      </c>
      <c r="T319" s="63">
        <f t="shared" si="97"/>
        <v>0</v>
      </c>
      <c r="U319" s="63">
        <f t="shared" si="97"/>
        <v>0</v>
      </c>
      <c r="V319" s="65">
        <f t="shared" si="74"/>
        <v>245</v>
      </c>
      <c r="W319" s="8">
        <f>ROUND(E319*ต้นทุนและราคา!$C$4+F319*ต้นทุนและราคา!$C$5+G319*ต้นทุนและราคา!$C$6+H319*ต้นทุนและราคา!$C$7+I319*ต้นทุนและราคา!$C$8+J319*ต้นทุนและราคา!$C$9+K319*ต้นทุนและราคา!$C$10+L319*ต้นทุนและราคา!$C$11+M319*ต้นทุนและราคา!$C$12+N319*ต้นทุนและราคา!$C$13+O319*ต้นทุนและราคา!$C$14+P319*ต้นทุนและราคา!$C$15+Q319*ต้นทุนและราคา!$C$16+R319*ต้นทุนและราคา!$C$17+S319*ต้นทุนและราคา!$C$18+T319*ต้นทุนและราคา!$C$19+U319*ต้นทุนและราคา!$C$20+IF($C319="16 oz",ต้นทุนและราคา!$C$21,IF($C319="20 oz",ต้นทุนและราคา!$C$22,ต้นทุนและราคา!$C$23)),2)</f>
        <v>17.829999999999998</v>
      </c>
      <c r="X319" s="64" cm="1">
        <f t="array" ref="X319">IFERROR(INDEX(ต้นทุนและราคา!$C$26:$E$101,MATCH($B319,ต้นทุนและราคา!$A$26:$A$101,0),IF($C319="16 oz",1,IF($C319="20 oz",2,3))),"")</f>
        <v>70</v>
      </c>
      <c r="Y319" s="66">
        <f t="shared" si="35"/>
        <v>0.74528571428571433</v>
      </c>
      <c r="Z319" s="48" t="s">
        <v>1245</v>
      </c>
    </row>
    <row r="320" spans="1:26" x14ac:dyDescent="0.25">
      <c r="A320" s="4" t="str">
        <f t="shared" si="33"/>
        <v>Green Tea Frappe|20 oz|75%</v>
      </c>
      <c r="B320" s="4" t="s">
        <v>82</v>
      </c>
      <c r="C320" s="4" t="s">
        <v>1046</v>
      </c>
      <c r="D320" s="4" t="s">
        <v>65</v>
      </c>
      <c r="E320" s="63">
        <f t="shared" ref="E320:U320" si="98">ROUND(E155*$AB$2,1)</f>
        <v>0</v>
      </c>
      <c r="F320" s="63">
        <f t="shared" si="98"/>
        <v>112.5</v>
      </c>
      <c r="G320" s="63">
        <f>ROUND(87.5-$AD$2*F320,1)</f>
        <v>73.099999999999994</v>
      </c>
      <c r="H320" s="63">
        <f t="shared" si="98"/>
        <v>25</v>
      </c>
      <c r="I320" s="63">
        <f t="shared" si="98"/>
        <v>30</v>
      </c>
      <c r="J320" s="63">
        <f>ROUND(0+$AD$2*F320,1)</f>
        <v>14.4</v>
      </c>
      <c r="K320" s="63">
        <f t="shared" si="98"/>
        <v>0</v>
      </c>
      <c r="L320" s="63">
        <f t="shared" si="98"/>
        <v>0</v>
      </c>
      <c r="M320" s="63">
        <f t="shared" si="98"/>
        <v>0</v>
      </c>
      <c r="N320" s="63">
        <f t="shared" si="98"/>
        <v>0</v>
      </c>
      <c r="O320" s="63">
        <f t="shared" si="98"/>
        <v>0</v>
      </c>
      <c r="P320" s="63">
        <f t="shared" si="98"/>
        <v>0</v>
      </c>
      <c r="Q320" s="63">
        <f t="shared" si="98"/>
        <v>0</v>
      </c>
      <c r="R320" s="63">
        <f t="shared" si="98"/>
        <v>0</v>
      </c>
      <c r="S320" s="63">
        <f t="shared" si="98"/>
        <v>250</v>
      </c>
      <c r="T320" s="63">
        <f t="shared" si="98"/>
        <v>0</v>
      </c>
      <c r="U320" s="63">
        <f t="shared" si="98"/>
        <v>0</v>
      </c>
      <c r="V320" s="65">
        <f t="shared" si="74"/>
        <v>255</v>
      </c>
      <c r="W320" s="8">
        <f>ROUND(E320*ต้นทุนและราคา!$C$4+F320*ต้นทุนและราคา!$C$5+G320*ต้นทุนและราคา!$C$6+H320*ต้นทุนและราคา!$C$7+I320*ต้นทุนและราคา!$C$8+J320*ต้นทุนและราคา!$C$9+K320*ต้นทุนและราคา!$C$10+L320*ต้นทุนและราคา!$C$11+M320*ต้นทุนและราคา!$C$12+N320*ต้นทุนและราคา!$C$13+O320*ต้นทุนและราคา!$C$14+P320*ต้นทุนและราคา!$C$15+Q320*ต้นทุนและราคา!$C$16+R320*ต้นทุนและราคา!$C$17+S320*ต้นทุนและราคา!$C$18+T320*ต้นทุนและราคา!$C$19+U320*ต้นทุนและราคา!$C$20+IF($C320="16 oz",ต้นทุนและราคา!$C$21,IF($C320="20 oz",ต้นทุนและราคา!$C$22,ต้นทุนและราคา!$C$23)),2)</f>
        <v>18.52</v>
      </c>
      <c r="X320" s="64" cm="1">
        <f t="array" ref="X320">IFERROR(INDEX(ต้นทุนและราคา!$C$26:$E$101,MATCH($B320,ต้นทุนและราคา!$A$26:$A$101,0),IF($C320="16 oz",1,IF($C320="20 oz",2,3))),"")</f>
        <v>70</v>
      </c>
      <c r="Y320" s="66">
        <f t="shared" si="35"/>
        <v>0.73542857142857143</v>
      </c>
      <c r="Z320" s="48" t="s">
        <v>1245</v>
      </c>
    </row>
    <row r="321" spans="1:26" x14ac:dyDescent="0.25">
      <c r="A321" s="4" t="str">
        <f t="shared" si="33"/>
        <v>Green Tea Frappe|20 oz|100%</v>
      </c>
      <c r="B321" s="4" t="s">
        <v>82</v>
      </c>
      <c r="C321" s="4" t="s">
        <v>1046</v>
      </c>
      <c r="D321" s="4" t="s">
        <v>66</v>
      </c>
      <c r="E321" s="63">
        <f t="shared" ref="E321:U321" si="99">ROUND(E156*$AB$2,1)</f>
        <v>0</v>
      </c>
      <c r="F321" s="63">
        <f t="shared" si="99"/>
        <v>112.5</v>
      </c>
      <c r="G321" s="63">
        <f>ROUND(87.5-$AD$2*F321,1)</f>
        <v>73.099999999999994</v>
      </c>
      <c r="H321" s="63">
        <f t="shared" si="99"/>
        <v>25</v>
      </c>
      <c r="I321" s="63">
        <f t="shared" si="99"/>
        <v>40</v>
      </c>
      <c r="J321" s="63">
        <f>ROUND(0+$AD$2*F321,1)</f>
        <v>14.4</v>
      </c>
      <c r="K321" s="63">
        <f t="shared" si="99"/>
        <v>0</v>
      </c>
      <c r="L321" s="63">
        <f t="shared" si="99"/>
        <v>0</v>
      </c>
      <c r="M321" s="63">
        <f t="shared" si="99"/>
        <v>0</v>
      </c>
      <c r="N321" s="63">
        <f t="shared" si="99"/>
        <v>0</v>
      </c>
      <c r="O321" s="63">
        <f t="shared" si="99"/>
        <v>0</v>
      </c>
      <c r="P321" s="63">
        <f t="shared" si="99"/>
        <v>0</v>
      </c>
      <c r="Q321" s="63">
        <f t="shared" si="99"/>
        <v>0</v>
      </c>
      <c r="R321" s="63">
        <f t="shared" si="99"/>
        <v>0</v>
      </c>
      <c r="S321" s="63">
        <f t="shared" si="99"/>
        <v>250</v>
      </c>
      <c r="T321" s="63">
        <f t="shared" si="99"/>
        <v>0</v>
      </c>
      <c r="U321" s="63">
        <f t="shared" si="99"/>
        <v>0</v>
      </c>
      <c r="V321" s="65">
        <f t="shared" si="74"/>
        <v>265</v>
      </c>
      <c r="W321" s="8">
        <f>ROUND(E321*ต้นทุนและราคา!$C$4+F321*ต้นทุนและราคา!$C$5+G321*ต้นทุนและราคา!$C$6+H321*ต้นทุนและราคา!$C$7+I321*ต้นทุนและราคา!$C$8+J321*ต้นทุนและราคา!$C$9+K321*ต้นทุนและราคา!$C$10+L321*ต้นทุนและราคา!$C$11+M321*ต้นทุนและราคา!$C$12+N321*ต้นทุนและราคา!$C$13+O321*ต้นทุนและราคา!$C$14+P321*ต้นทุนและราคา!$C$15+Q321*ต้นทุนและราคา!$C$16+R321*ต้นทุนและราคา!$C$17+S321*ต้นทุนและราคา!$C$18+T321*ต้นทุนและราคา!$C$19+U321*ต้นทุนและราคา!$C$20+IF($C321="16 oz",ต้นทุนและราคา!$C$21,IF($C321="20 oz",ต้นทุนและราคา!$C$22,ต้นทุนและราคา!$C$23)),2)</f>
        <v>19.21</v>
      </c>
      <c r="X321" s="64" cm="1">
        <f t="array" ref="X321">IFERROR(INDEX(ต้นทุนและราคา!$C$26:$E$101,MATCH($B321,ต้นทุนและราคา!$A$26:$A$101,0),IF($C321="16 oz",1,IF($C321="20 oz",2,3))),"")</f>
        <v>70</v>
      </c>
      <c r="Y321" s="66">
        <f t="shared" si="35"/>
        <v>0.72557142857142853</v>
      </c>
      <c r="Z321" s="48" t="s">
        <v>1245</v>
      </c>
    </row>
    <row r="322" spans="1:26" x14ac:dyDescent="0.25">
      <c r="A322" s="4" t="str">
        <f t="shared" ref="A322:A361" si="100">IF($B322="","",$B322&amp;"|"&amp;$C322&amp;"|"&amp;$D322)</f>
        <v>Green Latte|20 oz|0%</v>
      </c>
      <c r="B322" s="4" t="s">
        <v>303</v>
      </c>
      <c r="C322" s="4" t="s">
        <v>1046</v>
      </c>
      <c r="D322" s="4" t="s">
        <v>63</v>
      </c>
      <c r="E322" s="63">
        <f t="shared" ref="E322:U322" si="101">ROUND(E162*$AB$2,1)</f>
        <v>0</v>
      </c>
      <c r="F322" s="63">
        <f t="shared" si="101"/>
        <v>162.5</v>
      </c>
      <c r="G322" s="63">
        <f t="shared" si="101"/>
        <v>62.5</v>
      </c>
      <c r="H322" s="63">
        <f t="shared" si="101"/>
        <v>25</v>
      </c>
      <c r="I322" s="63">
        <f t="shared" si="101"/>
        <v>0</v>
      </c>
      <c r="J322" s="63">
        <f t="shared" si="101"/>
        <v>0</v>
      </c>
      <c r="K322" s="63">
        <f t="shared" si="101"/>
        <v>0</v>
      </c>
      <c r="L322" s="63">
        <f t="shared" si="101"/>
        <v>0</v>
      </c>
      <c r="M322" s="63">
        <f t="shared" si="101"/>
        <v>0</v>
      </c>
      <c r="N322" s="63">
        <f t="shared" si="101"/>
        <v>0</v>
      </c>
      <c r="O322" s="63">
        <f t="shared" si="101"/>
        <v>0</v>
      </c>
      <c r="P322" s="63">
        <f t="shared" si="101"/>
        <v>0</v>
      </c>
      <c r="Q322" s="63">
        <f t="shared" si="101"/>
        <v>0</v>
      </c>
      <c r="R322" s="63">
        <f t="shared" si="101"/>
        <v>0</v>
      </c>
      <c r="S322" s="63">
        <f t="shared" si="101"/>
        <v>300</v>
      </c>
      <c r="T322" s="63">
        <f t="shared" si="101"/>
        <v>0</v>
      </c>
      <c r="U322" s="63">
        <f t="shared" si="101"/>
        <v>0</v>
      </c>
      <c r="V322" s="65">
        <f t="shared" si="74"/>
        <v>250</v>
      </c>
      <c r="W322" s="8">
        <f>ROUND(E322*ต้นทุนและราคา!$C$4+F322*ต้นทุนและราคา!$C$5+G322*ต้นทุนและราคา!$C$6+H322*ต้นทุนและราคา!$C$7+I322*ต้นทุนและราคา!$C$8+J322*ต้นทุนและราคา!$C$9+K322*ต้นทุนและราคา!$C$10+L322*ต้นทุนและราคา!$C$11+M322*ต้นทุนและราคา!$C$12+N322*ต้นทุนและราคา!$C$13+O322*ต้นทุนและราคา!$C$14+P322*ต้นทุนและราคา!$C$15+Q322*ต้นทุนและราคา!$C$16+R322*ต้นทุนและราคา!$C$17+S322*ต้นทุนและราคา!$C$18+T322*ต้นทุนและราคา!$C$19+U322*ต้นทุนและราคา!$C$20+IF($C322="16 oz",ต้นทุนและราคา!$C$21,IF($C322="20 oz",ต้นทุนและราคา!$C$22,ต้นทุนและราคา!$C$23)),2)</f>
        <v>17.61</v>
      </c>
      <c r="X322" s="64" cm="1">
        <f t="array" ref="X322">IFERROR(INDEX(ต้นทุนและราคา!$C$26:$E$101,MATCH($B322,ต้นทุนและราคา!$A$26:$A$101,0),IF($C322="16 oz",1,IF($C322="20 oz",2,3))),"")</f>
        <v>55</v>
      </c>
      <c r="Y322" s="66">
        <f t="shared" ref="Y322:Y361" si="102">IFERROR(($X322-$W322)/$X322,"")</f>
        <v>0.67981818181818188</v>
      </c>
      <c r="Z322" s="48" t="s">
        <v>1246</v>
      </c>
    </row>
    <row r="323" spans="1:26" x14ac:dyDescent="0.25">
      <c r="A323" s="4" t="str">
        <f t="shared" si="100"/>
        <v>Green Latte|20 oz|25%</v>
      </c>
      <c r="B323" s="4" t="s">
        <v>303</v>
      </c>
      <c r="C323" s="4" t="s">
        <v>1046</v>
      </c>
      <c r="D323" s="4" t="s">
        <v>64</v>
      </c>
      <c r="E323" s="63">
        <f t="shared" ref="E323:U323" si="103">ROUND(E163*$AB$2,1)</f>
        <v>0</v>
      </c>
      <c r="F323" s="63">
        <f t="shared" si="103"/>
        <v>162.5</v>
      </c>
      <c r="G323" s="63">
        <f>ROUND(58.8-$AD$2*F323,1)</f>
        <v>38</v>
      </c>
      <c r="H323" s="63">
        <f t="shared" si="103"/>
        <v>25</v>
      </c>
      <c r="I323" s="63">
        <f t="shared" si="103"/>
        <v>0</v>
      </c>
      <c r="J323" s="63">
        <f>ROUND(8.8+$AD$2*F323,1)</f>
        <v>29.6</v>
      </c>
      <c r="K323" s="63">
        <f t="shared" si="103"/>
        <v>0</v>
      </c>
      <c r="L323" s="63">
        <f t="shared" si="103"/>
        <v>0</v>
      </c>
      <c r="M323" s="63">
        <f t="shared" si="103"/>
        <v>0</v>
      </c>
      <c r="N323" s="63">
        <f t="shared" si="103"/>
        <v>0</v>
      </c>
      <c r="O323" s="63">
        <f t="shared" si="103"/>
        <v>0</v>
      </c>
      <c r="P323" s="63">
        <f t="shared" si="103"/>
        <v>0</v>
      </c>
      <c r="Q323" s="63">
        <f t="shared" si="103"/>
        <v>0</v>
      </c>
      <c r="R323" s="63">
        <f t="shared" si="103"/>
        <v>0</v>
      </c>
      <c r="S323" s="63">
        <f t="shared" si="103"/>
        <v>300</v>
      </c>
      <c r="T323" s="63">
        <f t="shared" si="103"/>
        <v>0</v>
      </c>
      <c r="U323" s="63">
        <f t="shared" si="103"/>
        <v>0</v>
      </c>
      <c r="V323" s="65">
        <f t="shared" si="74"/>
        <v>255.1</v>
      </c>
      <c r="W323" s="8">
        <f>ROUND(E323*ต้นทุนและราคา!$C$4+F323*ต้นทุนและราคา!$C$5+G323*ต้นทุนและราคา!$C$6+H323*ต้นทุนและราคา!$C$7+I323*ต้นทุนและราคา!$C$8+J323*ต้นทุนและราคา!$C$9+K323*ต้นทุนและราคา!$C$10+L323*ต้นทุนและราคา!$C$11+M323*ต้นทุนและราคา!$C$12+N323*ต้นทุนและราคา!$C$13+O323*ต้นทุนและราคา!$C$14+P323*ต้นทุนและราคา!$C$15+Q323*ต้นทุนและราคา!$C$16+R323*ต้นทุนและราคา!$C$17+S323*ต้นทุนและราคา!$C$18+T323*ต้นทุนและราคา!$C$19+U323*ต้นทุนและราคา!$C$20+IF($C323="16 oz",ต้นทุนและราคา!$C$21,IF($C323="20 oz",ต้นทุนและราคา!$C$22,ต้นทุนและราคา!$C$23)),2)</f>
        <v>16.93</v>
      </c>
      <c r="X323" s="64" cm="1">
        <f t="array" ref="X323">IFERROR(INDEX(ต้นทุนและราคา!$C$26:$E$101,MATCH($B323,ต้นทุนและราคา!$A$26:$A$101,0),IF($C323="16 oz",1,IF($C323="20 oz",2,3))),"")</f>
        <v>55</v>
      </c>
      <c r="Y323" s="66">
        <f t="shared" si="102"/>
        <v>0.69218181818181823</v>
      </c>
      <c r="Z323" s="48" t="s">
        <v>1247</v>
      </c>
    </row>
    <row r="324" spans="1:26" x14ac:dyDescent="0.25">
      <c r="A324" s="4" t="str">
        <f t="shared" si="100"/>
        <v>Green Latte|20 oz|50%</v>
      </c>
      <c r="B324" s="4" t="s">
        <v>303</v>
      </c>
      <c r="C324" s="4" t="s">
        <v>1046</v>
      </c>
      <c r="D324" s="4" t="s">
        <v>7</v>
      </c>
      <c r="E324" s="63">
        <f t="shared" ref="E324:U324" si="104">ROUND(E164*$AB$2,1)</f>
        <v>0</v>
      </c>
      <c r="F324" s="63">
        <f t="shared" si="104"/>
        <v>162.5</v>
      </c>
      <c r="G324" s="63">
        <f>ROUND(55-$AD$2*F324,1)</f>
        <v>34.200000000000003</v>
      </c>
      <c r="H324" s="63">
        <f t="shared" si="104"/>
        <v>25</v>
      </c>
      <c r="I324" s="63">
        <f t="shared" si="104"/>
        <v>0</v>
      </c>
      <c r="J324" s="63">
        <f>ROUND(17.5+$AD$2*F324,1)</f>
        <v>38.299999999999997</v>
      </c>
      <c r="K324" s="63">
        <f t="shared" si="104"/>
        <v>0</v>
      </c>
      <c r="L324" s="63">
        <f t="shared" si="104"/>
        <v>0</v>
      </c>
      <c r="M324" s="63">
        <f t="shared" si="104"/>
        <v>0</v>
      </c>
      <c r="N324" s="63">
        <f t="shared" si="104"/>
        <v>0</v>
      </c>
      <c r="O324" s="63">
        <f t="shared" si="104"/>
        <v>0</v>
      </c>
      <c r="P324" s="63">
        <f t="shared" si="104"/>
        <v>0</v>
      </c>
      <c r="Q324" s="63">
        <f t="shared" si="104"/>
        <v>0</v>
      </c>
      <c r="R324" s="63">
        <f t="shared" si="104"/>
        <v>0</v>
      </c>
      <c r="S324" s="63">
        <f t="shared" si="104"/>
        <v>300</v>
      </c>
      <c r="T324" s="63">
        <f t="shared" si="104"/>
        <v>0</v>
      </c>
      <c r="U324" s="63">
        <f t="shared" si="104"/>
        <v>0</v>
      </c>
      <c r="V324" s="65">
        <f t="shared" si="74"/>
        <v>260</v>
      </c>
      <c r="W324" s="8">
        <f>ROUND(E324*ต้นทุนและราคา!$C$4+F324*ต้นทุนและราคา!$C$5+G324*ต้นทุนและราคา!$C$6+H324*ต้นทุนและราคา!$C$7+I324*ต้นทุนและราคา!$C$8+J324*ต้นทุนและราคา!$C$9+K324*ต้นทุนและราคา!$C$10+L324*ต้นทุนและราคา!$C$11+M324*ต้นทุนและราคา!$C$12+N324*ต้นทุนและราคา!$C$13+O324*ต้นทุนและราคา!$C$14+P324*ต้นทุนและราคา!$C$15+Q324*ต้นทุนและราคา!$C$16+R324*ต้นทุนและราคา!$C$17+S324*ต้นทุนและราคา!$C$18+T324*ต้นทุนและราคา!$C$19+U324*ต้นทุนและราคา!$C$20+IF($C324="16 oz",ต้นทุนและราคา!$C$21,IF($C324="20 oz",ต้นทุนและราคา!$C$22,ต้นทุนและราคา!$C$23)),2)</f>
        <v>16.89</v>
      </c>
      <c r="X324" s="64" cm="1">
        <f t="array" ref="X324">IFERROR(INDEX(ต้นทุนและราคา!$C$26:$E$101,MATCH($B324,ต้นทุนและราคา!$A$26:$A$101,0),IF($C324="16 oz",1,IF($C324="20 oz",2,3))),"")</f>
        <v>55</v>
      </c>
      <c r="Y324" s="66">
        <f t="shared" si="102"/>
        <v>0.69290909090909092</v>
      </c>
      <c r="Z324" s="48" t="s">
        <v>1247</v>
      </c>
    </row>
    <row r="325" spans="1:26" x14ac:dyDescent="0.25">
      <c r="A325" s="4" t="str">
        <f t="shared" si="100"/>
        <v>Green Latte|20 oz|75%</v>
      </c>
      <c r="B325" s="4" t="s">
        <v>303</v>
      </c>
      <c r="C325" s="4" t="s">
        <v>1046</v>
      </c>
      <c r="D325" s="4" t="s">
        <v>65</v>
      </c>
      <c r="E325" s="63">
        <f t="shared" ref="E325:U325" si="105">ROUND(E165*$AB$2,1)</f>
        <v>0</v>
      </c>
      <c r="F325" s="63">
        <f t="shared" si="105"/>
        <v>162.5</v>
      </c>
      <c r="G325" s="63">
        <f>ROUND(51.3-$AD$2*F325,1)</f>
        <v>30.5</v>
      </c>
      <c r="H325" s="63">
        <f t="shared" si="105"/>
        <v>25</v>
      </c>
      <c r="I325" s="63">
        <f t="shared" si="105"/>
        <v>0</v>
      </c>
      <c r="J325" s="63">
        <f>ROUND(26.3+$AD$2*F325,1)</f>
        <v>47.1</v>
      </c>
      <c r="K325" s="63">
        <f t="shared" si="105"/>
        <v>0</v>
      </c>
      <c r="L325" s="63">
        <f t="shared" si="105"/>
        <v>0</v>
      </c>
      <c r="M325" s="63">
        <f t="shared" si="105"/>
        <v>0</v>
      </c>
      <c r="N325" s="63">
        <f t="shared" si="105"/>
        <v>0</v>
      </c>
      <c r="O325" s="63">
        <f t="shared" si="105"/>
        <v>0</v>
      </c>
      <c r="P325" s="63">
        <f t="shared" si="105"/>
        <v>0</v>
      </c>
      <c r="Q325" s="63">
        <f t="shared" si="105"/>
        <v>0</v>
      </c>
      <c r="R325" s="63">
        <f t="shared" si="105"/>
        <v>0</v>
      </c>
      <c r="S325" s="63">
        <f t="shared" si="105"/>
        <v>300</v>
      </c>
      <c r="T325" s="63">
        <f t="shared" si="105"/>
        <v>0</v>
      </c>
      <c r="U325" s="63">
        <f t="shared" si="105"/>
        <v>0</v>
      </c>
      <c r="V325" s="65">
        <f t="shared" si="74"/>
        <v>265.10000000000002</v>
      </c>
      <c r="W325" s="8">
        <f>ROUND(E325*ต้นทุนและราคา!$C$4+F325*ต้นทุนและราคา!$C$5+G325*ต้นทุนและราคา!$C$6+H325*ต้นทุนและราคา!$C$7+I325*ต้นทุนและราคา!$C$8+J325*ต้นทุนและราคา!$C$9+K325*ต้นทุนและราคา!$C$10+L325*ต้นทุนและราคา!$C$11+M325*ต้นทุนและราคา!$C$12+N325*ต้นทุนและราคา!$C$13+O325*ต้นทุนและราคา!$C$14+P325*ต้นทุนและราคา!$C$15+Q325*ต้นทุนและราคา!$C$16+R325*ต้นทุนและราคา!$C$17+S325*ต้นทุนและราคา!$C$18+T325*ต้นทุนและราคา!$C$19+U325*ต้นทุนและราคา!$C$20+IF($C325="16 oz",ต้นทุนและราคา!$C$21,IF($C325="20 oz",ต้นทุนและราคา!$C$22,ต้นทุนและราคา!$C$23)),2)</f>
        <v>16.86</v>
      </c>
      <c r="X325" s="64" cm="1">
        <f t="array" ref="X325">IFERROR(INDEX(ต้นทุนและราคา!$C$26:$E$101,MATCH($B325,ต้นทุนและราคา!$A$26:$A$101,0),IF($C325="16 oz",1,IF($C325="20 oz",2,3))),"")</f>
        <v>55</v>
      </c>
      <c r="Y325" s="66">
        <f t="shared" si="102"/>
        <v>0.69345454545454543</v>
      </c>
      <c r="Z325" s="48" t="s">
        <v>1247</v>
      </c>
    </row>
    <row r="326" spans="1:26" x14ac:dyDescent="0.25">
      <c r="A326" s="4" t="str">
        <f t="shared" si="100"/>
        <v>Green Latte|20 oz|100%</v>
      </c>
      <c r="B326" s="4" t="s">
        <v>303</v>
      </c>
      <c r="C326" s="4" t="s">
        <v>1046</v>
      </c>
      <c r="D326" s="4" t="s">
        <v>66</v>
      </c>
      <c r="E326" s="63">
        <f t="shared" ref="E326:U326" si="106">ROUND(E166*$AB$2,1)</f>
        <v>0</v>
      </c>
      <c r="F326" s="63">
        <f t="shared" si="106"/>
        <v>162.5</v>
      </c>
      <c r="G326" s="63">
        <f>ROUND(47.5-$AD$2*F326,1)</f>
        <v>26.7</v>
      </c>
      <c r="H326" s="63">
        <f t="shared" si="106"/>
        <v>25</v>
      </c>
      <c r="I326" s="63">
        <f t="shared" si="106"/>
        <v>0</v>
      </c>
      <c r="J326" s="63">
        <f>ROUND(35+$AD$2*F326,1)</f>
        <v>55.8</v>
      </c>
      <c r="K326" s="63">
        <f t="shared" si="106"/>
        <v>0</v>
      </c>
      <c r="L326" s="63">
        <f t="shared" si="106"/>
        <v>0</v>
      </c>
      <c r="M326" s="63">
        <f t="shared" si="106"/>
        <v>0</v>
      </c>
      <c r="N326" s="63">
        <f t="shared" si="106"/>
        <v>0</v>
      </c>
      <c r="O326" s="63">
        <f t="shared" si="106"/>
        <v>0</v>
      </c>
      <c r="P326" s="63">
        <f t="shared" si="106"/>
        <v>0</v>
      </c>
      <c r="Q326" s="63">
        <f t="shared" si="106"/>
        <v>0</v>
      </c>
      <c r="R326" s="63">
        <f t="shared" si="106"/>
        <v>0</v>
      </c>
      <c r="S326" s="63">
        <f t="shared" si="106"/>
        <v>300</v>
      </c>
      <c r="T326" s="63">
        <f t="shared" si="106"/>
        <v>0</v>
      </c>
      <c r="U326" s="63">
        <f t="shared" si="106"/>
        <v>0</v>
      </c>
      <c r="V326" s="65">
        <f t="shared" si="74"/>
        <v>270</v>
      </c>
      <c r="W326" s="8">
        <f>ROUND(E326*ต้นทุนและราคา!$C$4+F326*ต้นทุนและราคา!$C$5+G326*ต้นทุนและราคา!$C$6+H326*ต้นทุนและราคา!$C$7+I326*ต้นทุนและราคา!$C$8+J326*ต้นทุนและราคา!$C$9+K326*ต้นทุนและราคา!$C$10+L326*ต้นทุนและราคา!$C$11+M326*ต้นทุนและราคา!$C$12+N326*ต้นทุนและราคา!$C$13+O326*ต้นทุนและราคา!$C$14+P326*ต้นทุนและราคา!$C$15+Q326*ต้นทุนและราคา!$C$16+R326*ต้นทุนและราคา!$C$17+S326*ต้นทุนและราคา!$C$18+T326*ต้นทุนและราคา!$C$19+U326*ต้นทุนและราคา!$C$20+IF($C326="16 oz",ต้นทุนและราคา!$C$21,IF($C326="20 oz",ต้นทุนและราคา!$C$22,ต้นทุนและราคา!$C$23)),2)</f>
        <v>16.82</v>
      </c>
      <c r="X326" s="64" cm="1">
        <f t="array" ref="X326">IFERROR(INDEX(ต้นทุนและราคา!$C$26:$E$101,MATCH($B326,ต้นทุนและราคา!$A$26:$A$101,0),IF($C326="16 oz",1,IF($C326="20 oz",2,3))),"")</f>
        <v>55</v>
      </c>
      <c r="Y326" s="66">
        <f t="shared" si="102"/>
        <v>0.69418181818181812</v>
      </c>
      <c r="Z326" s="48" t="s">
        <v>1247</v>
      </c>
    </row>
    <row r="327" spans="1:26" x14ac:dyDescent="0.25">
      <c r="A327" s="4" t="str">
        <f t="shared" si="100"/>
        <v>Green Lemon Tea|20 oz|0%</v>
      </c>
      <c r="B327" s="4" t="s">
        <v>305</v>
      </c>
      <c r="C327" s="4" t="s">
        <v>1046</v>
      </c>
      <c r="D327" s="4" t="s">
        <v>63</v>
      </c>
      <c r="E327" s="63">
        <f t="shared" ref="E327:U327" si="107">ROUND(E172*$AB$2,1)</f>
        <v>0</v>
      </c>
      <c r="F327" s="63">
        <f t="shared" si="107"/>
        <v>206.3</v>
      </c>
      <c r="G327" s="63">
        <f t="shared" si="107"/>
        <v>0</v>
      </c>
      <c r="H327" s="63">
        <f t="shared" si="107"/>
        <v>0</v>
      </c>
      <c r="I327" s="63">
        <f t="shared" si="107"/>
        <v>0</v>
      </c>
      <c r="J327" s="63">
        <f t="shared" si="107"/>
        <v>0</v>
      </c>
      <c r="K327" s="63">
        <f t="shared" si="107"/>
        <v>0</v>
      </c>
      <c r="L327" s="63">
        <f t="shared" si="107"/>
        <v>0</v>
      </c>
      <c r="M327" s="63">
        <f t="shared" si="107"/>
        <v>0</v>
      </c>
      <c r="N327" s="63">
        <f t="shared" si="107"/>
        <v>0</v>
      </c>
      <c r="O327" s="63">
        <f t="shared" si="107"/>
        <v>0</v>
      </c>
      <c r="P327" s="63">
        <f t="shared" si="107"/>
        <v>18.8</v>
      </c>
      <c r="Q327" s="63">
        <f t="shared" si="107"/>
        <v>0</v>
      </c>
      <c r="R327" s="63">
        <f t="shared" si="107"/>
        <v>0</v>
      </c>
      <c r="S327" s="63">
        <f t="shared" si="107"/>
        <v>300</v>
      </c>
      <c r="T327" s="63">
        <f t="shared" si="107"/>
        <v>0</v>
      </c>
      <c r="U327" s="63">
        <f t="shared" si="107"/>
        <v>0</v>
      </c>
      <c r="V327" s="65">
        <f t="shared" si="74"/>
        <v>225.10000000000002</v>
      </c>
      <c r="W327" s="8">
        <f>ROUND(E327*ต้นทุนและราคา!$C$4+F327*ต้นทุนและราคา!$C$5+G327*ต้นทุนและราคา!$C$6+H327*ต้นทุนและราคา!$C$7+I327*ต้นทุนและราคา!$C$8+J327*ต้นทุนและราคา!$C$9+K327*ต้นทุนและราคา!$C$10+L327*ต้นทุนและราคา!$C$11+M327*ต้นทุนและราคา!$C$12+N327*ต้นทุนและราคา!$C$13+O327*ต้นทุนและราคา!$C$14+P327*ต้นทุนและราคา!$C$15+Q327*ต้นทุนและราคา!$C$16+R327*ต้นทุนและราคา!$C$17+S327*ต้นทุนและราคา!$C$18+T327*ต้นทุนและราคา!$C$19+U327*ต้นทุนและราคา!$C$20+IF($C327="16 oz",ต้นทุนและราคา!$C$21,IF($C327="20 oz",ต้นทุนและราคา!$C$22,ต้นทุนและราคา!$C$23)),2)</f>
        <v>18.329999999999998</v>
      </c>
      <c r="X327" s="64" cm="1">
        <f t="array" ref="X327">IFERROR(INDEX(ต้นทุนและราคา!$C$26:$E$101,MATCH($B327,ต้นทุนและราคา!$A$26:$A$101,0),IF($C327="16 oz",1,IF($C327="20 oz",2,3))),"")</f>
        <v>49</v>
      </c>
      <c r="Y327" s="66">
        <f t="shared" si="102"/>
        <v>0.62591836734693884</v>
      </c>
      <c r="Z327" s="48" t="s">
        <v>1248</v>
      </c>
    </row>
    <row r="328" spans="1:26" x14ac:dyDescent="0.25">
      <c r="A328" s="4" t="str">
        <f t="shared" si="100"/>
        <v>Green Lemon Tea|20 oz|25%</v>
      </c>
      <c r="B328" s="4" t="s">
        <v>305</v>
      </c>
      <c r="C328" s="4" t="s">
        <v>1046</v>
      </c>
      <c r="D328" s="4" t="s">
        <v>64</v>
      </c>
      <c r="E328" s="63">
        <f t="shared" ref="E328:U328" si="108">ROUND(E173*$AB$2,1)</f>
        <v>0</v>
      </c>
      <c r="F328" s="63">
        <f>ROUND(206.3/(1+$AD$2),1)</f>
        <v>182.9</v>
      </c>
      <c r="G328" s="63">
        <f t="shared" si="108"/>
        <v>0</v>
      </c>
      <c r="H328" s="63">
        <f t="shared" si="108"/>
        <v>0</v>
      </c>
      <c r="I328" s="63">
        <f t="shared" si="108"/>
        <v>0</v>
      </c>
      <c r="J328" s="63">
        <f>ROUND(10+$AD$2*F328,1)</f>
        <v>33.4</v>
      </c>
      <c r="K328" s="63">
        <f t="shared" si="108"/>
        <v>0</v>
      </c>
      <c r="L328" s="63">
        <f t="shared" si="108"/>
        <v>0</v>
      </c>
      <c r="M328" s="63">
        <f t="shared" si="108"/>
        <v>0</v>
      </c>
      <c r="N328" s="63">
        <f t="shared" si="108"/>
        <v>0</v>
      </c>
      <c r="O328" s="63">
        <f t="shared" si="108"/>
        <v>0</v>
      </c>
      <c r="P328" s="63">
        <f t="shared" si="108"/>
        <v>18.8</v>
      </c>
      <c r="Q328" s="63">
        <f t="shared" si="108"/>
        <v>0</v>
      </c>
      <c r="R328" s="63">
        <f t="shared" si="108"/>
        <v>0</v>
      </c>
      <c r="S328" s="63">
        <f t="shared" si="108"/>
        <v>300</v>
      </c>
      <c r="T328" s="63">
        <f t="shared" si="108"/>
        <v>0</v>
      </c>
      <c r="U328" s="63">
        <f t="shared" si="108"/>
        <v>0</v>
      </c>
      <c r="V328" s="65">
        <f t="shared" si="74"/>
        <v>235.10000000000002</v>
      </c>
      <c r="W328" s="8">
        <f>ROUND(E328*ต้นทุนและราคา!$C$4+F328*ต้นทุนและราคา!$C$5+G328*ต้นทุนและราคา!$C$6+H328*ต้นทุนและราคา!$C$7+I328*ต้นทุนและราคา!$C$8+J328*ต้นทุนและราคา!$C$9+K328*ต้นทุนและราคา!$C$10+L328*ต้นทุนและราคา!$C$11+M328*ต้นทุนและราคา!$C$12+N328*ต้นทุนและราคา!$C$13+O328*ต้นทุนและราคา!$C$14+P328*ต้นทุนและราคา!$C$15+Q328*ต้นทุนและราคา!$C$16+R328*ต้นทุนและราคา!$C$17+S328*ต้นทุนและราคา!$C$18+T328*ต้นทุนและราคา!$C$19+U328*ต้นทุนและราคา!$C$20+IF($C328="16 oz",ต้นทุนและราคา!$C$21,IF($C328="20 oz",ต้นทุนและราคา!$C$22,ต้นทุนและราคา!$C$23)),2)</f>
        <v>18.32</v>
      </c>
      <c r="X328" s="64" cm="1">
        <f t="array" ref="X328">IFERROR(INDEX(ต้นทุนและราคา!$C$26:$E$101,MATCH($B328,ต้นทุนและราคา!$A$26:$A$101,0),IF($C328="16 oz",1,IF($C328="20 oz",2,3))),"")</f>
        <v>49</v>
      </c>
      <c r="Y328" s="66">
        <f t="shared" si="102"/>
        <v>0.62612244897959179</v>
      </c>
      <c r="Z328" s="48" t="s">
        <v>1256</v>
      </c>
    </row>
    <row r="329" spans="1:26" x14ac:dyDescent="0.25">
      <c r="A329" s="4" t="str">
        <f t="shared" si="100"/>
        <v>Green Lemon Tea|20 oz|50%</v>
      </c>
      <c r="B329" s="4" t="s">
        <v>305</v>
      </c>
      <c r="C329" s="4" t="s">
        <v>1046</v>
      </c>
      <c r="D329" s="4" t="s">
        <v>7</v>
      </c>
      <c r="E329" s="63">
        <f t="shared" ref="E329:U329" si="109">ROUND(E174*$AB$2,1)</f>
        <v>0</v>
      </c>
      <c r="F329" s="63">
        <f>ROUND(206.3/(1+$AD$2),1)</f>
        <v>182.9</v>
      </c>
      <c r="G329" s="63">
        <f t="shared" si="109"/>
        <v>0</v>
      </c>
      <c r="H329" s="63">
        <f t="shared" si="109"/>
        <v>0</v>
      </c>
      <c r="I329" s="63">
        <f t="shared" si="109"/>
        <v>0</v>
      </c>
      <c r="J329" s="63">
        <f>ROUND(20+$AD$2*F329,1)</f>
        <v>43.4</v>
      </c>
      <c r="K329" s="63">
        <f t="shared" si="109"/>
        <v>0</v>
      </c>
      <c r="L329" s="63">
        <f t="shared" si="109"/>
        <v>0</v>
      </c>
      <c r="M329" s="63">
        <f t="shared" si="109"/>
        <v>0</v>
      </c>
      <c r="N329" s="63">
        <f t="shared" si="109"/>
        <v>0</v>
      </c>
      <c r="O329" s="63">
        <f t="shared" si="109"/>
        <v>0</v>
      </c>
      <c r="P329" s="63">
        <f t="shared" si="109"/>
        <v>18.8</v>
      </c>
      <c r="Q329" s="63">
        <f t="shared" si="109"/>
        <v>0</v>
      </c>
      <c r="R329" s="63">
        <f t="shared" si="109"/>
        <v>0</v>
      </c>
      <c r="S329" s="63">
        <f t="shared" si="109"/>
        <v>300</v>
      </c>
      <c r="T329" s="63">
        <f t="shared" si="109"/>
        <v>0</v>
      </c>
      <c r="U329" s="63">
        <f t="shared" si="109"/>
        <v>0</v>
      </c>
      <c r="V329" s="65">
        <f t="shared" si="74"/>
        <v>245.10000000000002</v>
      </c>
      <c r="W329" s="8">
        <f>ROUND(E329*ต้นทุนและราคา!$C$4+F329*ต้นทุนและราคา!$C$5+G329*ต้นทุนและราคา!$C$6+H329*ต้นทุนและราคา!$C$7+I329*ต้นทุนและราคา!$C$8+J329*ต้นทุนและราคา!$C$9+K329*ต้นทุนและราคา!$C$10+L329*ต้นทุนและราคา!$C$11+M329*ต้นทุนและราคา!$C$12+N329*ต้นทุนและราคา!$C$13+O329*ต้นทุนและราคา!$C$14+P329*ต้นทุนและราคา!$C$15+Q329*ต้นทุนและราคา!$C$16+R329*ต้นทุนและราคา!$C$17+S329*ต้นทุนและราคา!$C$18+T329*ต้นทุนและราคา!$C$19+U329*ต้นทุนและราคา!$C$20+IF($C329="16 oz",ต้นทุนและราคา!$C$21,IF($C329="20 oz",ต้นทุนและราคา!$C$22,ต้นทุนและราคา!$C$23)),2)</f>
        <v>18.489999999999998</v>
      </c>
      <c r="X329" s="64" cm="1">
        <f t="array" ref="X329">IFERROR(INDEX(ต้นทุนและราคา!$C$26:$E$101,MATCH($B329,ต้นทุนและราคา!$A$26:$A$101,0),IF($C329="16 oz",1,IF($C329="20 oz",2,3))),"")</f>
        <v>49</v>
      </c>
      <c r="Y329" s="66">
        <f t="shared" si="102"/>
        <v>0.62265306122448982</v>
      </c>
      <c r="Z329" s="48" t="s">
        <v>1256</v>
      </c>
    </row>
    <row r="330" spans="1:26" x14ac:dyDescent="0.25">
      <c r="A330" s="4" t="str">
        <f t="shared" si="100"/>
        <v>Green Lemon Tea|20 oz|75%</v>
      </c>
      <c r="B330" s="4" t="s">
        <v>305</v>
      </c>
      <c r="C330" s="4" t="s">
        <v>1046</v>
      </c>
      <c r="D330" s="4" t="s">
        <v>65</v>
      </c>
      <c r="E330" s="63">
        <f t="shared" ref="E330:U330" si="110">ROUND(E175*$AB$2,1)</f>
        <v>0</v>
      </c>
      <c r="F330" s="63">
        <f>ROUND(206.3/(1+$AD$2),1)</f>
        <v>182.9</v>
      </c>
      <c r="G330" s="63">
        <f t="shared" si="110"/>
        <v>0</v>
      </c>
      <c r="H330" s="63">
        <f t="shared" si="110"/>
        <v>0</v>
      </c>
      <c r="I330" s="63">
        <f t="shared" si="110"/>
        <v>0</v>
      </c>
      <c r="J330" s="63">
        <f>ROUND(30+$AD$2*F330,1)</f>
        <v>53.4</v>
      </c>
      <c r="K330" s="63">
        <f t="shared" si="110"/>
        <v>0</v>
      </c>
      <c r="L330" s="63">
        <f t="shared" si="110"/>
        <v>0</v>
      </c>
      <c r="M330" s="63">
        <f t="shared" si="110"/>
        <v>0</v>
      </c>
      <c r="N330" s="63">
        <f t="shared" si="110"/>
        <v>0</v>
      </c>
      <c r="O330" s="63">
        <f t="shared" si="110"/>
        <v>0</v>
      </c>
      <c r="P330" s="63">
        <f t="shared" si="110"/>
        <v>18.8</v>
      </c>
      <c r="Q330" s="63">
        <f t="shared" si="110"/>
        <v>0</v>
      </c>
      <c r="R330" s="63">
        <f t="shared" si="110"/>
        <v>0</v>
      </c>
      <c r="S330" s="63">
        <f t="shared" si="110"/>
        <v>300</v>
      </c>
      <c r="T330" s="63">
        <f t="shared" si="110"/>
        <v>0</v>
      </c>
      <c r="U330" s="63">
        <f t="shared" si="110"/>
        <v>0</v>
      </c>
      <c r="V330" s="65">
        <f t="shared" si="74"/>
        <v>255.10000000000002</v>
      </c>
      <c r="W330" s="8">
        <f>ROUND(E330*ต้นทุนและราคา!$C$4+F330*ต้นทุนและราคา!$C$5+G330*ต้นทุนและราคา!$C$6+H330*ต้นทุนและราคา!$C$7+I330*ต้นทุนและราคา!$C$8+J330*ต้นทุนและราคา!$C$9+K330*ต้นทุนและราคา!$C$10+L330*ต้นทุนและราคา!$C$11+M330*ต้นทุนและราคา!$C$12+N330*ต้นทุนและราคา!$C$13+O330*ต้นทุนและราคา!$C$14+P330*ต้นทุนและราคา!$C$15+Q330*ต้นทุนและราคา!$C$16+R330*ต้นทุนและราคา!$C$17+S330*ต้นทุนและราคา!$C$18+T330*ต้นทุนและราคา!$C$19+U330*ต้นทุนและราคา!$C$20+IF($C330="16 oz",ต้นทุนและราคา!$C$21,IF($C330="20 oz",ต้นทุนและราคา!$C$22,ต้นทุนและราคา!$C$23)),2)</f>
        <v>18.66</v>
      </c>
      <c r="X330" s="64" cm="1">
        <f t="array" ref="X330">IFERROR(INDEX(ต้นทุนและราคา!$C$26:$E$101,MATCH($B330,ต้นทุนและราคา!$A$26:$A$101,0),IF($C330="16 oz",1,IF($C330="20 oz",2,3))),"")</f>
        <v>49</v>
      </c>
      <c r="Y330" s="66">
        <f t="shared" si="102"/>
        <v>0.61918367346938774</v>
      </c>
      <c r="Z330" s="48" t="s">
        <v>1256</v>
      </c>
    </row>
    <row r="331" spans="1:26" x14ac:dyDescent="0.25">
      <c r="A331" s="4" t="str">
        <f t="shared" si="100"/>
        <v>Green Lemon Tea|20 oz|100%</v>
      </c>
      <c r="B331" s="4" t="s">
        <v>305</v>
      </c>
      <c r="C331" s="4" t="s">
        <v>1046</v>
      </c>
      <c r="D331" s="4" t="s">
        <v>66</v>
      </c>
      <c r="E331" s="63">
        <f t="shared" ref="E331:U331" si="111">ROUND(E176*$AB$2,1)</f>
        <v>0</v>
      </c>
      <c r="F331" s="63">
        <f>ROUND(206.3/(1+$AD$2),1)</f>
        <v>182.9</v>
      </c>
      <c r="G331" s="63">
        <f t="shared" si="111"/>
        <v>0</v>
      </c>
      <c r="H331" s="63">
        <f t="shared" si="111"/>
        <v>0</v>
      </c>
      <c r="I331" s="63">
        <f t="shared" si="111"/>
        <v>0</v>
      </c>
      <c r="J331" s="63">
        <f>ROUND(40+$AD$2*F331,1)</f>
        <v>63.4</v>
      </c>
      <c r="K331" s="63">
        <f t="shared" si="111"/>
        <v>0</v>
      </c>
      <c r="L331" s="63">
        <f t="shared" si="111"/>
        <v>0</v>
      </c>
      <c r="M331" s="63">
        <f t="shared" si="111"/>
        <v>0</v>
      </c>
      <c r="N331" s="63">
        <f t="shared" si="111"/>
        <v>0</v>
      </c>
      <c r="O331" s="63">
        <f t="shared" si="111"/>
        <v>0</v>
      </c>
      <c r="P331" s="63">
        <f t="shared" si="111"/>
        <v>18.8</v>
      </c>
      <c r="Q331" s="63">
        <f t="shared" si="111"/>
        <v>0</v>
      </c>
      <c r="R331" s="63">
        <f t="shared" si="111"/>
        <v>0</v>
      </c>
      <c r="S331" s="63">
        <f t="shared" si="111"/>
        <v>300</v>
      </c>
      <c r="T331" s="63">
        <f t="shared" si="111"/>
        <v>0</v>
      </c>
      <c r="U331" s="63">
        <f t="shared" si="111"/>
        <v>0</v>
      </c>
      <c r="V331" s="65">
        <f t="shared" si="74"/>
        <v>265.10000000000002</v>
      </c>
      <c r="W331" s="8">
        <f>ROUND(E331*ต้นทุนและราคา!$C$4+F331*ต้นทุนและราคา!$C$5+G331*ต้นทุนและราคา!$C$6+H331*ต้นทุนและราคา!$C$7+I331*ต้นทุนและราคา!$C$8+J331*ต้นทุนและราคา!$C$9+K331*ต้นทุนและราคา!$C$10+L331*ต้นทุนและราคา!$C$11+M331*ต้นทุนและราคา!$C$12+N331*ต้นทุนและราคา!$C$13+O331*ต้นทุนและราคา!$C$14+P331*ต้นทุนและราคา!$C$15+Q331*ต้นทุนและราคา!$C$16+R331*ต้นทุนและราคา!$C$17+S331*ต้นทุนและราคา!$C$18+T331*ต้นทุนและราคา!$C$19+U331*ต้นทุนและราคา!$C$20+IF($C331="16 oz",ต้นทุนและราคา!$C$21,IF($C331="20 oz",ต้นทุนและราคา!$C$22,ต้นทุนและราคา!$C$23)),2)</f>
        <v>18.82</v>
      </c>
      <c r="X331" s="64" cm="1">
        <f t="array" ref="X331">IFERROR(INDEX(ต้นทุนและราคา!$C$26:$E$101,MATCH($B331,ต้นทุนและราคา!$A$26:$A$101,0),IF($C331="16 oz",1,IF($C331="20 oz",2,3))),"")</f>
        <v>49</v>
      </c>
      <c r="Y331" s="66">
        <f t="shared" si="102"/>
        <v>0.61591836734693872</v>
      </c>
      <c r="Z331" s="48" t="s">
        <v>1256</v>
      </c>
    </row>
    <row r="332" spans="1:26" x14ac:dyDescent="0.25">
      <c r="A332" s="4" t="str">
        <f t="shared" si="100"/>
        <v>Green Honey Lemon|20 oz|0%</v>
      </c>
      <c r="B332" s="4" t="s">
        <v>307</v>
      </c>
      <c r="C332" s="4" t="s">
        <v>1046</v>
      </c>
      <c r="D332" s="4" t="s">
        <v>63</v>
      </c>
      <c r="E332" s="63">
        <f t="shared" ref="E332:U332" si="112">ROUND(E182*$AB$2,1)</f>
        <v>0</v>
      </c>
      <c r="F332" s="63">
        <f t="shared" si="112"/>
        <v>206.3</v>
      </c>
      <c r="G332" s="63">
        <f t="shared" si="112"/>
        <v>0</v>
      </c>
      <c r="H332" s="63">
        <f t="shared" si="112"/>
        <v>0</v>
      </c>
      <c r="I332" s="63">
        <f t="shared" si="112"/>
        <v>0</v>
      </c>
      <c r="J332" s="63">
        <f t="shared" si="112"/>
        <v>0</v>
      </c>
      <c r="K332" s="63">
        <f t="shared" si="112"/>
        <v>0</v>
      </c>
      <c r="L332" s="63">
        <f t="shared" si="112"/>
        <v>0</v>
      </c>
      <c r="M332" s="63">
        <f t="shared" si="112"/>
        <v>0</v>
      </c>
      <c r="N332" s="63">
        <f t="shared" si="112"/>
        <v>0</v>
      </c>
      <c r="O332" s="63">
        <f t="shared" si="112"/>
        <v>0</v>
      </c>
      <c r="P332" s="63">
        <f t="shared" si="112"/>
        <v>18.8</v>
      </c>
      <c r="Q332" s="63">
        <f t="shared" si="112"/>
        <v>0</v>
      </c>
      <c r="R332" s="63">
        <f t="shared" si="112"/>
        <v>0</v>
      </c>
      <c r="S332" s="63">
        <f t="shared" si="112"/>
        <v>300</v>
      </c>
      <c r="T332" s="63">
        <f t="shared" si="112"/>
        <v>0</v>
      </c>
      <c r="U332" s="63">
        <f t="shared" si="112"/>
        <v>0</v>
      </c>
      <c r="V332" s="65">
        <f t="shared" si="74"/>
        <v>225.10000000000002</v>
      </c>
      <c r="W332" s="8">
        <f>ROUND(E332*ต้นทุนและราคา!$C$4+F332*ต้นทุนและราคา!$C$5+G332*ต้นทุนและราคา!$C$6+H332*ต้นทุนและราคา!$C$7+I332*ต้นทุนและราคา!$C$8+J332*ต้นทุนและราคา!$C$9+K332*ต้นทุนและราคา!$C$10+L332*ต้นทุนและราคา!$C$11+M332*ต้นทุนและราคา!$C$12+N332*ต้นทุนและราคา!$C$13+O332*ต้นทุนและราคา!$C$14+P332*ต้นทุนและราคา!$C$15+Q332*ต้นทุนและราคา!$C$16+R332*ต้นทุนและราคา!$C$17+S332*ต้นทุนและราคา!$C$18+T332*ต้นทุนและราคา!$C$19+U332*ต้นทุนและราคา!$C$20+IF($C332="16 oz",ต้นทุนและราคา!$C$21,IF($C332="20 oz",ต้นทุนและราคา!$C$22,ต้นทุนและราคา!$C$23)),2)</f>
        <v>18.329999999999998</v>
      </c>
      <c r="X332" s="64" cm="1">
        <f t="array" ref="X332">IFERROR(INDEX(ต้นทุนและราคา!$C$26:$E$101,MATCH($B332,ต้นทุนและราคา!$A$26:$A$101,0),IF($C332="16 oz",1,IF($C332="20 oz",2,3))),"")</f>
        <v>59</v>
      </c>
      <c r="Y332" s="66">
        <f t="shared" si="102"/>
        <v>0.68932203389830515</v>
      </c>
      <c r="Z332" s="48" t="s">
        <v>1249</v>
      </c>
    </row>
    <row r="333" spans="1:26" x14ac:dyDescent="0.25">
      <c r="A333" s="4" t="str">
        <f t="shared" si="100"/>
        <v>Green Honey Lemon|20 oz|25%</v>
      </c>
      <c r="B333" s="4" t="s">
        <v>307</v>
      </c>
      <c r="C333" s="4" t="s">
        <v>1046</v>
      </c>
      <c r="D333" s="4" t="s">
        <v>64</v>
      </c>
      <c r="E333" s="63">
        <f t="shared" ref="E333:U333" si="113">ROUND(E183*$AB$2,1)</f>
        <v>0</v>
      </c>
      <c r="F333" s="63">
        <f>ROUND(206.3/(1+$AD$2),1)</f>
        <v>182.9</v>
      </c>
      <c r="G333" s="63">
        <f t="shared" si="113"/>
        <v>0</v>
      </c>
      <c r="H333" s="63">
        <f t="shared" si="113"/>
        <v>0</v>
      </c>
      <c r="I333" s="63">
        <f t="shared" si="113"/>
        <v>0</v>
      </c>
      <c r="J333" s="63">
        <f>ROUND(3.8+$AD$2*F333,1)</f>
        <v>27.2</v>
      </c>
      <c r="K333" s="63">
        <f t="shared" si="113"/>
        <v>5</v>
      </c>
      <c r="L333" s="63">
        <f t="shared" si="113"/>
        <v>0</v>
      </c>
      <c r="M333" s="63">
        <f t="shared" si="113"/>
        <v>0</v>
      </c>
      <c r="N333" s="63">
        <f t="shared" si="113"/>
        <v>0</v>
      </c>
      <c r="O333" s="63">
        <f t="shared" si="113"/>
        <v>0</v>
      </c>
      <c r="P333" s="63">
        <f t="shared" si="113"/>
        <v>18.8</v>
      </c>
      <c r="Q333" s="63">
        <f t="shared" si="113"/>
        <v>0</v>
      </c>
      <c r="R333" s="63">
        <f t="shared" si="113"/>
        <v>0</v>
      </c>
      <c r="S333" s="63">
        <f t="shared" si="113"/>
        <v>300</v>
      </c>
      <c r="T333" s="63">
        <f t="shared" si="113"/>
        <v>0</v>
      </c>
      <c r="U333" s="63">
        <f t="shared" si="113"/>
        <v>0</v>
      </c>
      <c r="V333" s="65">
        <f t="shared" si="74"/>
        <v>233.9</v>
      </c>
      <c r="W333" s="8">
        <f>ROUND(E333*ต้นทุนและราคา!$C$4+F333*ต้นทุนและราคา!$C$5+G333*ต้นทุนและราคา!$C$6+H333*ต้นทุนและราคา!$C$7+I333*ต้นทุนและราคา!$C$8+J333*ต้นทุนและราคา!$C$9+K333*ต้นทุนและราคา!$C$10+L333*ต้นทุนและราคา!$C$11+M333*ต้นทุนและราคา!$C$12+N333*ต้นทุนและราคา!$C$13+O333*ต้นทุนและราคา!$C$14+P333*ต้นทุนและราคา!$C$15+Q333*ต้นทุนและราคา!$C$16+R333*ต้นทุนและราคา!$C$17+S333*ต้นทุนและราคา!$C$18+T333*ต้นทุนและราคา!$C$19+U333*ต้นทุนและราคา!$C$20+IF($C333="16 oz",ต้นทุนและราคา!$C$21,IF($C333="20 oz",ต้นทุนและราคา!$C$22,ต้นทุนและราคา!$C$23)),2)</f>
        <v>19.39</v>
      </c>
      <c r="X333" s="64" cm="1">
        <f t="array" ref="X333">IFERROR(INDEX(ต้นทุนและราคา!$C$26:$E$101,MATCH($B333,ต้นทุนและราคา!$A$26:$A$101,0),IF($C333="16 oz",1,IF($C333="20 oz",2,3))),"")</f>
        <v>59</v>
      </c>
      <c r="Y333" s="66">
        <f t="shared" si="102"/>
        <v>0.67135593220338985</v>
      </c>
      <c r="Z333" s="48" t="s">
        <v>1257</v>
      </c>
    </row>
    <row r="334" spans="1:26" x14ac:dyDescent="0.25">
      <c r="A334" s="4" t="str">
        <f t="shared" si="100"/>
        <v>Green Honey Lemon|20 oz|50%</v>
      </c>
      <c r="B334" s="4" t="s">
        <v>307</v>
      </c>
      <c r="C334" s="4" t="s">
        <v>1046</v>
      </c>
      <c r="D334" s="4" t="s">
        <v>7</v>
      </c>
      <c r="E334" s="63">
        <f t="shared" ref="E334:U334" si="114">ROUND(E184*$AB$2,1)</f>
        <v>0</v>
      </c>
      <c r="F334" s="63">
        <f>ROUND(206.3/(1+$AD$2),1)</f>
        <v>182.9</v>
      </c>
      <c r="G334" s="63">
        <f t="shared" si="114"/>
        <v>0</v>
      </c>
      <c r="H334" s="63">
        <f t="shared" si="114"/>
        <v>0</v>
      </c>
      <c r="I334" s="63">
        <f t="shared" si="114"/>
        <v>0</v>
      </c>
      <c r="J334" s="63">
        <f>ROUND(7.5+$AD$2*F334,1)</f>
        <v>30.9</v>
      </c>
      <c r="K334" s="63">
        <f t="shared" si="114"/>
        <v>10</v>
      </c>
      <c r="L334" s="63">
        <f t="shared" si="114"/>
        <v>0</v>
      </c>
      <c r="M334" s="63">
        <f t="shared" si="114"/>
        <v>0</v>
      </c>
      <c r="N334" s="63">
        <f t="shared" si="114"/>
        <v>0</v>
      </c>
      <c r="O334" s="63">
        <f t="shared" si="114"/>
        <v>0</v>
      </c>
      <c r="P334" s="63">
        <f t="shared" si="114"/>
        <v>18.8</v>
      </c>
      <c r="Q334" s="63">
        <f t="shared" si="114"/>
        <v>0</v>
      </c>
      <c r="R334" s="63">
        <f t="shared" si="114"/>
        <v>0</v>
      </c>
      <c r="S334" s="63">
        <f t="shared" si="114"/>
        <v>300</v>
      </c>
      <c r="T334" s="63">
        <f t="shared" si="114"/>
        <v>0</v>
      </c>
      <c r="U334" s="63">
        <f t="shared" si="114"/>
        <v>0</v>
      </c>
      <c r="V334" s="65">
        <f t="shared" si="74"/>
        <v>242.60000000000002</v>
      </c>
      <c r="W334" s="8">
        <f>ROUND(E334*ต้นทุนและราคา!$C$4+F334*ต้นทุนและราคา!$C$5+G334*ต้นทุนและราคา!$C$6+H334*ต้นทุนและราคา!$C$7+I334*ต้นทุนและราคา!$C$8+J334*ต้นทุนและราคา!$C$9+K334*ต้นทุนและราคา!$C$10+L334*ต้นทุนและราคา!$C$11+M334*ต้นทุนและราคา!$C$12+N334*ต้นทุนและราคา!$C$13+O334*ต้นทุนและราคา!$C$14+P334*ต้นทุนและราคา!$C$15+Q334*ต้นทุนและราคา!$C$16+R334*ต้นทุนและราคา!$C$17+S334*ต้นทุนและราคา!$C$18+T334*ต้นทุนและราคา!$C$19+U334*ต้นทุนและราคา!$C$20+IF($C334="16 oz",ต้นทุนและราคา!$C$21,IF($C334="20 oz",ต้นทุนและราคา!$C$22,ต้นทุนและราคา!$C$23)),2)</f>
        <v>20.62</v>
      </c>
      <c r="X334" s="64" cm="1">
        <f t="array" ref="X334">IFERROR(INDEX(ต้นทุนและราคา!$C$26:$E$101,MATCH($B334,ต้นทุนและราคา!$A$26:$A$101,0),IF($C334="16 oz",1,IF($C334="20 oz",2,3))),"")</f>
        <v>59</v>
      </c>
      <c r="Y334" s="66">
        <f t="shared" si="102"/>
        <v>0.65050847457627115</v>
      </c>
      <c r="Z334" s="48" t="s">
        <v>1257</v>
      </c>
    </row>
    <row r="335" spans="1:26" x14ac:dyDescent="0.25">
      <c r="A335" s="4" t="str">
        <f t="shared" si="100"/>
        <v>Green Honey Lemon|20 oz|75%</v>
      </c>
      <c r="B335" s="4" t="s">
        <v>307</v>
      </c>
      <c r="C335" s="4" t="s">
        <v>1046</v>
      </c>
      <c r="D335" s="4" t="s">
        <v>65</v>
      </c>
      <c r="E335" s="63">
        <f t="shared" ref="E335:U335" si="115">ROUND(E185*$AB$2,1)</f>
        <v>0</v>
      </c>
      <c r="F335" s="63">
        <f>ROUND(206.3/(1+$AD$2),1)</f>
        <v>182.9</v>
      </c>
      <c r="G335" s="63">
        <f t="shared" si="115"/>
        <v>0</v>
      </c>
      <c r="H335" s="63">
        <f t="shared" si="115"/>
        <v>0</v>
      </c>
      <c r="I335" s="63">
        <f t="shared" si="115"/>
        <v>0</v>
      </c>
      <c r="J335" s="63">
        <f>ROUND(11.3+$AD$2*F335,1)</f>
        <v>34.700000000000003</v>
      </c>
      <c r="K335" s="63">
        <f t="shared" si="115"/>
        <v>15</v>
      </c>
      <c r="L335" s="63">
        <f t="shared" si="115"/>
        <v>0</v>
      </c>
      <c r="M335" s="63">
        <f t="shared" si="115"/>
        <v>0</v>
      </c>
      <c r="N335" s="63">
        <f t="shared" si="115"/>
        <v>0</v>
      </c>
      <c r="O335" s="63">
        <f t="shared" si="115"/>
        <v>0</v>
      </c>
      <c r="P335" s="63">
        <f t="shared" si="115"/>
        <v>18.8</v>
      </c>
      <c r="Q335" s="63">
        <f t="shared" si="115"/>
        <v>0</v>
      </c>
      <c r="R335" s="63">
        <f t="shared" si="115"/>
        <v>0</v>
      </c>
      <c r="S335" s="63">
        <f t="shared" si="115"/>
        <v>300</v>
      </c>
      <c r="T335" s="63">
        <f t="shared" si="115"/>
        <v>0</v>
      </c>
      <c r="U335" s="63">
        <f t="shared" si="115"/>
        <v>0</v>
      </c>
      <c r="V335" s="65">
        <f t="shared" si="74"/>
        <v>251.40000000000003</v>
      </c>
      <c r="W335" s="8">
        <f>ROUND(E335*ต้นทุนและราคา!$C$4+F335*ต้นทุนและราคา!$C$5+G335*ต้นทุนและราคา!$C$6+H335*ต้นทุนและราคา!$C$7+I335*ต้นทุนและราคา!$C$8+J335*ต้นทุนและราคา!$C$9+K335*ต้นทุนและราคา!$C$10+L335*ต้นทุนและราคา!$C$11+M335*ต้นทุนและราคา!$C$12+N335*ต้นทุนและราคา!$C$13+O335*ต้นทุนและราคา!$C$14+P335*ต้นทุนและราคา!$C$15+Q335*ต้นทุนและราคา!$C$16+R335*ต้นทุนและราคา!$C$17+S335*ต้นทุนและราคา!$C$18+T335*ต้นทุนและราคา!$C$19+U335*ต้นทุนและราคา!$C$20+IF($C335="16 oz",ต้นทุนและราคา!$C$21,IF($C335="20 oz",ต้นทุนและราคา!$C$22,ต้นทุนและราคา!$C$23)),2)</f>
        <v>21.85</v>
      </c>
      <c r="X335" s="64" cm="1">
        <f t="array" ref="X335">IFERROR(INDEX(ต้นทุนและราคา!$C$26:$E$101,MATCH($B335,ต้นทุนและราคา!$A$26:$A$101,0),IF($C335="16 oz",1,IF($C335="20 oz",2,3))),"")</f>
        <v>59</v>
      </c>
      <c r="Y335" s="66">
        <f t="shared" si="102"/>
        <v>0.62966101694915255</v>
      </c>
      <c r="Z335" s="48" t="s">
        <v>1257</v>
      </c>
    </row>
    <row r="336" spans="1:26" x14ac:dyDescent="0.25">
      <c r="A336" s="4" t="str">
        <f t="shared" si="100"/>
        <v>Green Honey Lemon|20 oz|100%</v>
      </c>
      <c r="B336" s="4" t="s">
        <v>307</v>
      </c>
      <c r="C336" s="4" t="s">
        <v>1046</v>
      </c>
      <c r="D336" s="4" t="s">
        <v>66</v>
      </c>
      <c r="E336" s="63">
        <f t="shared" ref="E336:U336" si="116">ROUND(E186*$AB$2,1)</f>
        <v>0</v>
      </c>
      <c r="F336" s="63">
        <f>ROUND(206.3/(1+$AD$2),1)</f>
        <v>182.9</v>
      </c>
      <c r="G336" s="63">
        <f t="shared" si="116"/>
        <v>0</v>
      </c>
      <c r="H336" s="63">
        <f t="shared" si="116"/>
        <v>0</v>
      </c>
      <c r="I336" s="63">
        <f t="shared" si="116"/>
        <v>0</v>
      </c>
      <c r="J336" s="63">
        <f>ROUND(15+$AD$2*F336,1)</f>
        <v>38.4</v>
      </c>
      <c r="K336" s="63">
        <f t="shared" si="116"/>
        <v>20</v>
      </c>
      <c r="L336" s="63">
        <f t="shared" si="116"/>
        <v>0</v>
      </c>
      <c r="M336" s="63">
        <f t="shared" si="116"/>
        <v>0</v>
      </c>
      <c r="N336" s="63">
        <f t="shared" si="116"/>
        <v>0</v>
      </c>
      <c r="O336" s="63">
        <f t="shared" si="116"/>
        <v>0</v>
      </c>
      <c r="P336" s="63">
        <f t="shared" si="116"/>
        <v>18.8</v>
      </c>
      <c r="Q336" s="63">
        <f t="shared" si="116"/>
        <v>0</v>
      </c>
      <c r="R336" s="63">
        <f t="shared" si="116"/>
        <v>0</v>
      </c>
      <c r="S336" s="63">
        <f t="shared" si="116"/>
        <v>300</v>
      </c>
      <c r="T336" s="63">
        <f t="shared" si="116"/>
        <v>0</v>
      </c>
      <c r="U336" s="63">
        <f t="shared" si="116"/>
        <v>0</v>
      </c>
      <c r="V336" s="65">
        <f t="shared" si="74"/>
        <v>260.10000000000002</v>
      </c>
      <c r="W336" s="8">
        <f>ROUND(E336*ต้นทุนและราคา!$C$4+F336*ต้นทุนและราคา!$C$5+G336*ต้นทุนและราคา!$C$6+H336*ต้นทุนและราคา!$C$7+I336*ต้นทุนและราคา!$C$8+J336*ต้นทุนและราคา!$C$9+K336*ต้นทุนและราคา!$C$10+L336*ต้นทุนและราคา!$C$11+M336*ต้นทุนและราคา!$C$12+N336*ต้นทุนและราคา!$C$13+O336*ต้นทุนและราคา!$C$14+P336*ต้นทุนและราคา!$C$15+Q336*ต้นทุนและราคา!$C$16+R336*ต้นทุนและราคา!$C$17+S336*ต้นทุนและราคา!$C$18+T336*ต้นทุนและราคา!$C$19+U336*ต้นทุนและราคา!$C$20+IF($C336="16 oz",ต้นทุนและราคา!$C$21,IF($C336="20 oz",ต้นทุนและราคา!$C$22,ต้นทุนและราคา!$C$23)),2)</f>
        <v>23.08</v>
      </c>
      <c r="X336" s="64" cm="1">
        <f t="array" ref="X336">IFERROR(INDEX(ต้นทุนและราคา!$C$26:$E$101,MATCH($B336,ต้นทุนและราคา!$A$26:$A$101,0),IF($C336="16 oz",1,IF($C336="20 oz",2,3))),"")</f>
        <v>59</v>
      </c>
      <c r="Y336" s="66">
        <f t="shared" si="102"/>
        <v>0.60881355932203396</v>
      </c>
      <c r="Z336" s="48" t="s">
        <v>1257</v>
      </c>
    </row>
    <row r="337" spans="1:26" x14ac:dyDescent="0.25">
      <c r="A337" s="4" t="str">
        <f t="shared" si="100"/>
        <v>Green Cream Cheese|20 oz|0%</v>
      </c>
      <c r="B337" s="4" t="s">
        <v>309</v>
      </c>
      <c r="C337" s="4" t="s">
        <v>1046</v>
      </c>
      <c r="D337" s="4" t="s">
        <v>63</v>
      </c>
      <c r="E337" s="63">
        <f t="shared" ref="E337:U337" si="117">ROUND(E192*$AB$2,1)</f>
        <v>0</v>
      </c>
      <c r="F337" s="63">
        <f t="shared" si="117"/>
        <v>150</v>
      </c>
      <c r="G337" s="63">
        <f t="shared" si="117"/>
        <v>0</v>
      </c>
      <c r="H337" s="63">
        <f t="shared" si="117"/>
        <v>37.5</v>
      </c>
      <c r="I337" s="63">
        <f t="shared" si="117"/>
        <v>0</v>
      </c>
      <c r="J337" s="63">
        <f t="shared" si="117"/>
        <v>0</v>
      </c>
      <c r="K337" s="63">
        <f t="shared" si="117"/>
        <v>0</v>
      </c>
      <c r="L337" s="63">
        <f t="shared" si="117"/>
        <v>0</v>
      </c>
      <c r="M337" s="63">
        <f t="shared" si="117"/>
        <v>0</v>
      </c>
      <c r="N337" s="63">
        <f t="shared" si="117"/>
        <v>0</v>
      </c>
      <c r="O337" s="63">
        <f t="shared" si="117"/>
        <v>0</v>
      </c>
      <c r="P337" s="63">
        <f t="shared" si="117"/>
        <v>0</v>
      </c>
      <c r="Q337" s="63">
        <f t="shared" si="117"/>
        <v>0</v>
      </c>
      <c r="R337" s="63">
        <f t="shared" si="117"/>
        <v>75</v>
      </c>
      <c r="S337" s="63">
        <f t="shared" si="117"/>
        <v>250</v>
      </c>
      <c r="T337" s="63">
        <f t="shared" si="117"/>
        <v>0</v>
      </c>
      <c r="U337" s="63">
        <f t="shared" si="117"/>
        <v>0</v>
      </c>
      <c r="V337" s="65">
        <f t="shared" si="74"/>
        <v>187.5</v>
      </c>
      <c r="W337" s="8">
        <f>ROUND(E337*ต้นทุนและราคา!$C$4+F337*ต้นทุนและราคา!$C$5+G337*ต้นทุนและราคา!$C$6+H337*ต้นทุนและราคา!$C$7+I337*ต้นทุนและราคา!$C$8+J337*ต้นทุนและราคา!$C$9+K337*ต้นทุนและราคา!$C$10+L337*ต้นทุนและราคา!$C$11+M337*ต้นทุนและราคา!$C$12+N337*ต้นทุนและราคา!$C$13+O337*ต้นทุนและราคา!$C$14+P337*ต้นทุนและราคา!$C$15+Q337*ต้นทุนและราคา!$C$16+R337*ต้นทุนและราคา!$C$17+S337*ต้นทุนและราคา!$C$18+T337*ต้นทุนและราคา!$C$19+U337*ต้นทุนและราคา!$C$20+IF($C337="16 oz",ต้นทุนและราคา!$C$21,IF($C337="20 oz",ต้นทุนและราคา!$C$22,ต้นทุนและราคา!$C$23)),2)</f>
        <v>26.41</v>
      </c>
      <c r="X337" s="64" cm="1">
        <f t="array" ref="X337">IFERROR(INDEX(ต้นทุนและราคา!$C$26:$E$101,MATCH($B337,ต้นทุนและราคา!$A$26:$A$101,0),IF($C337="16 oz",1,IF($C337="20 oz",2,3))),"")</f>
        <v>75</v>
      </c>
      <c r="Y337" s="66">
        <f t="shared" si="102"/>
        <v>0.6478666666666667</v>
      </c>
      <c r="Z337" s="48" t="s">
        <v>1250</v>
      </c>
    </row>
    <row r="338" spans="1:26" x14ac:dyDescent="0.25">
      <c r="A338" s="4" t="str">
        <f t="shared" si="100"/>
        <v>Green Cream Cheese|20 oz|25%</v>
      </c>
      <c r="B338" s="4" t="s">
        <v>309</v>
      </c>
      <c r="C338" s="4" t="s">
        <v>1046</v>
      </c>
      <c r="D338" s="4" t="s">
        <v>64</v>
      </c>
      <c r="E338" s="63">
        <f t="shared" ref="E338:U338" si="118">ROUND(E193*$AB$2,1)</f>
        <v>0</v>
      </c>
      <c r="F338" s="63">
        <f t="shared" si="118"/>
        <v>150</v>
      </c>
      <c r="G338" s="63">
        <f t="shared" si="118"/>
        <v>0</v>
      </c>
      <c r="H338" s="63">
        <f t="shared" si="118"/>
        <v>37.5</v>
      </c>
      <c r="I338" s="63">
        <f t="shared" si="118"/>
        <v>8.8000000000000007</v>
      </c>
      <c r="J338" s="63">
        <f>ROUND(0+$AD$2*F338,1)</f>
        <v>19.2</v>
      </c>
      <c r="K338" s="63">
        <f t="shared" si="118"/>
        <v>0</v>
      </c>
      <c r="L338" s="63">
        <f t="shared" si="118"/>
        <v>0</v>
      </c>
      <c r="M338" s="63">
        <f t="shared" si="118"/>
        <v>0</v>
      </c>
      <c r="N338" s="63">
        <f t="shared" si="118"/>
        <v>0</v>
      </c>
      <c r="O338" s="63">
        <f t="shared" si="118"/>
        <v>0</v>
      </c>
      <c r="P338" s="63">
        <f t="shared" si="118"/>
        <v>0</v>
      </c>
      <c r="Q338" s="63">
        <f t="shared" si="118"/>
        <v>0</v>
      </c>
      <c r="R338" s="63">
        <f t="shared" si="118"/>
        <v>75</v>
      </c>
      <c r="S338" s="63">
        <f t="shared" si="118"/>
        <v>250</v>
      </c>
      <c r="T338" s="63">
        <f t="shared" si="118"/>
        <v>0</v>
      </c>
      <c r="U338" s="63">
        <f t="shared" si="118"/>
        <v>0</v>
      </c>
      <c r="V338" s="65">
        <f t="shared" si="74"/>
        <v>215.5</v>
      </c>
      <c r="W338" s="8">
        <f>ROUND(E338*ต้นทุนและราคา!$C$4+F338*ต้นทุนและราคา!$C$5+G338*ต้นทุนและราคา!$C$6+H338*ต้นทุนและราคา!$C$7+I338*ต้นทุนและราคา!$C$8+J338*ต้นทุนและราคา!$C$9+K338*ต้นทุนและราคา!$C$10+L338*ต้นทุนและราคา!$C$11+M338*ต้นทุนและราคา!$C$12+N338*ต้นทุนและราคา!$C$13+O338*ต้นทุนและราคา!$C$14+P338*ต้นทุนและราคา!$C$15+Q338*ต้นทุนและราคา!$C$16+R338*ต้นทุนและราคา!$C$17+S338*ต้นทุนและราคา!$C$18+T338*ต้นทุนและราคา!$C$19+U338*ต้นทุนและราคา!$C$20+IF($C338="16 oz",ต้นทุนและราคา!$C$21,IF($C338="20 oz",ต้นทุนและราคา!$C$22,ต้นทุนและราคา!$C$23)),2)</f>
        <v>27.34</v>
      </c>
      <c r="X338" s="64" cm="1">
        <f t="array" ref="X338">IFERROR(INDEX(ต้นทุนและราคา!$C$26:$E$101,MATCH($B338,ต้นทุนและราคา!$A$26:$A$101,0),IF($C338="16 oz",1,IF($C338="20 oz",2,3))),"")</f>
        <v>75</v>
      </c>
      <c r="Y338" s="66">
        <f t="shared" si="102"/>
        <v>0.63546666666666662</v>
      </c>
      <c r="Z338" s="48" t="s">
        <v>1251</v>
      </c>
    </row>
    <row r="339" spans="1:26" x14ac:dyDescent="0.25">
      <c r="A339" s="4" t="str">
        <f t="shared" si="100"/>
        <v>Green Cream Cheese|20 oz|50%</v>
      </c>
      <c r="B339" s="4" t="s">
        <v>309</v>
      </c>
      <c r="C339" s="4" t="s">
        <v>1046</v>
      </c>
      <c r="D339" s="4" t="s">
        <v>7</v>
      </c>
      <c r="E339" s="63">
        <f t="shared" ref="E339:U339" si="119">ROUND(E194*$AB$2,1)</f>
        <v>0</v>
      </c>
      <c r="F339" s="63">
        <f t="shared" si="119"/>
        <v>150</v>
      </c>
      <c r="G339" s="63">
        <f t="shared" si="119"/>
        <v>0</v>
      </c>
      <c r="H339" s="63">
        <f t="shared" si="119"/>
        <v>37.5</v>
      </c>
      <c r="I339" s="63">
        <f t="shared" si="119"/>
        <v>17.5</v>
      </c>
      <c r="J339" s="63">
        <f>ROUND(0+$AD$2*F339,1)</f>
        <v>19.2</v>
      </c>
      <c r="K339" s="63">
        <f t="shared" si="119"/>
        <v>0</v>
      </c>
      <c r="L339" s="63">
        <f t="shared" si="119"/>
        <v>0</v>
      </c>
      <c r="M339" s="63">
        <f t="shared" si="119"/>
        <v>0</v>
      </c>
      <c r="N339" s="63">
        <f t="shared" si="119"/>
        <v>0</v>
      </c>
      <c r="O339" s="63">
        <f t="shared" si="119"/>
        <v>0</v>
      </c>
      <c r="P339" s="63">
        <f t="shared" si="119"/>
        <v>0</v>
      </c>
      <c r="Q339" s="63">
        <f t="shared" si="119"/>
        <v>0</v>
      </c>
      <c r="R339" s="63">
        <f t="shared" si="119"/>
        <v>75</v>
      </c>
      <c r="S339" s="63">
        <f t="shared" si="119"/>
        <v>250</v>
      </c>
      <c r="T339" s="63">
        <f t="shared" si="119"/>
        <v>0</v>
      </c>
      <c r="U339" s="63">
        <f t="shared" si="119"/>
        <v>0</v>
      </c>
      <c r="V339" s="65">
        <f t="shared" si="74"/>
        <v>224.2</v>
      </c>
      <c r="W339" s="8">
        <f>ROUND(E339*ต้นทุนและราคา!$C$4+F339*ต้นทุนและราคา!$C$5+G339*ต้นทุนและราคา!$C$6+H339*ต้นทุนและราคา!$C$7+I339*ต้นทุนและราคา!$C$8+J339*ต้นทุนและราคา!$C$9+K339*ต้นทุนและราคา!$C$10+L339*ต้นทุนและราคา!$C$11+M339*ต้นทุนและราคา!$C$12+N339*ต้นทุนและราคา!$C$13+O339*ต้นทุนและราคา!$C$14+P339*ต้นทุนและราคา!$C$15+Q339*ต้นทุนและราคา!$C$16+R339*ต้นทุนและราคา!$C$17+S339*ต้นทุนและราคา!$C$18+T339*ต้นทุนและราคา!$C$19+U339*ต้นทุนและราคา!$C$20+IF($C339="16 oz",ต้นทุนและราคา!$C$21,IF($C339="20 oz",ต้นทุนและราคา!$C$22,ต้นทุนและราคา!$C$23)),2)</f>
        <v>27.94</v>
      </c>
      <c r="X339" s="64" cm="1">
        <f t="array" ref="X339">IFERROR(INDEX(ต้นทุนและราคา!$C$26:$E$101,MATCH($B339,ต้นทุนและราคา!$A$26:$A$101,0),IF($C339="16 oz",1,IF($C339="20 oz",2,3))),"")</f>
        <v>75</v>
      </c>
      <c r="Y339" s="66">
        <f t="shared" si="102"/>
        <v>0.62746666666666673</v>
      </c>
      <c r="Z339" s="48" t="s">
        <v>1251</v>
      </c>
    </row>
    <row r="340" spans="1:26" x14ac:dyDescent="0.25">
      <c r="A340" s="4" t="str">
        <f t="shared" si="100"/>
        <v>Green Cream Cheese|20 oz|75%</v>
      </c>
      <c r="B340" s="4" t="s">
        <v>309</v>
      </c>
      <c r="C340" s="4" t="s">
        <v>1046</v>
      </c>
      <c r="D340" s="4" t="s">
        <v>65</v>
      </c>
      <c r="E340" s="63">
        <f t="shared" ref="E340:U340" si="120">ROUND(E195*$AB$2,1)</f>
        <v>0</v>
      </c>
      <c r="F340" s="63">
        <f t="shared" si="120"/>
        <v>150</v>
      </c>
      <c r="G340" s="63">
        <f t="shared" si="120"/>
        <v>0</v>
      </c>
      <c r="H340" s="63">
        <f t="shared" si="120"/>
        <v>37.5</v>
      </c>
      <c r="I340" s="63">
        <f t="shared" si="120"/>
        <v>26.3</v>
      </c>
      <c r="J340" s="63">
        <f>ROUND(0+$AD$2*F340,1)</f>
        <v>19.2</v>
      </c>
      <c r="K340" s="63">
        <f t="shared" si="120"/>
        <v>0</v>
      </c>
      <c r="L340" s="63">
        <f t="shared" si="120"/>
        <v>0</v>
      </c>
      <c r="M340" s="63">
        <f t="shared" si="120"/>
        <v>0</v>
      </c>
      <c r="N340" s="63">
        <f t="shared" si="120"/>
        <v>0</v>
      </c>
      <c r="O340" s="63">
        <f t="shared" si="120"/>
        <v>0</v>
      </c>
      <c r="P340" s="63">
        <f t="shared" si="120"/>
        <v>0</v>
      </c>
      <c r="Q340" s="63">
        <f t="shared" si="120"/>
        <v>0</v>
      </c>
      <c r="R340" s="63">
        <f t="shared" si="120"/>
        <v>75</v>
      </c>
      <c r="S340" s="63">
        <f t="shared" si="120"/>
        <v>250</v>
      </c>
      <c r="T340" s="63">
        <f t="shared" si="120"/>
        <v>0</v>
      </c>
      <c r="U340" s="63">
        <f t="shared" si="120"/>
        <v>0</v>
      </c>
      <c r="V340" s="65">
        <f t="shared" si="74"/>
        <v>233</v>
      </c>
      <c r="W340" s="8">
        <f>ROUND(E340*ต้นทุนและราคา!$C$4+F340*ต้นทุนและราคา!$C$5+G340*ต้นทุนและราคา!$C$6+H340*ต้นทุนและราคา!$C$7+I340*ต้นทุนและราคา!$C$8+J340*ต้นทุนและราคา!$C$9+K340*ต้นทุนและราคา!$C$10+L340*ต้นทุนและราคา!$C$11+M340*ต้นทุนและราคา!$C$12+N340*ต้นทุนและราคา!$C$13+O340*ต้นทุนและราคา!$C$14+P340*ต้นทุนและราคา!$C$15+Q340*ต้นทุนและราคา!$C$16+R340*ต้นทุนและราคา!$C$17+S340*ต้นทุนและราคา!$C$18+T340*ต้นทุนและราคา!$C$19+U340*ต้นทุนและราคา!$C$20+IF($C340="16 oz",ต้นทุนและราคา!$C$21,IF($C340="20 oz",ต้นทุนและราคา!$C$22,ต้นทุนและราคา!$C$23)),2)</f>
        <v>28.55</v>
      </c>
      <c r="X340" s="64" cm="1">
        <f t="array" ref="X340">IFERROR(INDEX(ต้นทุนและราคา!$C$26:$E$101,MATCH($B340,ต้นทุนและราคา!$A$26:$A$101,0),IF($C340="16 oz",1,IF($C340="20 oz",2,3))),"")</f>
        <v>75</v>
      </c>
      <c r="Y340" s="66">
        <f t="shared" si="102"/>
        <v>0.6193333333333334</v>
      </c>
      <c r="Z340" s="48" t="s">
        <v>1251</v>
      </c>
    </row>
    <row r="341" spans="1:26" x14ac:dyDescent="0.25">
      <c r="A341" s="4" t="str">
        <f t="shared" si="100"/>
        <v>Green Cream Cheese|20 oz|100%</v>
      </c>
      <c r="B341" s="4" t="s">
        <v>309</v>
      </c>
      <c r="C341" s="4" t="s">
        <v>1046</v>
      </c>
      <c r="D341" s="4" t="s">
        <v>66</v>
      </c>
      <c r="E341" s="63">
        <f t="shared" ref="E341:U341" si="121">ROUND(E196*$AB$2,1)</f>
        <v>0</v>
      </c>
      <c r="F341" s="63">
        <f t="shared" si="121"/>
        <v>150</v>
      </c>
      <c r="G341" s="63">
        <f t="shared" si="121"/>
        <v>0</v>
      </c>
      <c r="H341" s="63">
        <f t="shared" si="121"/>
        <v>37.5</v>
      </c>
      <c r="I341" s="63">
        <f t="shared" si="121"/>
        <v>35</v>
      </c>
      <c r="J341" s="63">
        <f>ROUND(0+$AD$2*F341,1)</f>
        <v>19.2</v>
      </c>
      <c r="K341" s="63">
        <f t="shared" si="121"/>
        <v>0</v>
      </c>
      <c r="L341" s="63">
        <f t="shared" si="121"/>
        <v>0</v>
      </c>
      <c r="M341" s="63">
        <f t="shared" si="121"/>
        <v>0</v>
      </c>
      <c r="N341" s="63">
        <f t="shared" si="121"/>
        <v>0</v>
      </c>
      <c r="O341" s="63">
        <f t="shared" si="121"/>
        <v>0</v>
      </c>
      <c r="P341" s="63">
        <f t="shared" si="121"/>
        <v>0</v>
      </c>
      <c r="Q341" s="63">
        <f t="shared" si="121"/>
        <v>0</v>
      </c>
      <c r="R341" s="63">
        <f t="shared" si="121"/>
        <v>75</v>
      </c>
      <c r="S341" s="63">
        <f t="shared" si="121"/>
        <v>250</v>
      </c>
      <c r="T341" s="63">
        <f t="shared" si="121"/>
        <v>0</v>
      </c>
      <c r="U341" s="63">
        <f t="shared" si="121"/>
        <v>0</v>
      </c>
      <c r="V341" s="65">
        <f t="shared" si="74"/>
        <v>241.7</v>
      </c>
      <c r="W341" s="8">
        <f>ROUND(E341*ต้นทุนและราคา!$C$4+F341*ต้นทุนและราคา!$C$5+G341*ต้นทุนและราคา!$C$6+H341*ต้นทุนและราคา!$C$7+I341*ต้นทุนและราคา!$C$8+J341*ต้นทุนและราคา!$C$9+K341*ต้นทุนและราคา!$C$10+L341*ต้นทุนและราคา!$C$11+M341*ต้นทุนและราคา!$C$12+N341*ต้นทุนและราคา!$C$13+O341*ต้นทุนและราคา!$C$14+P341*ต้นทุนและราคา!$C$15+Q341*ต้นทุนและราคา!$C$16+R341*ต้นทุนและราคา!$C$17+S341*ต้นทุนและราคา!$C$18+T341*ต้นทุนและราคา!$C$19+U341*ต้นทุนและราคา!$C$20+IF($C341="16 oz",ต้นทุนและราคา!$C$21,IF($C341="20 oz",ต้นทุนและราคา!$C$22,ต้นทุนและราคา!$C$23)),2)</f>
        <v>29.15</v>
      </c>
      <c r="X341" s="64" cm="1">
        <f t="array" ref="X341">IFERROR(INDEX(ต้นทุนและราคา!$C$26:$E$101,MATCH($B341,ต้นทุนและราคา!$A$26:$A$101,0),IF($C341="16 oz",1,IF($C341="20 oz",2,3))),"")</f>
        <v>75</v>
      </c>
      <c r="Y341" s="66">
        <f t="shared" si="102"/>
        <v>0.6113333333333334</v>
      </c>
      <c r="Z341" s="48" t="s">
        <v>1251</v>
      </c>
    </row>
    <row r="342" spans="1:26" x14ac:dyDescent="0.25">
      <c r="A342" s="4" t="str">
        <f t="shared" si="100"/>
        <v>Pure Matcha Premium|20 oz|0%</v>
      </c>
      <c r="B342" s="4" t="s">
        <v>830</v>
      </c>
      <c r="C342" s="4" t="s">
        <v>1046</v>
      </c>
      <c r="D342" s="4" t="s">
        <v>63</v>
      </c>
      <c r="E342" s="63">
        <f t="shared" ref="E342:U342" si="122">ROUND(E202*$AB$2,1)</f>
        <v>0</v>
      </c>
      <c r="F342" s="63">
        <f t="shared" si="122"/>
        <v>0</v>
      </c>
      <c r="G342" s="63">
        <f t="shared" si="122"/>
        <v>0</v>
      </c>
      <c r="H342" s="63">
        <f t="shared" si="122"/>
        <v>0</v>
      </c>
      <c r="I342" s="63">
        <f t="shared" si="122"/>
        <v>0</v>
      </c>
      <c r="J342" s="63">
        <f t="shared" si="122"/>
        <v>0</v>
      </c>
      <c r="K342" s="63">
        <f t="shared" si="122"/>
        <v>0</v>
      </c>
      <c r="L342" s="63">
        <f t="shared" si="122"/>
        <v>0</v>
      </c>
      <c r="M342" s="63">
        <f t="shared" si="122"/>
        <v>0</v>
      </c>
      <c r="N342" s="63">
        <f t="shared" si="122"/>
        <v>0</v>
      </c>
      <c r="O342" s="63">
        <f t="shared" si="122"/>
        <v>0</v>
      </c>
      <c r="P342" s="63">
        <f t="shared" si="122"/>
        <v>0</v>
      </c>
      <c r="Q342" s="63">
        <f t="shared" si="122"/>
        <v>0</v>
      </c>
      <c r="R342" s="63">
        <f t="shared" si="122"/>
        <v>0</v>
      </c>
      <c r="S342" s="63">
        <f t="shared" si="122"/>
        <v>300</v>
      </c>
      <c r="T342" s="63">
        <f t="shared" si="122"/>
        <v>50</v>
      </c>
      <c r="U342" s="63">
        <f t="shared" si="122"/>
        <v>187.5</v>
      </c>
      <c r="V342" s="65">
        <f t="shared" si="74"/>
        <v>237.5</v>
      </c>
      <c r="W342" s="8">
        <f>ROUND(E342*ต้นทุนและราคา!$C$4+F342*ต้นทุนและราคา!$C$5+G342*ต้นทุนและราคา!$C$6+H342*ต้นทุนและราคา!$C$7+I342*ต้นทุนและราคา!$C$8+J342*ต้นทุนและราคา!$C$9+K342*ต้นทุนและราคา!$C$10+L342*ต้นทุนและราคา!$C$11+M342*ต้นทุนและราคา!$C$12+N342*ต้นทุนและราคา!$C$13+O342*ต้นทุนและราคา!$C$14+P342*ต้นทุนและราคา!$C$15+Q342*ต้นทุนและราคา!$C$16+R342*ต้นทุนและราคา!$C$17+S342*ต้นทุนและราคา!$C$18+T342*ต้นทุนและราคา!$C$19+U342*ต้นทุนและราคา!$C$20+IF($C342="16 oz",ต้นทุนและราคา!$C$21,IF($C342="20 oz",ต้นทุนและราคา!$C$22,ต้นทุนและราคา!$C$23)),2)</f>
        <v>57.01</v>
      </c>
      <c r="X342" s="64" cm="1">
        <f t="array" ref="X342">IFERROR(INDEX(ต้นทุนและราคา!$C$26:$E$101,MATCH($B342,ต้นทุนและราคา!$A$26:$A$101,0),IF($C342="16 oz",1,IF($C342="20 oz",2,3))),"")</f>
        <v>85</v>
      </c>
      <c r="Y342" s="66">
        <f t="shared" si="102"/>
        <v>0.32929411764705885</v>
      </c>
      <c r="Z342" s="48" t="str">
        <f>"[20 oz = 16 oz x "&amp;TEXT($AB$2,"0.00")&amp;"] "&amp;Z202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</row>
    <row r="343" spans="1:26" x14ac:dyDescent="0.25">
      <c r="A343" s="4" t="str">
        <f t="shared" si="100"/>
        <v>Pure Matcha Premium|20 oz|25%</v>
      </c>
      <c r="B343" s="4" t="s">
        <v>830</v>
      </c>
      <c r="C343" s="4" t="s">
        <v>1046</v>
      </c>
      <c r="D343" s="4" t="s">
        <v>64</v>
      </c>
      <c r="E343" s="63">
        <f t="shared" ref="E343:U343" si="123">ROUND(E203*$AB$2,1)</f>
        <v>0</v>
      </c>
      <c r="F343" s="63">
        <f t="shared" si="123"/>
        <v>0</v>
      </c>
      <c r="G343" s="63">
        <f t="shared" si="123"/>
        <v>0</v>
      </c>
      <c r="H343" s="63">
        <f t="shared" si="123"/>
        <v>0</v>
      </c>
      <c r="I343" s="63">
        <f t="shared" si="123"/>
        <v>0</v>
      </c>
      <c r="J343" s="63">
        <f t="shared" si="123"/>
        <v>7.5</v>
      </c>
      <c r="K343" s="63">
        <f t="shared" si="123"/>
        <v>0</v>
      </c>
      <c r="L343" s="63">
        <f t="shared" si="123"/>
        <v>0</v>
      </c>
      <c r="M343" s="63">
        <f t="shared" si="123"/>
        <v>0</v>
      </c>
      <c r="N343" s="63">
        <f t="shared" si="123"/>
        <v>0</v>
      </c>
      <c r="O343" s="63">
        <f t="shared" si="123"/>
        <v>0</v>
      </c>
      <c r="P343" s="63">
        <f t="shared" si="123"/>
        <v>0</v>
      </c>
      <c r="Q343" s="63">
        <f t="shared" si="123"/>
        <v>0</v>
      </c>
      <c r="R343" s="63">
        <f t="shared" si="123"/>
        <v>0</v>
      </c>
      <c r="S343" s="63">
        <f t="shared" si="123"/>
        <v>300</v>
      </c>
      <c r="T343" s="63">
        <f t="shared" si="123"/>
        <v>50</v>
      </c>
      <c r="U343" s="63">
        <f t="shared" si="123"/>
        <v>187.5</v>
      </c>
      <c r="V343" s="65">
        <f t="shared" si="74"/>
        <v>245</v>
      </c>
      <c r="W343" s="8">
        <f>ROUND(E343*ต้นทุนและราคา!$C$4+F343*ต้นทุนและราคา!$C$5+G343*ต้นทุนและราคา!$C$6+H343*ต้นทุนและราคา!$C$7+I343*ต้นทุนและราคา!$C$8+J343*ต้นทุนและราคา!$C$9+K343*ต้นทุนและราคา!$C$10+L343*ต้นทุนและราคา!$C$11+M343*ต้นทุนและราคา!$C$12+N343*ต้นทุนและราคา!$C$13+O343*ต้นทุนและราคา!$C$14+P343*ต้นทุนและราคา!$C$15+Q343*ต้นทุนและราคา!$C$16+R343*ต้นทุนและราคา!$C$17+S343*ต้นทุนและราคา!$C$18+T343*ต้นทุนและราคา!$C$19+U343*ต้นทุนและราคา!$C$20+IF($C343="16 oz",ต้นทุนและราคา!$C$21,IF($C343="20 oz",ต้นทุนและราคา!$C$22,ต้นทุนและราคา!$C$23)),2)</f>
        <v>57.13</v>
      </c>
      <c r="X343" s="64" cm="1">
        <f t="array" ref="X343">IFERROR(INDEX(ต้นทุนและราคา!$C$26:$E$101,MATCH($B343,ต้นทุนและราคา!$A$26:$A$101,0),IF($C343="16 oz",1,IF($C343="20 oz",2,3))),"")</f>
        <v>85</v>
      </c>
      <c r="Y343" s="66">
        <f t="shared" si="102"/>
        <v>0.32788235294117646</v>
      </c>
      <c r="Z343" s="48" t="str">
        <f>"[20 oz = 16 oz x "&amp;TEXT($AB$2,"0.00")&amp;"] "&amp;Z203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</row>
    <row r="344" spans="1:26" x14ac:dyDescent="0.25">
      <c r="A344" s="4" t="str">
        <f t="shared" si="100"/>
        <v>Pure Matcha Premium|20 oz|50%</v>
      </c>
      <c r="B344" s="4" t="s">
        <v>830</v>
      </c>
      <c r="C344" s="4" t="s">
        <v>1046</v>
      </c>
      <c r="D344" s="4" t="s">
        <v>7</v>
      </c>
      <c r="E344" s="63">
        <f t="shared" ref="E344:U344" si="124">ROUND(E204*$AB$2,1)</f>
        <v>0</v>
      </c>
      <c r="F344" s="63">
        <f t="shared" si="124"/>
        <v>0</v>
      </c>
      <c r="G344" s="63">
        <f t="shared" si="124"/>
        <v>0</v>
      </c>
      <c r="H344" s="63">
        <f t="shared" si="124"/>
        <v>0</v>
      </c>
      <c r="I344" s="63">
        <f t="shared" si="124"/>
        <v>0</v>
      </c>
      <c r="J344" s="63">
        <f t="shared" si="124"/>
        <v>15</v>
      </c>
      <c r="K344" s="63">
        <f t="shared" si="124"/>
        <v>0</v>
      </c>
      <c r="L344" s="63">
        <f t="shared" si="124"/>
        <v>0</v>
      </c>
      <c r="M344" s="63">
        <f t="shared" si="124"/>
        <v>0</v>
      </c>
      <c r="N344" s="63">
        <f t="shared" si="124"/>
        <v>0</v>
      </c>
      <c r="O344" s="63">
        <f t="shared" si="124"/>
        <v>0</v>
      </c>
      <c r="P344" s="63">
        <f t="shared" si="124"/>
        <v>0</v>
      </c>
      <c r="Q344" s="63">
        <f t="shared" si="124"/>
        <v>0</v>
      </c>
      <c r="R344" s="63">
        <f t="shared" si="124"/>
        <v>0</v>
      </c>
      <c r="S344" s="63">
        <f t="shared" si="124"/>
        <v>300</v>
      </c>
      <c r="T344" s="63">
        <f t="shared" si="124"/>
        <v>50</v>
      </c>
      <c r="U344" s="63">
        <f t="shared" si="124"/>
        <v>187.5</v>
      </c>
      <c r="V344" s="65">
        <f t="shared" si="74"/>
        <v>252.5</v>
      </c>
      <c r="W344" s="8">
        <f>ROUND(E344*ต้นทุนและราคา!$C$4+F344*ต้นทุนและราคา!$C$5+G344*ต้นทุนและราคา!$C$6+H344*ต้นทุนและราคา!$C$7+I344*ต้นทุนและราคา!$C$8+J344*ต้นทุนและราคา!$C$9+K344*ต้นทุนและราคา!$C$10+L344*ต้นทุนและราคา!$C$11+M344*ต้นทุนและราคา!$C$12+N344*ต้นทุนและราคา!$C$13+O344*ต้นทุนและราคา!$C$14+P344*ต้นทุนและราคา!$C$15+Q344*ต้นทุนและราคา!$C$16+R344*ต้นทุนและราคา!$C$17+S344*ต้นทุนและราคา!$C$18+T344*ต้นทุนและราคา!$C$19+U344*ต้นทุนและราคา!$C$20+IF($C344="16 oz",ต้นทุนและราคา!$C$21,IF($C344="20 oz",ต้นทุนและราคา!$C$22,ต้นทุนและราคา!$C$23)),2)</f>
        <v>57.26</v>
      </c>
      <c r="X344" s="64" cm="1">
        <f t="array" ref="X344">IFERROR(INDEX(ต้นทุนและราคา!$C$26:$E$101,MATCH($B344,ต้นทุนและราคา!$A$26:$A$101,0),IF($C344="16 oz",1,IF($C344="20 oz",2,3))),"")</f>
        <v>85</v>
      </c>
      <c r="Y344" s="66">
        <f t="shared" si="102"/>
        <v>0.32635294117647062</v>
      </c>
      <c r="Z344" s="48" t="str">
        <f>"[20 oz = 16 oz x "&amp;TEXT($AB$2,"0.00")&amp;"] "&amp;Z204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</row>
    <row r="345" spans="1:26" x14ac:dyDescent="0.25">
      <c r="A345" s="4" t="str">
        <f t="shared" si="100"/>
        <v>Pure Matcha Premium|20 oz|75%</v>
      </c>
      <c r="B345" s="4" t="s">
        <v>830</v>
      </c>
      <c r="C345" s="4" t="s">
        <v>1046</v>
      </c>
      <c r="D345" s="4" t="s">
        <v>65</v>
      </c>
      <c r="E345" s="63">
        <f t="shared" ref="E345:U345" si="125">ROUND(E205*$AB$2,1)</f>
        <v>0</v>
      </c>
      <c r="F345" s="63">
        <f t="shared" si="125"/>
        <v>0</v>
      </c>
      <c r="G345" s="63">
        <f t="shared" si="125"/>
        <v>0</v>
      </c>
      <c r="H345" s="63">
        <f t="shared" si="125"/>
        <v>0</v>
      </c>
      <c r="I345" s="63">
        <f t="shared" si="125"/>
        <v>0</v>
      </c>
      <c r="J345" s="63">
        <f t="shared" si="125"/>
        <v>22.5</v>
      </c>
      <c r="K345" s="63">
        <f t="shared" si="125"/>
        <v>0</v>
      </c>
      <c r="L345" s="63">
        <f t="shared" si="125"/>
        <v>0</v>
      </c>
      <c r="M345" s="63">
        <f t="shared" si="125"/>
        <v>0</v>
      </c>
      <c r="N345" s="63">
        <f t="shared" si="125"/>
        <v>0</v>
      </c>
      <c r="O345" s="63">
        <f t="shared" si="125"/>
        <v>0</v>
      </c>
      <c r="P345" s="63">
        <f t="shared" si="125"/>
        <v>0</v>
      </c>
      <c r="Q345" s="63">
        <f t="shared" si="125"/>
        <v>0</v>
      </c>
      <c r="R345" s="63">
        <f t="shared" si="125"/>
        <v>0</v>
      </c>
      <c r="S345" s="63">
        <f t="shared" si="125"/>
        <v>300</v>
      </c>
      <c r="T345" s="63">
        <f t="shared" si="125"/>
        <v>50</v>
      </c>
      <c r="U345" s="63">
        <f t="shared" si="125"/>
        <v>187.5</v>
      </c>
      <c r="V345" s="65">
        <f t="shared" si="74"/>
        <v>260</v>
      </c>
      <c r="W345" s="8">
        <f>ROUND(E345*ต้นทุนและราคา!$C$4+F345*ต้นทุนและราคา!$C$5+G345*ต้นทุนและราคา!$C$6+H345*ต้นทุนและราคา!$C$7+I345*ต้นทุนและราคา!$C$8+J345*ต้นทุนและราคา!$C$9+K345*ต้นทุนและราคา!$C$10+L345*ต้นทุนและราคา!$C$11+M345*ต้นทุนและราคา!$C$12+N345*ต้นทุนและราคา!$C$13+O345*ต้นทุนและราคา!$C$14+P345*ต้นทุนและราคา!$C$15+Q345*ต้นทุนและราคา!$C$16+R345*ต้นทุนและราคา!$C$17+S345*ต้นทุนและราคา!$C$18+T345*ต้นทุนและราคา!$C$19+U345*ต้นทุนและราคา!$C$20+IF($C345="16 oz",ต้นทุนและราคา!$C$21,IF($C345="20 oz",ต้นทุนและราคา!$C$22,ต้นทุนและราคา!$C$23)),2)</f>
        <v>57.39</v>
      </c>
      <c r="X345" s="64" cm="1">
        <f t="array" ref="X345">IFERROR(INDEX(ต้นทุนและราคา!$C$26:$E$101,MATCH($B345,ต้นทุนและราคา!$A$26:$A$101,0),IF($C345="16 oz",1,IF($C345="20 oz",2,3))),"")</f>
        <v>85</v>
      </c>
      <c r="Y345" s="66">
        <f t="shared" si="102"/>
        <v>0.32482352941176468</v>
      </c>
      <c r="Z345" s="48" t="str">
        <f>"[20 oz = 16 oz x "&amp;TEXT($AB$2,"0.00")&amp;"] "&amp;Z205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</row>
    <row r="346" spans="1:26" x14ac:dyDescent="0.25">
      <c r="A346" s="4" t="str">
        <f t="shared" si="100"/>
        <v>Pure Matcha Premium|20 oz|100%</v>
      </c>
      <c r="B346" s="4" t="s">
        <v>830</v>
      </c>
      <c r="C346" s="4" t="s">
        <v>1046</v>
      </c>
      <c r="D346" s="4" t="s">
        <v>66</v>
      </c>
      <c r="E346" s="63">
        <f t="shared" ref="E346:U346" si="126">ROUND(E206*$AB$2,1)</f>
        <v>0</v>
      </c>
      <c r="F346" s="63">
        <f t="shared" si="126"/>
        <v>0</v>
      </c>
      <c r="G346" s="63">
        <f t="shared" si="126"/>
        <v>0</v>
      </c>
      <c r="H346" s="63">
        <f t="shared" si="126"/>
        <v>0</v>
      </c>
      <c r="I346" s="63">
        <f t="shared" si="126"/>
        <v>0</v>
      </c>
      <c r="J346" s="63">
        <f t="shared" si="126"/>
        <v>30</v>
      </c>
      <c r="K346" s="63">
        <f t="shared" si="126"/>
        <v>0</v>
      </c>
      <c r="L346" s="63">
        <f t="shared" si="126"/>
        <v>0</v>
      </c>
      <c r="M346" s="63">
        <f t="shared" si="126"/>
        <v>0</v>
      </c>
      <c r="N346" s="63">
        <f t="shared" si="126"/>
        <v>0</v>
      </c>
      <c r="O346" s="63">
        <f t="shared" si="126"/>
        <v>0</v>
      </c>
      <c r="P346" s="63">
        <f t="shared" si="126"/>
        <v>0</v>
      </c>
      <c r="Q346" s="63">
        <f t="shared" si="126"/>
        <v>0</v>
      </c>
      <c r="R346" s="63">
        <f t="shared" si="126"/>
        <v>0</v>
      </c>
      <c r="S346" s="63">
        <f t="shared" si="126"/>
        <v>300</v>
      </c>
      <c r="T346" s="63">
        <f t="shared" si="126"/>
        <v>50</v>
      </c>
      <c r="U346" s="63">
        <f t="shared" si="126"/>
        <v>187.5</v>
      </c>
      <c r="V346" s="65">
        <f t="shared" si="74"/>
        <v>267.5</v>
      </c>
      <c r="W346" s="8">
        <f>ROUND(E346*ต้นทุนและราคา!$C$4+F346*ต้นทุนและราคา!$C$5+G346*ต้นทุนและราคา!$C$6+H346*ต้นทุนและราคา!$C$7+I346*ต้นทุนและราคา!$C$8+J346*ต้นทุนและราคา!$C$9+K346*ต้นทุนและราคา!$C$10+L346*ต้นทุนและราคา!$C$11+M346*ต้นทุนและราคา!$C$12+N346*ต้นทุนและราคา!$C$13+O346*ต้นทุนและราคา!$C$14+P346*ต้นทุนและราคา!$C$15+Q346*ต้นทุนและราคา!$C$16+R346*ต้นทุนและราคา!$C$17+S346*ต้นทุนและราคา!$C$18+T346*ต้นทุนและราคา!$C$19+U346*ต้นทุนและราคา!$C$20+IF($C346="16 oz",ต้นทุนและราคา!$C$21,IF($C346="20 oz",ต้นทุนและราคา!$C$22,ต้นทุนและราคา!$C$23)),2)</f>
        <v>57.51</v>
      </c>
      <c r="X346" s="64" cm="1">
        <f t="array" ref="X346">IFERROR(INDEX(ต้นทุนและราคา!$C$26:$E$101,MATCH($B346,ต้นทุนและราคา!$A$26:$A$101,0),IF($C346="16 oz",1,IF($C346="20 oz",2,3))),"")</f>
        <v>85</v>
      </c>
      <c r="Y346" s="66">
        <f t="shared" si="102"/>
        <v>0.3234117647058824</v>
      </c>
      <c r="Z346" s="48" t="str">
        <f>"[20 oz = 16 oz x "&amp;TEXT($AB$2,"0.00")&amp;"] "&amp;Z206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</row>
    <row r="347" spans="1:26" x14ac:dyDescent="0.25">
      <c r="A347" s="4" t="str">
        <f t="shared" si="100"/>
        <v>Matcha Latte Premium|20 oz|0%</v>
      </c>
      <c r="B347" s="4" t="s">
        <v>608</v>
      </c>
      <c r="C347" s="4" t="s">
        <v>1046</v>
      </c>
      <c r="D347" s="4" t="s">
        <v>63</v>
      </c>
      <c r="E347" s="63">
        <f t="shared" ref="E347:U347" si="127">ROUND(E212*$AB$2,1)</f>
        <v>0</v>
      </c>
      <c r="F347" s="63">
        <f t="shared" si="127"/>
        <v>0</v>
      </c>
      <c r="G347" s="63">
        <f t="shared" si="127"/>
        <v>150</v>
      </c>
      <c r="H347" s="63">
        <f t="shared" si="127"/>
        <v>25</v>
      </c>
      <c r="I347" s="63">
        <f t="shared" si="127"/>
        <v>0</v>
      </c>
      <c r="J347" s="63">
        <f t="shared" si="127"/>
        <v>0</v>
      </c>
      <c r="K347" s="63">
        <f t="shared" si="127"/>
        <v>0</v>
      </c>
      <c r="L347" s="63">
        <f t="shared" si="127"/>
        <v>0</v>
      </c>
      <c r="M347" s="63">
        <f t="shared" si="127"/>
        <v>0</v>
      </c>
      <c r="N347" s="63">
        <f t="shared" si="127"/>
        <v>0</v>
      </c>
      <c r="O347" s="63">
        <f t="shared" si="127"/>
        <v>0</v>
      </c>
      <c r="P347" s="63">
        <f t="shared" si="127"/>
        <v>0</v>
      </c>
      <c r="Q347" s="63">
        <f t="shared" si="127"/>
        <v>0</v>
      </c>
      <c r="R347" s="63">
        <f t="shared" si="127"/>
        <v>0</v>
      </c>
      <c r="S347" s="63">
        <f t="shared" si="127"/>
        <v>300</v>
      </c>
      <c r="T347" s="63">
        <f t="shared" si="127"/>
        <v>50</v>
      </c>
      <c r="U347" s="63">
        <f t="shared" si="127"/>
        <v>0</v>
      </c>
      <c r="V347" s="65">
        <f t="shared" si="74"/>
        <v>225</v>
      </c>
      <c r="W347" s="8">
        <f>ROUND(E347*ต้นทุนและราคา!$C$4+F347*ต้นทุนและราคา!$C$5+G347*ต้นทุนและราคา!$C$6+H347*ต้นทุนและราคา!$C$7+I347*ต้นทุนและราคา!$C$8+J347*ต้นทุนและราคา!$C$9+K347*ต้นทุนและราคา!$C$10+L347*ต้นทุนและราคา!$C$11+M347*ต้นทุนและราคา!$C$12+N347*ต้นทุนและราคา!$C$13+O347*ต้นทุนและราคา!$C$14+P347*ต้นทุนและราคา!$C$15+Q347*ต้นทุนและราคา!$C$16+R347*ต้นทุนและราคา!$C$17+S347*ต้นทุนและราคา!$C$18+T347*ต้นทุนและราคา!$C$19+U347*ต้นทุนและราคา!$C$20+IF($C347="16 oz",ต้นทุนและราคา!$C$21,IF($C347="20 oz",ต้นทุนและราคา!$C$22,ต้นทุนและราคา!$C$23)),2)</f>
        <v>65.69</v>
      </c>
      <c r="X347" s="64" cm="1">
        <f t="array" ref="X347">IFERROR(INDEX(ต้นทุนและราคา!$C$26:$E$101,MATCH($B347,ต้นทุนและราคา!$A$26:$A$101,0),IF($C347="16 oz",1,IF($C347="20 oz",2,3))),"")</f>
        <v>95</v>
      </c>
      <c r="Y347" s="66">
        <f t="shared" si="102"/>
        <v>0.3085263157894737</v>
      </c>
      <c r="Z347" s="48" t="str">
        <f>"[20 oz = 16 oz x "&amp;TEXT($AB$2,"0.00")&amp;"] "&amp;Z212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48" spans="1:26" x14ac:dyDescent="0.25">
      <c r="A348" s="4" t="str">
        <f t="shared" si="100"/>
        <v>Matcha Latte Premium|20 oz|25%</v>
      </c>
      <c r="B348" s="4" t="s">
        <v>608</v>
      </c>
      <c r="C348" s="4" t="s">
        <v>1046</v>
      </c>
      <c r="D348" s="4" t="s">
        <v>64</v>
      </c>
      <c r="E348" s="63">
        <f t="shared" ref="E348:U348" si="128">ROUND(E213*$AB$2,1)</f>
        <v>0</v>
      </c>
      <c r="F348" s="63">
        <f t="shared" si="128"/>
        <v>0</v>
      </c>
      <c r="G348" s="63">
        <f t="shared" si="128"/>
        <v>146.30000000000001</v>
      </c>
      <c r="H348" s="63">
        <f t="shared" si="128"/>
        <v>25</v>
      </c>
      <c r="I348" s="63">
        <f t="shared" si="128"/>
        <v>0</v>
      </c>
      <c r="J348" s="63">
        <f t="shared" si="128"/>
        <v>8.8000000000000007</v>
      </c>
      <c r="K348" s="63">
        <f t="shared" si="128"/>
        <v>0</v>
      </c>
      <c r="L348" s="63">
        <f t="shared" si="128"/>
        <v>0</v>
      </c>
      <c r="M348" s="63">
        <f t="shared" si="128"/>
        <v>0</v>
      </c>
      <c r="N348" s="63">
        <f t="shared" si="128"/>
        <v>0</v>
      </c>
      <c r="O348" s="63">
        <f t="shared" si="128"/>
        <v>0</v>
      </c>
      <c r="P348" s="63">
        <f t="shared" si="128"/>
        <v>0</v>
      </c>
      <c r="Q348" s="63">
        <f t="shared" si="128"/>
        <v>0</v>
      </c>
      <c r="R348" s="63">
        <f t="shared" si="128"/>
        <v>0</v>
      </c>
      <c r="S348" s="63">
        <f t="shared" si="128"/>
        <v>300</v>
      </c>
      <c r="T348" s="63">
        <f t="shared" si="128"/>
        <v>50</v>
      </c>
      <c r="U348" s="63">
        <f t="shared" si="128"/>
        <v>0</v>
      </c>
      <c r="V348" s="65">
        <f t="shared" si="74"/>
        <v>230.10000000000002</v>
      </c>
      <c r="W348" s="8">
        <f>ROUND(E348*ต้นทุนและราคา!$C$4+F348*ต้นทุนและราคา!$C$5+G348*ต้นทุนและราคา!$C$6+H348*ต้นทุนและราคา!$C$7+I348*ต้นทุนและราคา!$C$8+J348*ต้นทุนและราคา!$C$9+K348*ต้นทุนและราคา!$C$10+L348*ต้นทุนและราคา!$C$11+M348*ต้นทุนและราคา!$C$12+N348*ต้นทุนและราคา!$C$13+O348*ต้นทุนและราคา!$C$14+P348*ต้นทุนและราคา!$C$15+Q348*ต้นทุนและราคา!$C$16+R348*ต้นทุนและราคา!$C$17+S348*ต้นทุนและราคา!$C$18+T348*ต้นทุนและราคา!$C$19+U348*ต้นทุนและราคา!$C$20+IF($C348="16 oz",ต้นทุนและราคา!$C$21,IF($C348="20 oz",ต้นทุนและราคา!$C$22,ต้นทุนและราคา!$C$23)),2)</f>
        <v>65.650000000000006</v>
      </c>
      <c r="X348" s="64" cm="1">
        <f t="array" ref="X348">IFERROR(INDEX(ต้นทุนและราคา!$C$26:$E$101,MATCH($B348,ต้นทุนและราคา!$A$26:$A$101,0),IF($C348="16 oz",1,IF($C348="20 oz",2,3))),"")</f>
        <v>95</v>
      </c>
      <c r="Y348" s="66">
        <f t="shared" si="102"/>
        <v>0.30894736842105258</v>
      </c>
      <c r="Z348" s="48" t="str">
        <f>"[20 oz = 16 oz x "&amp;TEXT($AB$2,"0.00")&amp;"] "&amp;Z213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49" spans="1:26" x14ac:dyDescent="0.25">
      <c r="A349" s="4" t="str">
        <f t="shared" si="100"/>
        <v>Matcha Latte Premium|20 oz|50%</v>
      </c>
      <c r="B349" s="4" t="s">
        <v>608</v>
      </c>
      <c r="C349" s="4" t="s">
        <v>1046</v>
      </c>
      <c r="D349" s="4" t="s">
        <v>7</v>
      </c>
      <c r="E349" s="63">
        <f t="shared" ref="E349:U349" si="129">ROUND(E214*$AB$2,1)</f>
        <v>0</v>
      </c>
      <c r="F349" s="63">
        <f t="shared" si="129"/>
        <v>0</v>
      </c>
      <c r="G349" s="63">
        <f t="shared" si="129"/>
        <v>142.5</v>
      </c>
      <c r="H349" s="63">
        <f t="shared" si="129"/>
        <v>25</v>
      </c>
      <c r="I349" s="63">
        <f t="shared" si="129"/>
        <v>0</v>
      </c>
      <c r="J349" s="63">
        <f t="shared" si="129"/>
        <v>17.5</v>
      </c>
      <c r="K349" s="63">
        <f t="shared" si="129"/>
        <v>0</v>
      </c>
      <c r="L349" s="63">
        <f t="shared" si="129"/>
        <v>0</v>
      </c>
      <c r="M349" s="63">
        <f t="shared" si="129"/>
        <v>0</v>
      </c>
      <c r="N349" s="63">
        <f t="shared" si="129"/>
        <v>0</v>
      </c>
      <c r="O349" s="63">
        <f t="shared" si="129"/>
        <v>0</v>
      </c>
      <c r="P349" s="63">
        <f t="shared" si="129"/>
        <v>0</v>
      </c>
      <c r="Q349" s="63">
        <f t="shared" si="129"/>
        <v>0</v>
      </c>
      <c r="R349" s="63">
        <f t="shared" si="129"/>
        <v>0</v>
      </c>
      <c r="S349" s="63">
        <f t="shared" si="129"/>
        <v>300</v>
      </c>
      <c r="T349" s="63">
        <f t="shared" si="129"/>
        <v>50</v>
      </c>
      <c r="U349" s="63">
        <f t="shared" si="129"/>
        <v>0</v>
      </c>
      <c r="V349" s="65">
        <f t="shared" si="74"/>
        <v>235</v>
      </c>
      <c r="W349" s="8">
        <f>ROUND(E349*ต้นทุนและราคา!$C$4+F349*ต้นทุนและราคา!$C$5+G349*ต้นทุนและราคา!$C$6+H349*ต้นทุนและราคา!$C$7+I349*ต้นทุนและราคา!$C$8+J349*ต้นทุนและราคา!$C$9+K349*ต้นทุนและราคา!$C$10+L349*ต้นทุนและราคา!$C$11+M349*ต้นทุนและราคา!$C$12+N349*ต้นทุนและราคา!$C$13+O349*ต้นทุนและราคา!$C$14+P349*ต้นทุนและราคา!$C$15+Q349*ต้นทุนและราคา!$C$16+R349*ต้นทุนและราคา!$C$17+S349*ต้นทุนและราคา!$C$18+T349*ต้นทุนและราคา!$C$19+U349*ต้นทุนและราคา!$C$20+IF($C349="16 oz",ต้นทุนและราคา!$C$21,IF($C349="20 oz",ต้นทุนและราคา!$C$22,ต้นทุนและราคา!$C$23)),2)</f>
        <v>65.62</v>
      </c>
      <c r="X349" s="64" cm="1">
        <f t="array" ref="X349">IFERROR(INDEX(ต้นทุนและราคา!$C$26:$E$101,MATCH($B349,ต้นทุนและราคา!$A$26:$A$101,0),IF($C349="16 oz",1,IF($C349="20 oz",2,3))),"")</f>
        <v>95</v>
      </c>
      <c r="Y349" s="66">
        <f t="shared" si="102"/>
        <v>0.3092631578947368</v>
      </c>
      <c r="Z349" s="48" t="str">
        <f>"[20 oz = 16 oz x "&amp;TEXT($AB$2,"0.00")&amp;"] "&amp;Z214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0" spans="1:26" x14ac:dyDescent="0.25">
      <c r="A350" s="4" t="str">
        <f t="shared" si="100"/>
        <v>Matcha Latte Premium|20 oz|75%</v>
      </c>
      <c r="B350" s="4" t="s">
        <v>608</v>
      </c>
      <c r="C350" s="4" t="s">
        <v>1046</v>
      </c>
      <c r="D350" s="4" t="s">
        <v>65</v>
      </c>
      <c r="E350" s="63">
        <f t="shared" ref="E350:U350" si="130">ROUND(E215*$AB$2,1)</f>
        <v>0</v>
      </c>
      <c r="F350" s="63">
        <f t="shared" si="130"/>
        <v>0</v>
      </c>
      <c r="G350" s="63">
        <f t="shared" si="130"/>
        <v>138.80000000000001</v>
      </c>
      <c r="H350" s="63">
        <f t="shared" si="130"/>
        <v>25</v>
      </c>
      <c r="I350" s="63">
        <f t="shared" si="130"/>
        <v>0</v>
      </c>
      <c r="J350" s="63">
        <f t="shared" si="130"/>
        <v>26.3</v>
      </c>
      <c r="K350" s="63">
        <f t="shared" si="130"/>
        <v>0</v>
      </c>
      <c r="L350" s="63">
        <f t="shared" si="130"/>
        <v>0</v>
      </c>
      <c r="M350" s="63">
        <f t="shared" si="130"/>
        <v>0</v>
      </c>
      <c r="N350" s="63">
        <f t="shared" si="130"/>
        <v>0</v>
      </c>
      <c r="O350" s="63">
        <f t="shared" si="130"/>
        <v>0</v>
      </c>
      <c r="P350" s="63">
        <f t="shared" si="130"/>
        <v>0</v>
      </c>
      <c r="Q350" s="63">
        <f t="shared" si="130"/>
        <v>0</v>
      </c>
      <c r="R350" s="63">
        <f t="shared" si="130"/>
        <v>0</v>
      </c>
      <c r="S350" s="63">
        <f t="shared" si="130"/>
        <v>300</v>
      </c>
      <c r="T350" s="63">
        <f t="shared" si="130"/>
        <v>50</v>
      </c>
      <c r="U350" s="63">
        <f t="shared" si="130"/>
        <v>0</v>
      </c>
      <c r="V350" s="65">
        <f t="shared" si="74"/>
        <v>240.10000000000002</v>
      </c>
      <c r="W350" s="8">
        <f>ROUND(E350*ต้นทุนและราคา!$C$4+F350*ต้นทุนและราคา!$C$5+G350*ต้นทุนและราคา!$C$6+H350*ต้นทุนและราคา!$C$7+I350*ต้นทุนและราคา!$C$8+J350*ต้นทุนและราคา!$C$9+K350*ต้นทุนและราคา!$C$10+L350*ต้นทุนและราคา!$C$11+M350*ต้นทุนและราคา!$C$12+N350*ต้นทุนและราคา!$C$13+O350*ต้นทุนและราคา!$C$14+P350*ต้นทุนและราคา!$C$15+Q350*ต้นทุนและราคา!$C$16+R350*ต้นทุนและราคา!$C$17+S350*ต้นทุนและราคา!$C$18+T350*ต้นทุนและราคา!$C$19+U350*ต้นทุนและราคา!$C$20+IF($C350="16 oz",ต้นทุนและราคา!$C$21,IF($C350="20 oz",ต้นทุนและราคา!$C$22,ต้นทุนและราคา!$C$23)),2)</f>
        <v>65.59</v>
      </c>
      <c r="X350" s="64" cm="1">
        <f t="array" ref="X350">IFERROR(INDEX(ต้นทุนและราคา!$C$26:$E$101,MATCH($B350,ต้นทุนและราคา!$A$26:$A$101,0),IF($C350="16 oz",1,IF($C350="20 oz",2,3))),"")</f>
        <v>95</v>
      </c>
      <c r="Y350" s="66">
        <f t="shared" si="102"/>
        <v>0.30957894736842101</v>
      </c>
      <c r="Z350" s="48" t="str">
        <f>"[20 oz = 16 oz x "&amp;TEXT($AB$2,"0.00")&amp;"] "&amp;Z215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1" spans="1:26" x14ac:dyDescent="0.25">
      <c r="A351" s="4" t="str">
        <f t="shared" si="100"/>
        <v>Matcha Latte Premium|20 oz|100%</v>
      </c>
      <c r="B351" s="4" t="s">
        <v>608</v>
      </c>
      <c r="C351" s="4" t="s">
        <v>1046</v>
      </c>
      <c r="D351" s="4" t="s">
        <v>66</v>
      </c>
      <c r="E351" s="63">
        <f t="shared" ref="E351:U351" si="131">ROUND(E216*$AB$2,1)</f>
        <v>0</v>
      </c>
      <c r="F351" s="63">
        <f t="shared" si="131"/>
        <v>0</v>
      </c>
      <c r="G351" s="63">
        <f t="shared" si="131"/>
        <v>135</v>
      </c>
      <c r="H351" s="63">
        <f t="shared" si="131"/>
        <v>25</v>
      </c>
      <c r="I351" s="63">
        <f t="shared" si="131"/>
        <v>0</v>
      </c>
      <c r="J351" s="63">
        <f t="shared" si="131"/>
        <v>35</v>
      </c>
      <c r="K351" s="63">
        <f t="shared" si="131"/>
        <v>0</v>
      </c>
      <c r="L351" s="63">
        <f t="shared" si="131"/>
        <v>0</v>
      </c>
      <c r="M351" s="63">
        <f t="shared" si="131"/>
        <v>0</v>
      </c>
      <c r="N351" s="63">
        <f t="shared" si="131"/>
        <v>0</v>
      </c>
      <c r="O351" s="63">
        <f t="shared" si="131"/>
        <v>0</v>
      </c>
      <c r="P351" s="63">
        <f t="shared" si="131"/>
        <v>0</v>
      </c>
      <c r="Q351" s="63">
        <f t="shared" si="131"/>
        <v>0</v>
      </c>
      <c r="R351" s="63">
        <f t="shared" si="131"/>
        <v>0</v>
      </c>
      <c r="S351" s="63">
        <f t="shared" si="131"/>
        <v>300</v>
      </c>
      <c r="T351" s="63">
        <f t="shared" si="131"/>
        <v>50</v>
      </c>
      <c r="U351" s="63">
        <f t="shared" si="131"/>
        <v>0</v>
      </c>
      <c r="V351" s="65">
        <f t="shared" si="74"/>
        <v>245</v>
      </c>
      <c r="W351" s="8">
        <f>ROUND(E351*ต้นทุนและราคา!$C$4+F351*ต้นทุนและราคา!$C$5+G351*ต้นทุนและราคา!$C$6+H351*ต้นทุนและราคา!$C$7+I351*ต้นทุนและราคา!$C$8+J351*ต้นทุนและราคา!$C$9+K351*ต้นทุนและราคา!$C$10+L351*ต้นทุนและราคา!$C$11+M351*ต้นทุนและราคา!$C$12+N351*ต้นทุนและราคา!$C$13+O351*ต้นทุนและราคา!$C$14+P351*ต้นทุนและราคา!$C$15+Q351*ต้นทุนและราคา!$C$16+R351*ต้นทุนและราคา!$C$17+S351*ต้นทุนและราคา!$C$18+T351*ต้นทุนและราคา!$C$19+U351*ต้นทุนและราคา!$C$20+IF($C351="16 oz",ต้นทุนและราคา!$C$21,IF($C351="20 oz",ต้นทุนและราคา!$C$22,ต้นทุนและราคา!$C$23)),2)</f>
        <v>65.55</v>
      </c>
      <c r="X351" s="64" cm="1">
        <f t="array" ref="X351">IFERROR(INDEX(ต้นทุนและราคา!$C$26:$E$101,MATCH($B351,ต้นทุนและราคา!$A$26:$A$101,0),IF($C351="16 oz",1,IF($C351="20 oz",2,3))),"")</f>
        <v>95</v>
      </c>
      <c r="Y351" s="66">
        <f t="shared" si="102"/>
        <v>0.31000000000000005</v>
      </c>
      <c r="Z351" s="48" t="str">
        <f>"[20 oz = 16 oz x "&amp;TEXT($AB$2,"0.00")&amp;"] "&amp;Z216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2" spans="1:26" x14ac:dyDescent="0.25">
      <c r="A352" s="4" t="str">
        <f t="shared" si="100"/>
        <v>Matcha Coconut Premium|20 oz|0%</v>
      </c>
      <c r="B352" s="4" t="s">
        <v>609</v>
      </c>
      <c r="C352" s="4" t="s">
        <v>1046</v>
      </c>
      <c r="D352" s="4" t="s">
        <v>63</v>
      </c>
      <c r="E352" s="63">
        <f t="shared" ref="E352:U352" si="132">ROUND(E222*$AB$2,1)</f>
        <v>0</v>
      </c>
      <c r="F352" s="63">
        <f t="shared" si="132"/>
        <v>0</v>
      </c>
      <c r="G352" s="63">
        <f t="shared" si="132"/>
        <v>0</v>
      </c>
      <c r="H352" s="63">
        <f t="shared" si="132"/>
        <v>0</v>
      </c>
      <c r="I352" s="63">
        <f t="shared" si="132"/>
        <v>0</v>
      </c>
      <c r="J352" s="63">
        <f t="shared" si="132"/>
        <v>0</v>
      </c>
      <c r="K352" s="63">
        <f t="shared" si="132"/>
        <v>0</v>
      </c>
      <c r="L352" s="63">
        <f t="shared" si="132"/>
        <v>0</v>
      </c>
      <c r="M352" s="63">
        <f t="shared" si="132"/>
        <v>0</v>
      </c>
      <c r="N352" s="63">
        <f t="shared" si="132"/>
        <v>175</v>
      </c>
      <c r="O352" s="63">
        <f t="shared" si="132"/>
        <v>0</v>
      </c>
      <c r="P352" s="63">
        <f t="shared" si="132"/>
        <v>0</v>
      </c>
      <c r="Q352" s="63">
        <f t="shared" si="132"/>
        <v>0</v>
      </c>
      <c r="R352" s="63">
        <f t="shared" si="132"/>
        <v>0</v>
      </c>
      <c r="S352" s="63">
        <f t="shared" si="132"/>
        <v>275</v>
      </c>
      <c r="T352" s="63">
        <f t="shared" si="132"/>
        <v>50</v>
      </c>
      <c r="U352" s="63">
        <f t="shared" si="132"/>
        <v>0</v>
      </c>
      <c r="V352" s="65">
        <f t="shared" si="74"/>
        <v>225</v>
      </c>
      <c r="W352" s="8">
        <f>ROUND(E352*ต้นทุนและราคา!$C$4+F352*ต้นทุนและราคา!$C$5+G352*ต้นทุนและราคา!$C$6+H352*ต้นทุนและราคา!$C$7+I352*ต้นทุนและราคา!$C$8+J352*ต้นทุนและราคา!$C$9+K352*ต้นทุนและราคา!$C$10+L352*ต้นทุนและราคา!$C$11+M352*ต้นทุนและราคา!$C$12+N352*ต้นทุนและราคา!$C$13+O352*ต้นทุนและราคา!$C$14+P352*ต้นทุนและราคา!$C$15+Q352*ต้นทุนและราคา!$C$16+R352*ต้นทุนและราคา!$C$17+S352*ต้นทุนและราคา!$C$18+T352*ต้นทุนและราคา!$C$19+U352*ต้นทุนและราคา!$C$20+IF($C352="16 oz",ต้นทุนและราคา!$C$21,IF($C352="20 oz",ต้นทุนและราคา!$C$22,ต้นทุนและราคา!$C$23)),2)</f>
        <v>69.150000000000006</v>
      </c>
      <c r="X352" s="64" cm="1">
        <f t="array" ref="X352">IFERROR(INDEX(ต้นทุนและราคา!$C$26:$E$101,MATCH($B352,ต้นทุนและราคา!$A$26:$A$101,0),IF($C352="16 oz",1,IF($C352="20 oz",2,3))),"")</f>
        <v>105</v>
      </c>
      <c r="Y352" s="66">
        <f t="shared" si="102"/>
        <v>0.34142857142857136</v>
      </c>
      <c r="Z352" s="48" t="str">
        <f>"[20 oz = 16 oz x "&amp;TEXT($AB$2,"0.00")&amp;"] "&amp;Z222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3" spans="1:26" x14ac:dyDescent="0.25">
      <c r="A353" s="4" t="str">
        <f t="shared" si="100"/>
        <v>Matcha Coconut Premium|20 oz|25%</v>
      </c>
      <c r="B353" s="4" t="s">
        <v>609</v>
      </c>
      <c r="C353" s="4" t="s">
        <v>1046</v>
      </c>
      <c r="D353" s="4" t="s">
        <v>64</v>
      </c>
      <c r="E353" s="63">
        <f t="shared" ref="E353:U353" si="133">ROUND(E223*$AB$2,1)</f>
        <v>0</v>
      </c>
      <c r="F353" s="63">
        <f t="shared" si="133"/>
        <v>0</v>
      </c>
      <c r="G353" s="63">
        <f t="shared" si="133"/>
        <v>0</v>
      </c>
      <c r="H353" s="63">
        <f t="shared" si="133"/>
        <v>0</v>
      </c>
      <c r="I353" s="63">
        <f t="shared" si="133"/>
        <v>0</v>
      </c>
      <c r="J353" s="63">
        <f t="shared" si="133"/>
        <v>7.5</v>
      </c>
      <c r="K353" s="63">
        <f t="shared" si="133"/>
        <v>0</v>
      </c>
      <c r="L353" s="63">
        <f t="shared" si="133"/>
        <v>0</v>
      </c>
      <c r="M353" s="63">
        <f t="shared" si="133"/>
        <v>0</v>
      </c>
      <c r="N353" s="63">
        <f t="shared" si="133"/>
        <v>175</v>
      </c>
      <c r="O353" s="63">
        <f t="shared" si="133"/>
        <v>0</v>
      </c>
      <c r="P353" s="63">
        <f t="shared" si="133"/>
        <v>0</v>
      </c>
      <c r="Q353" s="63">
        <f t="shared" si="133"/>
        <v>0</v>
      </c>
      <c r="R353" s="63">
        <f t="shared" si="133"/>
        <v>0</v>
      </c>
      <c r="S353" s="63">
        <f t="shared" si="133"/>
        <v>275</v>
      </c>
      <c r="T353" s="63">
        <f t="shared" si="133"/>
        <v>50</v>
      </c>
      <c r="U353" s="63">
        <f t="shared" si="133"/>
        <v>0</v>
      </c>
      <c r="V353" s="65">
        <f t="shared" si="74"/>
        <v>232.5</v>
      </c>
      <c r="W353" s="8">
        <f>ROUND(E353*ต้นทุนและราคา!$C$4+F353*ต้นทุนและราคา!$C$5+G353*ต้นทุนและราคา!$C$6+H353*ต้นทุนและราคา!$C$7+I353*ต้นทุนและราคา!$C$8+J353*ต้นทุนและราคา!$C$9+K353*ต้นทุนและราคา!$C$10+L353*ต้นทุนและราคา!$C$11+M353*ต้นทุนและราคา!$C$12+N353*ต้นทุนและราคา!$C$13+O353*ต้นทุนและราคา!$C$14+P353*ต้นทุนและราคา!$C$15+Q353*ต้นทุนและราคา!$C$16+R353*ต้นทุนและราคา!$C$17+S353*ต้นทุนและราคา!$C$18+T353*ต้นทุนและราคา!$C$19+U353*ต้นทุนและราคา!$C$20+IF($C353="16 oz",ต้นทุนและราคา!$C$21,IF($C353="20 oz",ต้นทุนและราคา!$C$22,ต้นทุนและราคา!$C$23)),2)</f>
        <v>69.28</v>
      </c>
      <c r="X353" s="64" cm="1">
        <f t="array" ref="X353">IFERROR(INDEX(ต้นทุนและราคา!$C$26:$E$101,MATCH($B353,ต้นทุนและราคา!$A$26:$A$101,0),IF($C353="16 oz",1,IF($C353="20 oz",2,3))),"")</f>
        <v>105</v>
      </c>
      <c r="Y353" s="66">
        <f t="shared" si="102"/>
        <v>0.34019047619047615</v>
      </c>
      <c r="Z353" s="48" t="str">
        <f>"[20 oz = 16 oz x "&amp;TEXT($AB$2,"0.00")&amp;"] "&amp;Z223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4" spans="1:26" x14ac:dyDescent="0.25">
      <c r="A354" s="4" t="str">
        <f t="shared" si="100"/>
        <v>Matcha Coconut Premium|20 oz|50%</v>
      </c>
      <c r="B354" s="4" t="s">
        <v>609</v>
      </c>
      <c r="C354" s="4" t="s">
        <v>1046</v>
      </c>
      <c r="D354" s="4" t="s">
        <v>7</v>
      </c>
      <c r="E354" s="63">
        <f t="shared" ref="E354:U354" si="134">ROUND(E224*$AB$2,1)</f>
        <v>0</v>
      </c>
      <c r="F354" s="63">
        <f t="shared" si="134"/>
        <v>0</v>
      </c>
      <c r="G354" s="63">
        <f t="shared" si="134"/>
        <v>0</v>
      </c>
      <c r="H354" s="63">
        <f t="shared" si="134"/>
        <v>0</v>
      </c>
      <c r="I354" s="63">
        <f t="shared" si="134"/>
        <v>0</v>
      </c>
      <c r="J354" s="63">
        <f t="shared" si="134"/>
        <v>15</v>
      </c>
      <c r="K354" s="63">
        <f t="shared" si="134"/>
        <v>0</v>
      </c>
      <c r="L354" s="63">
        <f t="shared" si="134"/>
        <v>0</v>
      </c>
      <c r="M354" s="63">
        <f t="shared" si="134"/>
        <v>0</v>
      </c>
      <c r="N354" s="63">
        <f t="shared" si="134"/>
        <v>175</v>
      </c>
      <c r="O354" s="63">
        <f t="shared" si="134"/>
        <v>0</v>
      </c>
      <c r="P354" s="63">
        <f t="shared" si="134"/>
        <v>0</v>
      </c>
      <c r="Q354" s="63">
        <f t="shared" si="134"/>
        <v>0</v>
      </c>
      <c r="R354" s="63">
        <f t="shared" si="134"/>
        <v>0</v>
      </c>
      <c r="S354" s="63">
        <f t="shared" si="134"/>
        <v>275</v>
      </c>
      <c r="T354" s="63">
        <f t="shared" si="134"/>
        <v>50</v>
      </c>
      <c r="U354" s="63">
        <f t="shared" si="134"/>
        <v>0</v>
      </c>
      <c r="V354" s="65">
        <f t="shared" si="74"/>
        <v>240</v>
      </c>
      <c r="W354" s="8">
        <f>ROUND(E354*ต้นทุนและราคา!$C$4+F354*ต้นทุนและราคา!$C$5+G354*ต้นทุนและราคา!$C$6+H354*ต้นทุนและราคา!$C$7+I354*ต้นทุนและราคา!$C$8+J354*ต้นทุนและราคา!$C$9+K354*ต้นทุนและราคา!$C$10+L354*ต้นทุนและราคา!$C$11+M354*ต้นทุนและราคา!$C$12+N354*ต้นทุนและราคา!$C$13+O354*ต้นทุนและราคา!$C$14+P354*ต้นทุนและราคา!$C$15+Q354*ต้นทุนและราคา!$C$16+R354*ต้นทุนและราคา!$C$17+S354*ต้นทุนและราคา!$C$18+T354*ต้นทุนและราคา!$C$19+U354*ต้นทุนและราคา!$C$20+IF($C354="16 oz",ต้นทุนและราคา!$C$21,IF($C354="20 oz",ต้นทุนและราคา!$C$22,ต้นทุนและราคา!$C$23)),2)</f>
        <v>69.400000000000006</v>
      </c>
      <c r="X354" s="64" cm="1">
        <f t="array" ref="X354">IFERROR(INDEX(ต้นทุนและราคา!$C$26:$E$101,MATCH($B354,ต้นทุนและราคา!$A$26:$A$101,0),IF($C354="16 oz",1,IF($C354="20 oz",2,3))),"")</f>
        <v>105</v>
      </c>
      <c r="Y354" s="66">
        <f t="shared" si="102"/>
        <v>0.33904761904761899</v>
      </c>
      <c r="Z354" s="48" t="str">
        <f>"[20 oz = 16 oz x "&amp;TEXT($AB$2,"0.00")&amp;"] "&amp;Z224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5" spans="1:26" x14ac:dyDescent="0.25">
      <c r="A355" s="4" t="str">
        <f t="shared" si="100"/>
        <v>Matcha Coconut Premium|20 oz|75%</v>
      </c>
      <c r="B355" s="4" t="s">
        <v>609</v>
      </c>
      <c r="C355" s="4" t="s">
        <v>1046</v>
      </c>
      <c r="D355" s="4" t="s">
        <v>65</v>
      </c>
      <c r="E355" s="63">
        <f t="shared" ref="E355:U355" si="135">ROUND(E225*$AB$2,1)</f>
        <v>0</v>
      </c>
      <c r="F355" s="63">
        <f t="shared" si="135"/>
        <v>0</v>
      </c>
      <c r="G355" s="63">
        <f t="shared" si="135"/>
        <v>0</v>
      </c>
      <c r="H355" s="63">
        <f t="shared" si="135"/>
        <v>0</v>
      </c>
      <c r="I355" s="63">
        <f t="shared" si="135"/>
        <v>0</v>
      </c>
      <c r="J355" s="63">
        <f t="shared" si="135"/>
        <v>22.5</v>
      </c>
      <c r="K355" s="63">
        <f t="shared" si="135"/>
        <v>0</v>
      </c>
      <c r="L355" s="63">
        <f t="shared" si="135"/>
        <v>0</v>
      </c>
      <c r="M355" s="63">
        <f t="shared" si="135"/>
        <v>0</v>
      </c>
      <c r="N355" s="63">
        <f t="shared" si="135"/>
        <v>175</v>
      </c>
      <c r="O355" s="63">
        <f t="shared" si="135"/>
        <v>0</v>
      </c>
      <c r="P355" s="63">
        <f t="shared" si="135"/>
        <v>0</v>
      </c>
      <c r="Q355" s="63">
        <f t="shared" si="135"/>
        <v>0</v>
      </c>
      <c r="R355" s="63">
        <f t="shared" si="135"/>
        <v>0</v>
      </c>
      <c r="S355" s="63">
        <f t="shared" si="135"/>
        <v>275</v>
      </c>
      <c r="T355" s="63">
        <f t="shared" si="135"/>
        <v>50</v>
      </c>
      <c r="U355" s="63">
        <f t="shared" si="135"/>
        <v>0</v>
      </c>
      <c r="V355" s="65">
        <f t="shared" si="74"/>
        <v>247.5</v>
      </c>
      <c r="W355" s="8">
        <f>ROUND(E355*ต้นทุนและราคา!$C$4+F355*ต้นทุนและราคา!$C$5+G355*ต้นทุนและราคา!$C$6+H355*ต้นทุนและราคา!$C$7+I355*ต้นทุนและราคา!$C$8+J355*ต้นทุนและราคา!$C$9+K355*ต้นทุนและราคา!$C$10+L355*ต้นทุนและราคา!$C$11+M355*ต้นทุนและราคา!$C$12+N355*ต้นทุนและราคา!$C$13+O355*ต้นทุนและราคา!$C$14+P355*ต้นทุนและราคา!$C$15+Q355*ต้นทุนและราคา!$C$16+R355*ต้นทุนและราคา!$C$17+S355*ต้นทุนและราคา!$C$18+T355*ต้นทุนและราคา!$C$19+U355*ต้นทุนและราคา!$C$20+IF($C355="16 oz",ต้นทุนและราคา!$C$21,IF($C355="20 oz",ต้นทุนและราคา!$C$22,ต้นทุนและราคา!$C$23)),2)</f>
        <v>69.53</v>
      </c>
      <c r="X355" s="64" cm="1">
        <f t="array" ref="X355">IFERROR(INDEX(ต้นทุนและราคา!$C$26:$E$101,MATCH($B355,ต้นทุนและราคา!$A$26:$A$101,0),IF($C355="16 oz",1,IF($C355="20 oz",2,3))),"")</f>
        <v>105</v>
      </c>
      <c r="Y355" s="66">
        <f t="shared" si="102"/>
        <v>0.33780952380952378</v>
      </c>
      <c r="Z355" s="48" t="str">
        <f>"[20 oz = 16 oz x "&amp;TEXT($AB$2,"0.00")&amp;"] "&amp;Z225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6" spans="1:26" x14ac:dyDescent="0.25">
      <c r="A356" s="4" t="str">
        <f t="shared" si="100"/>
        <v>Matcha Coconut Premium|20 oz|100%</v>
      </c>
      <c r="B356" s="4" t="s">
        <v>609</v>
      </c>
      <c r="C356" s="4" t="s">
        <v>1046</v>
      </c>
      <c r="D356" s="4" t="s">
        <v>66</v>
      </c>
      <c r="E356" s="63">
        <f t="shared" ref="E356:U356" si="136">ROUND(E226*$AB$2,1)</f>
        <v>0</v>
      </c>
      <c r="F356" s="63">
        <f t="shared" si="136"/>
        <v>0</v>
      </c>
      <c r="G356" s="63">
        <f t="shared" si="136"/>
        <v>0</v>
      </c>
      <c r="H356" s="63">
        <f t="shared" si="136"/>
        <v>0</v>
      </c>
      <c r="I356" s="63">
        <f t="shared" si="136"/>
        <v>0</v>
      </c>
      <c r="J356" s="63">
        <f t="shared" si="136"/>
        <v>30</v>
      </c>
      <c r="K356" s="63">
        <f t="shared" si="136"/>
        <v>0</v>
      </c>
      <c r="L356" s="63">
        <f t="shared" si="136"/>
        <v>0</v>
      </c>
      <c r="M356" s="63">
        <f t="shared" si="136"/>
        <v>0</v>
      </c>
      <c r="N356" s="63">
        <f t="shared" si="136"/>
        <v>175</v>
      </c>
      <c r="O356" s="63">
        <f t="shared" si="136"/>
        <v>0</v>
      </c>
      <c r="P356" s="63">
        <f t="shared" si="136"/>
        <v>0</v>
      </c>
      <c r="Q356" s="63">
        <f t="shared" si="136"/>
        <v>0</v>
      </c>
      <c r="R356" s="63">
        <f t="shared" si="136"/>
        <v>0</v>
      </c>
      <c r="S356" s="63">
        <f t="shared" si="136"/>
        <v>275</v>
      </c>
      <c r="T356" s="63">
        <f t="shared" si="136"/>
        <v>50</v>
      </c>
      <c r="U356" s="63">
        <f t="shared" si="136"/>
        <v>0</v>
      </c>
      <c r="V356" s="65">
        <f t="shared" si="74"/>
        <v>255</v>
      </c>
      <c r="W356" s="8">
        <f>ROUND(E356*ต้นทุนและราคา!$C$4+F356*ต้นทุนและราคา!$C$5+G356*ต้นทุนและราคา!$C$6+H356*ต้นทุนและราคา!$C$7+I356*ต้นทุนและราคา!$C$8+J356*ต้นทุนและราคา!$C$9+K356*ต้นทุนและราคา!$C$10+L356*ต้นทุนและราคา!$C$11+M356*ต้นทุนและราคา!$C$12+N356*ต้นทุนและราคา!$C$13+O356*ต้นทุนและราคา!$C$14+P356*ต้นทุนและราคา!$C$15+Q356*ต้นทุนและราคา!$C$16+R356*ต้นทุนและราคา!$C$17+S356*ต้นทุนและราคา!$C$18+T356*ต้นทุนและราคา!$C$19+U356*ต้นทุนและราคา!$C$20+IF($C356="16 oz",ต้นทุนและราคา!$C$21,IF($C356="20 oz",ต้นทุนและราคา!$C$22,ต้นทุนและราคา!$C$23)),2)</f>
        <v>69.650000000000006</v>
      </c>
      <c r="X356" s="64" cm="1">
        <f t="array" ref="X356">IFERROR(INDEX(ต้นทุนและราคา!$C$26:$E$101,MATCH($B356,ต้นทุนและราคา!$A$26:$A$101,0),IF($C356="16 oz",1,IF($C356="20 oz",2,3))),"")</f>
        <v>105</v>
      </c>
      <c r="Y356" s="66">
        <f t="shared" si="102"/>
        <v>0.33666666666666661</v>
      </c>
      <c r="Z356" s="48" t="str">
        <f>"[20 oz = 16 oz x "&amp;TEXT($AB$2,"0.00")&amp;"] "&amp;Z226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7" spans="1:26" x14ac:dyDescent="0.25">
      <c r="A357" s="4" t="str">
        <f t="shared" si="100"/>
        <v>Matcha Strawberry Premium|20 oz|0%</v>
      </c>
      <c r="B357" s="4" t="s">
        <v>610</v>
      </c>
      <c r="C357" s="4" t="s">
        <v>1046</v>
      </c>
      <c r="D357" s="4" t="s">
        <v>63</v>
      </c>
      <c r="E357" s="63">
        <f t="shared" ref="E357:U357" si="137">ROUND(E232*$AB$2,1)</f>
        <v>0</v>
      </c>
      <c r="F357" s="63">
        <f t="shared" si="137"/>
        <v>0</v>
      </c>
      <c r="G357" s="63">
        <f t="shared" si="137"/>
        <v>150</v>
      </c>
      <c r="H357" s="63">
        <f t="shared" si="137"/>
        <v>25</v>
      </c>
      <c r="I357" s="63">
        <f t="shared" si="137"/>
        <v>0</v>
      </c>
      <c r="J357" s="63">
        <f t="shared" si="137"/>
        <v>0</v>
      </c>
      <c r="K357" s="63">
        <f t="shared" si="137"/>
        <v>0</v>
      </c>
      <c r="L357" s="63">
        <f t="shared" si="137"/>
        <v>0</v>
      </c>
      <c r="M357" s="63">
        <f t="shared" si="137"/>
        <v>0</v>
      </c>
      <c r="N357" s="63">
        <f t="shared" si="137"/>
        <v>0</v>
      </c>
      <c r="O357" s="63">
        <f t="shared" si="137"/>
        <v>31.3</v>
      </c>
      <c r="P357" s="63">
        <f t="shared" si="137"/>
        <v>0</v>
      </c>
      <c r="Q357" s="63">
        <f t="shared" si="137"/>
        <v>0</v>
      </c>
      <c r="R357" s="63">
        <f t="shared" si="137"/>
        <v>0</v>
      </c>
      <c r="S357" s="63">
        <f t="shared" si="137"/>
        <v>300</v>
      </c>
      <c r="T357" s="63">
        <f t="shared" si="137"/>
        <v>50</v>
      </c>
      <c r="U357" s="63">
        <f t="shared" si="137"/>
        <v>0</v>
      </c>
      <c r="V357" s="65">
        <f t="shared" si="74"/>
        <v>225</v>
      </c>
      <c r="W357" s="8">
        <f>ROUND(E357*ต้นทุนและราคา!$C$4+F357*ต้นทุนและราคา!$C$5+G357*ต้นทุนและราคา!$C$6+H357*ต้นทุนและราคา!$C$7+I357*ต้นทุนและราคา!$C$8+J357*ต้นทุนและราคา!$C$9+K357*ต้นทุนและราคา!$C$10+L357*ต้นทุนและราคา!$C$11+M357*ต้นทุนและราคา!$C$12+N357*ต้นทุนและราคา!$C$13+O357*ต้นทุนและราคา!$C$14+P357*ต้นทุนและราคา!$C$15+Q357*ต้นทุนและราคา!$C$16+R357*ต้นทุนและราคา!$C$17+S357*ต้นทุนและราคา!$C$18+T357*ต้นทุนและราคา!$C$19+U357*ต้นทุนและราคา!$C$20+IF($C357="16 oz",ต้นทุนและราคา!$C$21,IF($C357="20 oz",ต้นทุนและราคา!$C$22,ต้นทุนและราคา!$C$23)),2)</f>
        <v>71.319999999999993</v>
      </c>
      <c r="X357" s="64" cm="1">
        <f t="array" ref="X357">IFERROR(INDEX(ต้นทุนและราคา!$C$26:$E$101,MATCH($B357,ต้นทุนและราคา!$A$26:$A$101,0),IF($C357="16 oz",1,IF($C357="20 oz",2,3))),"")</f>
        <v>110</v>
      </c>
      <c r="Y357" s="66">
        <f t="shared" si="102"/>
        <v>0.35163636363636369</v>
      </c>
      <c r="Z357" s="48" t="str">
        <f>"[20 oz = 16 oz x "&amp;TEXT($AB$2,"0.00")&amp;"] "&amp;Z232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8" spans="1:26" x14ac:dyDescent="0.25">
      <c r="A358" s="4" t="str">
        <f t="shared" si="100"/>
        <v>Matcha Strawberry Premium|20 oz|25%</v>
      </c>
      <c r="B358" s="4" t="s">
        <v>610</v>
      </c>
      <c r="C358" s="4" t="s">
        <v>1046</v>
      </c>
      <c r="D358" s="4" t="s">
        <v>64</v>
      </c>
      <c r="E358" s="63">
        <f t="shared" ref="E358:U358" si="138">ROUND(E233*$AB$2,1)</f>
        <v>0</v>
      </c>
      <c r="F358" s="63">
        <f t="shared" si="138"/>
        <v>0</v>
      </c>
      <c r="G358" s="63">
        <f t="shared" si="138"/>
        <v>146.30000000000001</v>
      </c>
      <c r="H358" s="63">
        <f t="shared" si="138"/>
        <v>25</v>
      </c>
      <c r="I358" s="63">
        <f t="shared" si="138"/>
        <v>0</v>
      </c>
      <c r="J358" s="63">
        <f t="shared" si="138"/>
        <v>6.3</v>
      </c>
      <c r="K358" s="63">
        <f t="shared" si="138"/>
        <v>0</v>
      </c>
      <c r="L358" s="63">
        <f t="shared" si="138"/>
        <v>0</v>
      </c>
      <c r="M358" s="63">
        <f t="shared" si="138"/>
        <v>0</v>
      </c>
      <c r="N358" s="63">
        <f t="shared" si="138"/>
        <v>0</v>
      </c>
      <c r="O358" s="63">
        <f t="shared" si="138"/>
        <v>31.3</v>
      </c>
      <c r="P358" s="63">
        <f t="shared" si="138"/>
        <v>0</v>
      </c>
      <c r="Q358" s="63">
        <f t="shared" si="138"/>
        <v>0</v>
      </c>
      <c r="R358" s="63">
        <f t="shared" si="138"/>
        <v>0</v>
      </c>
      <c r="S358" s="63">
        <f t="shared" si="138"/>
        <v>300</v>
      </c>
      <c r="T358" s="63">
        <f t="shared" si="138"/>
        <v>50</v>
      </c>
      <c r="U358" s="63">
        <f t="shared" si="138"/>
        <v>0</v>
      </c>
      <c r="V358" s="65">
        <f t="shared" si="74"/>
        <v>227.60000000000002</v>
      </c>
      <c r="W358" s="8">
        <f>ROUND(E358*ต้นทุนและราคา!$C$4+F358*ต้นทุนและราคา!$C$5+G358*ต้นทุนและราคา!$C$6+H358*ต้นทุนและราคา!$C$7+I358*ต้นทุนและราคา!$C$8+J358*ต้นทุนและราคา!$C$9+K358*ต้นทุนและราคา!$C$10+L358*ต้นทุนและราคา!$C$11+M358*ต้นทุนและราคา!$C$12+N358*ต้นทุนและราคา!$C$13+O358*ต้นทุนและราคา!$C$14+P358*ต้นทุนและราคา!$C$15+Q358*ต้นทุนและราคา!$C$16+R358*ต้นทุนและราคา!$C$17+S358*ต้นทุนและราคา!$C$18+T358*ต้นทุนและราคา!$C$19+U358*ต้นทุนและราคา!$C$20+IF($C358="16 oz",ต้นทุนและราคา!$C$21,IF($C358="20 oz",ต้นทุนและราคา!$C$22,ต้นทุนและราคา!$C$23)),2)</f>
        <v>71.25</v>
      </c>
      <c r="X358" s="64" cm="1">
        <f t="array" ref="X358">IFERROR(INDEX(ต้นทุนและราคา!$C$26:$E$101,MATCH($B358,ต้นทุนและราคา!$A$26:$A$101,0),IF($C358="16 oz",1,IF($C358="20 oz",2,3))),"")</f>
        <v>110</v>
      </c>
      <c r="Y358" s="66">
        <f t="shared" si="102"/>
        <v>0.35227272727272729</v>
      </c>
      <c r="Z358" s="48" t="str">
        <f>"[20 oz = 16 oz x "&amp;TEXT($AB$2,"0.00")&amp;"] "&amp;Z233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59" spans="1:26" x14ac:dyDescent="0.25">
      <c r="A359" s="4" t="str">
        <f t="shared" si="100"/>
        <v>Matcha Strawberry Premium|20 oz|50%</v>
      </c>
      <c r="B359" s="4" t="s">
        <v>610</v>
      </c>
      <c r="C359" s="4" t="s">
        <v>1046</v>
      </c>
      <c r="D359" s="4" t="s">
        <v>7</v>
      </c>
      <c r="E359" s="63">
        <f t="shared" ref="E359:U359" si="139">ROUND(E234*$AB$2,1)</f>
        <v>0</v>
      </c>
      <c r="F359" s="63">
        <f t="shared" si="139"/>
        <v>0</v>
      </c>
      <c r="G359" s="63">
        <f t="shared" si="139"/>
        <v>142.5</v>
      </c>
      <c r="H359" s="63">
        <f t="shared" si="139"/>
        <v>25</v>
      </c>
      <c r="I359" s="63">
        <f t="shared" si="139"/>
        <v>0</v>
      </c>
      <c r="J359" s="63">
        <f t="shared" si="139"/>
        <v>12.5</v>
      </c>
      <c r="K359" s="63">
        <f t="shared" si="139"/>
        <v>0</v>
      </c>
      <c r="L359" s="63">
        <f t="shared" si="139"/>
        <v>0</v>
      </c>
      <c r="M359" s="63">
        <f t="shared" si="139"/>
        <v>0</v>
      </c>
      <c r="N359" s="63">
        <f t="shared" si="139"/>
        <v>0</v>
      </c>
      <c r="O359" s="63">
        <f t="shared" si="139"/>
        <v>31.3</v>
      </c>
      <c r="P359" s="63">
        <f t="shared" si="139"/>
        <v>0</v>
      </c>
      <c r="Q359" s="63">
        <f t="shared" si="139"/>
        <v>0</v>
      </c>
      <c r="R359" s="63">
        <f t="shared" si="139"/>
        <v>0</v>
      </c>
      <c r="S359" s="63">
        <f t="shared" si="139"/>
        <v>300</v>
      </c>
      <c r="T359" s="63">
        <f t="shared" si="139"/>
        <v>50</v>
      </c>
      <c r="U359" s="63">
        <f t="shared" si="139"/>
        <v>0</v>
      </c>
      <c r="V359" s="65">
        <f t="shared" si="74"/>
        <v>230</v>
      </c>
      <c r="W359" s="8">
        <f>ROUND(E359*ต้นทุนและราคา!$C$4+F359*ต้นทุนและราคา!$C$5+G359*ต้นทุนและราคา!$C$6+H359*ต้นทุนและราคา!$C$7+I359*ต้นทุนและราคา!$C$8+J359*ต้นทุนและราคา!$C$9+K359*ต้นทุนและราคา!$C$10+L359*ต้นทุนและราคา!$C$11+M359*ต้นทุนและราคา!$C$12+N359*ต้นทุนและราคา!$C$13+O359*ต้นทุนและราคา!$C$14+P359*ต้นทุนและราคา!$C$15+Q359*ต้นทุนและราคา!$C$16+R359*ต้นทุนและราคา!$C$17+S359*ต้นทุนและราคา!$C$18+T359*ต้นทุนและราคา!$C$19+U359*ต้นทุนและราคา!$C$20+IF($C359="16 oz",ต้นทุนและราคา!$C$21,IF($C359="20 oz",ต้นทุนและราคา!$C$22,ต้นทุนและราคา!$C$23)),2)</f>
        <v>71.17</v>
      </c>
      <c r="X359" s="64" cm="1">
        <f t="array" ref="X359">IFERROR(INDEX(ต้นทุนและราคา!$C$26:$E$101,MATCH($B359,ต้นทุนและราคา!$A$26:$A$101,0),IF($C359="16 oz",1,IF($C359="20 oz",2,3))),"")</f>
        <v>110</v>
      </c>
      <c r="Y359" s="66">
        <f t="shared" si="102"/>
        <v>0.35299999999999998</v>
      </c>
      <c r="Z359" s="48" t="str">
        <f>"[20 oz = 16 oz x "&amp;TEXT($AB$2,"0.00")&amp;"] "&amp;Z234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60" spans="1:26" x14ac:dyDescent="0.25">
      <c r="A360" s="4" t="str">
        <f t="shared" si="100"/>
        <v>Matcha Strawberry Premium|20 oz|75%</v>
      </c>
      <c r="B360" s="4" t="s">
        <v>610</v>
      </c>
      <c r="C360" s="4" t="s">
        <v>1046</v>
      </c>
      <c r="D360" s="4" t="s">
        <v>65</v>
      </c>
      <c r="E360" s="63">
        <f t="shared" ref="E360:U360" si="140">ROUND(E235*$AB$2,1)</f>
        <v>0</v>
      </c>
      <c r="F360" s="63">
        <f t="shared" si="140"/>
        <v>0</v>
      </c>
      <c r="G360" s="63">
        <f t="shared" si="140"/>
        <v>138.80000000000001</v>
      </c>
      <c r="H360" s="63">
        <f t="shared" si="140"/>
        <v>25</v>
      </c>
      <c r="I360" s="63">
        <f t="shared" si="140"/>
        <v>0</v>
      </c>
      <c r="J360" s="63">
        <f t="shared" si="140"/>
        <v>18.8</v>
      </c>
      <c r="K360" s="63">
        <f t="shared" si="140"/>
        <v>0</v>
      </c>
      <c r="L360" s="63">
        <f t="shared" si="140"/>
        <v>0</v>
      </c>
      <c r="M360" s="63">
        <f t="shared" si="140"/>
        <v>0</v>
      </c>
      <c r="N360" s="63">
        <f t="shared" si="140"/>
        <v>0</v>
      </c>
      <c r="O360" s="63">
        <f t="shared" si="140"/>
        <v>31.3</v>
      </c>
      <c r="P360" s="63">
        <f t="shared" si="140"/>
        <v>0</v>
      </c>
      <c r="Q360" s="63">
        <f t="shared" si="140"/>
        <v>0</v>
      </c>
      <c r="R360" s="63">
        <f t="shared" si="140"/>
        <v>0</v>
      </c>
      <c r="S360" s="63">
        <f t="shared" si="140"/>
        <v>300</v>
      </c>
      <c r="T360" s="63">
        <f t="shared" si="140"/>
        <v>50</v>
      </c>
      <c r="U360" s="63">
        <f t="shared" si="140"/>
        <v>0</v>
      </c>
      <c r="V360" s="65">
        <f t="shared" ref="V360:V361" si="141">E360+F360+G360+H360+I360+J360+K360+M360+N360+P360+Q360+T360+U360</f>
        <v>232.60000000000002</v>
      </c>
      <c r="W360" s="8">
        <f>ROUND(E360*ต้นทุนและราคา!$C$4+F360*ต้นทุนและราคา!$C$5+G360*ต้นทุนและราคา!$C$6+H360*ต้นทุนและราคา!$C$7+I360*ต้นทุนและราคา!$C$8+J360*ต้นทุนและราคา!$C$9+K360*ต้นทุนและราคา!$C$10+L360*ต้นทุนและราคา!$C$11+M360*ต้นทุนและราคา!$C$12+N360*ต้นทุนและราคา!$C$13+O360*ต้นทุนและราคา!$C$14+P360*ต้นทุนและราคา!$C$15+Q360*ต้นทุนและราคา!$C$16+R360*ต้นทุนและราคา!$C$17+S360*ต้นทุนและราคา!$C$18+T360*ต้นทุนและราคา!$C$19+U360*ต้นทุนและราคา!$C$20+IF($C360="16 oz",ต้นทุนและราคา!$C$21,IF($C360="20 oz",ต้นทุนและราคา!$C$22,ต้นทุนและราคา!$C$23)),2)</f>
        <v>71.099999999999994</v>
      </c>
      <c r="X360" s="64" cm="1">
        <f t="array" ref="X360">IFERROR(INDEX(ต้นทุนและราคา!$C$26:$E$101,MATCH($B360,ต้นทุนและราคา!$A$26:$A$101,0),IF($C360="16 oz",1,IF($C360="20 oz",2,3))),"")</f>
        <v>110</v>
      </c>
      <c r="Y360" s="66">
        <f t="shared" si="102"/>
        <v>0.35363636363636369</v>
      </c>
      <c r="Z360" s="48" t="str">
        <f>"[20 oz = 16 oz x "&amp;TEXT($AB$2,"0.00")&amp;"] "&amp;Z235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  <row r="361" spans="1:26" x14ac:dyDescent="0.25">
      <c r="A361" s="4" t="str">
        <f t="shared" si="100"/>
        <v>Matcha Strawberry Premium|20 oz|100%</v>
      </c>
      <c r="B361" s="4" t="s">
        <v>610</v>
      </c>
      <c r="C361" s="4" t="s">
        <v>1046</v>
      </c>
      <c r="D361" s="4" t="s">
        <v>66</v>
      </c>
      <c r="E361" s="63">
        <f t="shared" ref="E361:U361" si="142">ROUND(E236*$AB$2,1)</f>
        <v>0</v>
      </c>
      <c r="F361" s="63">
        <f t="shared" si="142"/>
        <v>0</v>
      </c>
      <c r="G361" s="63">
        <f t="shared" si="142"/>
        <v>135</v>
      </c>
      <c r="H361" s="63">
        <f t="shared" si="142"/>
        <v>25</v>
      </c>
      <c r="I361" s="63">
        <f t="shared" si="142"/>
        <v>0</v>
      </c>
      <c r="J361" s="63">
        <f t="shared" si="142"/>
        <v>25</v>
      </c>
      <c r="K361" s="63">
        <f t="shared" si="142"/>
        <v>0</v>
      </c>
      <c r="L361" s="63">
        <f t="shared" si="142"/>
        <v>0</v>
      </c>
      <c r="M361" s="63">
        <f t="shared" si="142"/>
        <v>0</v>
      </c>
      <c r="N361" s="63">
        <f t="shared" si="142"/>
        <v>0</v>
      </c>
      <c r="O361" s="63">
        <f t="shared" si="142"/>
        <v>31.3</v>
      </c>
      <c r="P361" s="63">
        <f t="shared" si="142"/>
        <v>0</v>
      </c>
      <c r="Q361" s="63">
        <f t="shared" si="142"/>
        <v>0</v>
      </c>
      <c r="R361" s="63">
        <f t="shared" si="142"/>
        <v>0</v>
      </c>
      <c r="S361" s="63">
        <f t="shared" si="142"/>
        <v>300</v>
      </c>
      <c r="T361" s="63">
        <f t="shared" si="142"/>
        <v>50</v>
      </c>
      <c r="U361" s="63">
        <f t="shared" si="142"/>
        <v>0</v>
      </c>
      <c r="V361" s="65">
        <f t="shared" si="141"/>
        <v>235</v>
      </c>
      <c r="W361" s="8">
        <f>ROUND(E361*ต้นทุนและราคา!$C$4+F361*ต้นทุนและราคา!$C$5+G361*ต้นทุนและราคา!$C$6+H361*ต้นทุนและราคา!$C$7+I361*ต้นทุนและราคา!$C$8+J361*ต้นทุนและราคา!$C$9+K361*ต้นทุนและราคา!$C$10+L361*ต้นทุนและราคา!$C$11+M361*ต้นทุนและราคา!$C$12+N361*ต้นทุนและราคา!$C$13+O361*ต้นทุนและราคา!$C$14+P361*ต้นทุนและราคา!$C$15+Q361*ต้นทุนและราคา!$C$16+R361*ต้นทุนและราคา!$C$17+S361*ต้นทุนและราคา!$C$18+T361*ต้นทุนและราคา!$C$19+U361*ต้นทุนและราคา!$C$20+IF($C361="16 oz",ต้นทุนและราคา!$C$21,IF($C361="20 oz",ต้นทุนและราคา!$C$22,ต้นทุนและราคา!$C$23)),2)</f>
        <v>71.02</v>
      </c>
      <c r="X361" s="64" cm="1">
        <f t="array" ref="X361">IFERROR(INDEX(ต้นทุนและราคา!$C$26:$E$101,MATCH($B361,ต้นทุนและราคา!$A$26:$A$101,0),IF($C361="16 oz",1,IF($C361="20 oz",2,3))),"")</f>
        <v>110</v>
      </c>
      <c r="Y361" s="66">
        <f t="shared" si="102"/>
        <v>0.35436363636363638</v>
      </c>
      <c r="Z361" s="48" t="str">
        <f>"[20 oz = 16 oz x "&amp;TEXT($AB$2,"0.00")&amp;"] "&amp;Z236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</row>
  </sheetData>
  <conditionalFormatting sqref="D2:D3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101"/>
  <sheetViews>
    <sheetView showGridLines="0" zoomScaleNormal="100" workbookViewId="0">
      <selection activeCell="D21" sqref="D21"/>
    </sheetView>
  </sheetViews>
  <sheetFormatPr defaultColWidth="8.7109375" defaultRowHeight="15" x14ac:dyDescent="0.25"/>
  <cols>
    <col min="1" max="1" width="39.7109375" customWidth="1"/>
    <col min="2" max="2" width="26" customWidth="1"/>
    <col min="3" max="3" width="22.85546875" customWidth="1"/>
    <col min="4" max="4" width="38.7109375" customWidth="1"/>
    <col min="5" max="5" width="22.85546875" customWidth="1"/>
  </cols>
  <sheetData>
    <row r="1" spans="1:5" ht="25.5" customHeight="1" x14ac:dyDescent="0.3">
      <c r="A1" s="149" t="s">
        <v>152</v>
      </c>
      <c r="B1" s="149"/>
      <c r="C1" s="149"/>
      <c r="D1" s="149"/>
      <c r="E1" s="149"/>
    </row>
    <row r="2" spans="1:5" x14ac:dyDescent="0.25">
      <c r="A2" s="48" t="s">
        <v>484</v>
      </c>
      <c r="B2" s="49"/>
      <c r="C2" s="49"/>
      <c r="D2" s="49"/>
      <c r="E2" s="49"/>
    </row>
    <row r="3" spans="1:5" x14ac:dyDescent="0.25">
      <c r="A3" s="53" t="s">
        <v>87</v>
      </c>
      <c r="B3" s="53" t="s">
        <v>11</v>
      </c>
      <c r="C3" s="53" t="s">
        <v>153</v>
      </c>
      <c r="D3" s="53" t="s">
        <v>154</v>
      </c>
      <c r="E3" s="49"/>
    </row>
    <row r="4" spans="1:5" x14ac:dyDescent="0.25">
      <c r="A4" s="54" t="s">
        <v>12</v>
      </c>
      <c r="B4" s="54" t="s">
        <v>13</v>
      </c>
      <c r="C4" s="75">
        <f>ต้นทุนเบส!$G$6</f>
        <v>1.9999999999999997E-2</v>
      </c>
      <c r="D4" s="56" t="s">
        <v>958</v>
      </c>
      <c r="E4" s="49"/>
    </row>
    <row r="5" spans="1:5" x14ac:dyDescent="0.25">
      <c r="A5" s="54" t="s">
        <v>14</v>
      </c>
      <c r="B5" s="54" t="s">
        <v>13</v>
      </c>
      <c r="C5" s="75">
        <f>ต้นทุนเบส!$G$7</f>
        <v>2.43325E-2</v>
      </c>
      <c r="D5" s="56" t="s">
        <v>155</v>
      </c>
      <c r="E5" s="49"/>
    </row>
    <row r="6" spans="1:5" x14ac:dyDescent="0.25">
      <c r="A6" s="54" t="s">
        <v>15</v>
      </c>
      <c r="B6" s="54" t="s">
        <v>13</v>
      </c>
      <c r="C6" s="75">
        <f>ต้นทุนเบส!$G$8</f>
        <v>4.8000000000000001E-2</v>
      </c>
      <c r="D6" s="56" t="s">
        <v>156</v>
      </c>
      <c r="E6" s="49"/>
    </row>
    <row r="7" spans="1:5" x14ac:dyDescent="0.25">
      <c r="A7" s="54" t="s">
        <v>16</v>
      </c>
      <c r="B7" s="54" t="s">
        <v>13</v>
      </c>
      <c r="C7" s="75">
        <f>ต้นทุนเบส!$G$9</f>
        <v>7.407407407407407E-2</v>
      </c>
      <c r="D7" s="56" t="s">
        <v>157</v>
      </c>
      <c r="E7" s="49"/>
    </row>
    <row r="8" spans="1:5" x14ac:dyDescent="0.25">
      <c r="A8" s="54" t="s">
        <v>17</v>
      </c>
      <c r="B8" s="54" t="s">
        <v>13</v>
      </c>
      <c r="C8" s="75">
        <f>ต้นทุนเบส!$G$10</f>
        <v>6.9306930693069313E-2</v>
      </c>
      <c r="D8" s="56" t="s">
        <v>158</v>
      </c>
      <c r="E8" s="49"/>
    </row>
    <row r="9" spans="1:5" x14ac:dyDescent="0.25">
      <c r="A9" s="54" t="s">
        <v>18</v>
      </c>
      <c r="B9" s="54" t="s">
        <v>13</v>
      </c>
      <c r="C9" s="75">
        <f>ต้นทุนเบส!$G$11</f>
        <v>1.6743750000000002E-2</v>
      </c>
      <c r="D9" s="56" t="s">
        <v>159</v>
      </c>
      <c r="E9" s="49"/>
    </row>
    <row r="10" spans="1:5" x14ac:dyDescent="0.25">
      <c r="A10" s="54" t="s">
        <v>19</v>
      </c>
      <c r="B10" s="54" t="s">
        <v>13</v>
      </c>
      <c r="C10" s="75">
        <f>ต้นทุนเบส!$G$12</f>
        <v>0.23358333333333331</v>
      </c>
      <c r="D10" s="56" t="s">
        <v>160</v>
      </c>
      <c r="E10" s="49"/>
    </row>
    <row r="11" spans="1:5" x14ac:dyDescent="0.25">
      <c r="A11" s="54" t="s">
        <v>20</v>
      </c>
      <c r="B11" s="54" t="s">
        <v>21</v>
      </c>
      <c r="C11" s="75">
        <f>ต้นทุนเบส!$G$13</f>
        <v>0.6</v>
      </c>
      <c r="D11" s="56" t="s">
        <v>161</v>
      </c>
      <c r="E11" s="49"/>
    </row>
    <row r="12" spans="1:5" x14ac:dyDescent="0.25">
      <c r="A12" s="54" t="s">
        <v>22</v>
      </c>
      <c r="B12" s="54" t="s">
        <v>13</v>
      </c>
      <c r="C12" s="75">
        <f>ต้นทุนเบส!$G$14</f>
        <v>5.5E-2</v>
      </c>
      <c r="D12" s="56" t="s">
        <v>162</v>
      </c>
      <c r="E12" s="49"/>
    </row>
    <row r="13" spans="1:5" x14ac:dyDescent="0.25">
      <c r="A13" s="54" t="s">
        <v>23</v>
      </c>
      <c r="B13" s="54" t="s">
        <v>13</v>
      </c>
      <c r="C13" s="75">
        <f>ต้นทุนเบส!$G$15</f>
        <v>7.3529999999999998E-2</v>
      </c>
      <c r="D13" s="56" t="s">
        <v>163</v>
      </c>
      <c r="E13" s="49"/>
    </row>
    <row r="14" spans="1:5" x14ac:dyDescent="0.25">
      <c r="A14" s="54" t="s">
        <v>24</v>
      </c>
      <c r="B14" s="54" t="s">
        <v>21</v>
      </c>
      <c r="C14" s="75">
        <f>ต้นทุนเบส!$G$16</f>
        <v>0.18</v>
      </c>
      <c r="D14" s="56" t="s">
        <v>164</v>
      </c>
      <c r="E14" s="49"/>
    </row>
    <row r="15" spans="1:5" x14ac:dyDescent="0.25">
      <c r="A15" s="54" t="s">
        <v>25</v>
      </c>
      <c r="B15" s="54" t="s">
        <v>13</v>
      </c>
      <c r="C15" s="75">
        <f>ต้นทุนเบส!$G$17</f>
        <v>0.24</v>
      </c>
      <c r="D15" s="56" t="s">
        <v>165</v>
      </c>
      <c r="E15" s="49"/>
    </row>
    <row r="16" spans="1:5" x14ac:dyDescent="0.25">
      <c r="A16" s="54" t="s">
        <v>26</v>
      </c>
      <c r="B16" s="54" t="s">
        <v>13</v>
      </c>
      <c r="C16" s="75">
        <f>ต้นทุนเบส!$G$18</f>
        <v>2.1538461538461538E-2</v>
      </c>
      <c r="D16" s="56" t="s">
        <v>166</v>
      </c>
      <c r="E16" s="49"/>
    </row>
    <row r="17" spans="1:5" x14ac:dyDescent="0.25">
      <c r="A17" s="54" t="s">
        <v>167</v>
      </c>
      <c r="B17" s="54" t="s">
        <v>21</v>
      </c>
      <c r="C17" s="75">
        <f>ต้นทุนเบส!$G$19</f>
        <v>0.15839240250555667</v>
      </c>
      <c r="D17" s="56" t="s">
        <v>168</v>
      </c>
      <c r="E17" s="49"/>
    </row>
    <row r="18" spans="1:5" x14ac:dyDescent="0.25">
      <c r="A18" s="54" t="s">
        <v>28</v>
      </c>
      <c r="B18" s="54" t="s">
        <v>21</v>
      </c>
      <c r="C18" s="75">
        <f>ต้นทุนเบส!$G$20</f>
        <v>1.4E-2</v>
      </c>
      <c r="D18" s="56" t="s">
        <v>169</v>
      </c>
      <c r="E18" s="49"/>
    </row>
    <row r="19" spans="1:5" x14ac:dyDescent="0.25">
      <c r="A19" s="54" t="s">
        <v>606</v>
      </c>
      <c r="B19" s="54" t="s">
        <v>13</v>
      </c>
      <c r="C19" s="75">
        <f>ต้นทุนเบส!$G$21</f>
        <v>0.95666666666666667</v>
      </c>
      <c r="D19" s="56" t="s">
        <v>607</v>
      </c>
      <c r="E19" s="49"/>
    </row>
    <row r="20" spans="1:5" x14ac:dyDescent="0.25">
      <c r="A20" s="54" t="s">
        <v>824</v>
      </c>
      <c r="B20" s="54" t="s">
        <v>13</v>
      </c>
      <c r="C20" s="75">
        <f>ต้นทุนเบส!$G$22</f>
        <v>2E-3</v>
      </c>
      <c r="D20" s="56" t="s">
        <v>825</v>
      </c>
      <c r="E20" s="49"/>
    </row>
    <row r="21" spans="1:5" x14ac:dyDescent="0.25">
      <c r="A21" s="54" t="s">
        <v>170</v>
      </c>
      <c r="B21" s="54" t="s">
        <v>171</v>
      </c>
      <c r="C21" s="76">
        <f>ต้นทุนเบส!$G$23</f>
        <v>4</v>
      </c>
      <c r="D21" s="61"/>
      <c r="E21" s="49"/>
    </row>
    <row r="22" spans="1:5" x14ac:dyDescent="0.25">
      <c r="A22" s="54" t="s">
        <v>1054</v>
      </c>
      <c r="B22" s="54" t="s">
        <v>171</v>
      </c>
      <c r="C22" s="76">
        <f>ต้นทุนเบส!$G$25</f>
        <v>4.5999999999999996</v>
      </c>
      <c r="D22" s="61" t="s">
        <v>1055</v>
      </c>
      <c r="E22" s="49"/>
    </row>
    <row r="23" spans="1:5" x14ac:dyDescent="0.25">
      <c r="A23" s="54" t="s">
        <v>172</v>
      </c>
      <c r="B23" s="54" t="s">
        <v>171</v>
      </c>
      <c r="C23" s="76">
        <f>ต้นทุนเบส!$G$24</f>
        <v>4.8</v>
      </c>
      <c r="D23" s="61"/>
      <c r="E23" s="49"/>
    </row>
    <row r="24" spans="1:5" x14ac:dyDescent="0.25">
      <c r="A24" s="156" t="s">
        <v>62</v>
      </c>
      <c r="B24" s="156"/>
      <c r="C24" s="156"/>
      <c r="D24" s="156"/>
      <c r="E24" s="49"/>
    </row>
    <row r="25" spans="1:5" x14ac:dyDescent="0.25">
      <c r="A25" s="53" t="s">
        <v>2</v>
      </c>
      <c r="B25" s="53" t="s">
        <v>173</v>
      </c>
      <c r="C25" s="53" t="s">
        <v>5</v>
      </c>
      <c r="D25" s="53" t="s">
        <v>1046</v>
      </c>
      <c r="E25" s="53" t="s">
        <v>67</v>
      </c>
    </row>
    <row r="26" spans="1:5" x14ac:dyDescent="0.25">
      <c r="A26" s="54" t="s">
        <v>3</v>
      </c>
      <c r="B26" s="54" t="s">
        <v>174</v>
      </c>
      <c r="C26" s="77">
        <v>45</v>
      </c>
      <c r="D26" s="175">
        <f>IF(OR($C26="",$E26=""),"",ROUND(($C26+($E26-$C26)*2/3)/5,0)*5)</f>
        <v>50</v>
      </c>
      <c r="E26" s="77">
        <v>55</v>
      </c>
    </row>
    <row r="27" spans="1:5" x14ac:dyDescent="0.25">
      <c r="A27" s="54" t="s">
        <v>68</v>
      </c>
      <c r="B27" s="54" t="s">
        <v>175</v>
      </c>
      <c r="C27" s="77">
        <v>50</v>
      </c>
      <c r="D27" s="175">
        <f>IF(OR($C27="",$E27=""),"",ROUND(($C27+($E27-$C27)*2/3)/5,0)*5)</f>
        <v>55</v>
      </c>
      <c r="E27" s="77">
        <v>60</v>
      </c>
    </row>
    <row r="28" spans="1:5" x14ac:dyDescent="0.25">
      <c r="A28" s="54" t="s">
        <v>69</v>
      </c>
      <c r="B28" s="54" t="s">
        <v>176</v>
      </c>
      <c r="C28" s="77">
        <v>65</v>
      </c>
      <c r="D28" s="175">
        <v>75</v>
      </c>
      <c r="E28" s="77">
        <v>79</v>
      </c>
    </row>
    <row r="29" spans="1:5" x14ac:dyDescent="0.25">
      <c r="A29" s="54" t="s">
        <v>70</v>
      </c>
      <c r="B29" s="54" t="s">
        <v>177</v>
      </c>
      <c r="C29" s="77">
        <v>65</v>
      </c>
      <c r="D29" s="175">
        <f>IF(OR($C29="",$E29=""),"",ROUND(($C29+($E29-$C29)*2/3)/5,0)*5)</f>
        <v>70</v>
      </c>
      <c r="E29" s="77">
        <v>75</v>
      </c>
    </row>
    <row r="30" spans="1:5" x14ac:dyDescent="0.25">
      <c r="A30" s="54" t="s">
        <v>71</v>
      </c>
      <c r="B30" s="54" t="s">
        <v>178</v>
      </c>
      <c r="C30" s="77">
        <v>55</v>
      </c>
      <c r="D30" s="175">
        <f>IF(OR($C30="",$E30=""),"",ROUND(($C30+($E30-$C30)*2/3)/5,0)*5)</f>
        <v>60</v>
      </c>
      <c r="E30" s="77">
        <v>65</v>
      </c>
    </row>
    <row r="31" spans="1:5" x14ac:dyDescent="0.25">
      <c r="A31" s="54" t="s">
        <v>72</v>
      </c>
      <c r="B31" s="54" t="s">
        <v>179</v>
      </c>
      <c r="C31" s="77">
        <v>55</v>
      </c>
      <c r="D31" s="175">
        <f>IF(OR($C31="",$E31=""),"",ROUND(($C31+($E31-$C31)*2/3)/5,0)*5)</f>
        <v>60</v>
      </c>
      <c r="E31" s="77">
        <v>65</v>
      </c>
    </row>
    <row r="32" spans="1:5" x14ac:dyDescent="0.25">
      <c r="A32" s="54" t="s">
        <v>73</v>
      </c>
      <c r="B32" s="54" t="s">
        <v>180</v>
      </c>
      <c r="C32" s="77">
        <v>65</v>
      </c>
      <c r="D32" s="175">
        <f>IF(OR($C32="",$E32=""),"",ROUND(($C32+($E32-$C32)*2/3)/5,0)*5)</f>
        <v>70</v>
      </c>
      <c r="E32" s="77">
        <v>75</v>
      </c>
    </row>
    <row r="33" spans="1:5" x14ac:dyDescent="0.25">
      <c r="A33" s="54" t="s">
        <v>74</v>
      </c>
      <c r="B33" s="54" t="s">
        <v>181</v>
      </c>
      <c r="C33" s="77">
        <v>69</v>
      </c>
      <c r="D33" s="175">
        <f>IF(OR($C33="",$E33=""),"",ROUND(($C33+($E33-$C33)*2/3)/5,0)*5)</f>
        <v>75</v>
      </c>
      <c r="E33" s="77">
        <v>79</v>
      </c>
    </row>
    <row r="34" spans="1:5" x14ac:dyDescent="0.25">
      <c r="A34" s="54" t="s">
        <v>75</v>
      </c>
      <c r="B34" s="54" t="s">
        <v>182</v>
      </c>
      <c r="C34" s="77">
        <v>50</v>
      </c>
      <c r="D34" s="175">
        <f>IF(OR($C34="",$E34=""),"",ROUND(($C34+($E34-$C34)*2/3)/5,0)*5)</f>
        <v>55</v>
      </c>
      <c r="E34" s="77">
        <v>60</v>
      </c>
    </row>
    <row r="35" spans="1:5" x14ac:dyDescent="0.25">
      <c r="A35" s="78" t="s">
        <v>76</v>
      </c>
      <c r="B35" s="78" t="s">
        <v>183</v>
      </c>
      <c r="C35" s="77">
        <v>59</v>
      </c>
      <c r="D35" s="175">
        <f>IF(OR($C35="",$E35=""),"",ROUND(($C35+($E35-$C35)*2/3)/5,0)*5)</f>
        <v>65</v>
      </c>
      <c r="E35" s="77">
        <v>69</v>
      </c>
    </row>
    <row r="36" spans="1:5" x14ac:dyDescent="0.25">
      <c r="A36" s="78" t="s">
        <v>77</v>
      </c>
      <c r="B36" s="78" t="s">
        <v>184</v>
      </c>
      <c r="C36" s="77">
        <v>40</v>
      </c>
      <c r="D36" s="175">
        <v>49</v>
      </c>
      <c r="E36" s="77">
        <v>50</v>
      </c>
    </row>
    <row r="37" spans="1:5" x14ac:dyDescent="0.25">
      <c r="A37" s="78" t="s">
        <v>78</v>
      </c>
      <c r="B37" s="78" t="s">
        <v>185</v>
      </c>
      <c r="C37" s="77">
        <v>45</v>
      </c>
      <c r="D37" s="175">
        <f>IF(OR($C37="",$E37=""),"",ROUND(($C37+($E37-$C37)*2/3)/5,0)*5)</f>
        <v>50</v>
      </c>
      <c r="E37" s="77">
        <v>55</v>
      </c>
    </row>
    <row r="38" spans="1:5" x14ac:dyDescent="0.25">
      <c r="A38" s="78" t="s">
        <v>79</v>
      </c>
      <c r="B38" s="78" t="s">
        <v>186</v>
      </c>
      <c r="C38" s="77">
        <v>59</v>
      </c>
      <c r="D38" s="175">
        <f>IF(OR($C38="",$E38=""),"",ROUND(($C38+($E38-$C38)*2/3)/5,0)*5)</f>
        <v>65</v>
      </c>
      <c r="E38" s="77">
        <v>69</v>
      </c>
    </row>
    <row r="39" spans="1:5" x14ac:dyDescent="0.25">
      <c r="A39" s="78" t="s">
        <v>80</v>
      </c>
      <c r="B39" s="78" t="s">
        <v>187</v>
      </c>
      <c r="C39" s="77">
        <v>50</v>
      </c>
      <c r="D39" s="175">
        <f>IF(OR($C39="",$E39=""),"",ROUND(($C39+($E39-$C39)*2/3)/5,0)*5)</f>
        <v>55</v>
      </c>
      <c r="E39" s="77">
        <v>60</v>
      </c>
    </row>
    <row r="40" spans="1:5" x14ac:dyDescent="0.25">
      <c r="A40" s="78" t="s">
        <v>81</v>
      </c>
      <c r="B40" s="78" t="s">
        <v>188</v>
      </c>
      <c r="C40" s="77">
        <v>50</v>
      </c>
      <c r="D40" s="175">
        <v>59</v>
      </c>
      <c r="E40" s="77">
        <v>65</v>
      </c>
    </row>
    <row r="41" spans="1:5" x14ac:dyDescent="0.25">
      <c r="A41" s="78" t="s">
        <v>82</v>
      </c>
      <c r="B41" s="78" t="s">
        <v>189</v>
      </c>
      <c r="C41" s="77">
        <v>65</v>
      </c>
      <c r="D41" s="175">
        <f>IF(OR($C41="",$E41=""),"",ROUND(($C41+($E41-$C41)*2/3)/5,0)*5)</f>
        <v>70</v>
      </c>
      <c r="E41" s="77">
        <v>75</v>
      </c>
    </row>
    <row r="42" spans="1:5" x14ac:dyDescent="0.25">
      <c r="A42" s="78" t="s">
        <v>303</v>
      </c>
      <c r="B42" s="78" t="s">
        <v>304</v>
      </c>
      <c r="C42" s="77">
        <v>50</v>
      </c>
      <c r="D42" s="175">
        <f>IF(OR($C42="",$E42=""),"",ROUND(($C42+($E42-$C42)*2/3)/5,0)*5)</f>
        <v>55</v>
      </c>
      <c r="E42" s="77">
        <v>60</v>
      </c>
    </row>
    <row r="43" spans="1:5" x14ac:dyDescent="0.25">
      <c r="A43" s="78" t="s">
        <v>305</v>
      </c>
      <c r="B43" s="78" t="s">
        <v>306</v>
      </c>
      <c r="C43" s="77">
        <v>40</v>
      </c>
      <c r="D43" s="175">
        <v>49</v>
      </c>
      <c r="E43" s="77">
        <v>55</v>
      </c>
    </row>
    <row r="44" spans="1:5" x14ac:dyDescent="0.25">
      <c r="A44" s="78" t="s">
        <v>307</v>
      </c>
      <c r="B44" s="78" t="s">
        <v>308</v>
      </c>
      <c r="C44" s="77">
        <v>50</v>
      </c>
      <c r="D44" s="175">
        <v>59</v>
      </c>
      <c r="E44" s="77">
        <v>65</v>
      </c>
    </row>
    <row r="45" spans="1:5" x14ac:dyDescent="0.25">
      <c r="A45" s="78" t="s">
        <v>309</v>
      </c>
      <c r="B45" s="78" t="s">
        <v>310</v>
      </c>
      <c r="C45" s="77">
        <v>65</v>
      </c>
      <c r="D45" s="175">
        <v>75</v>
      </c>
      <c r="E45" s="77">
        <v>85</v>
      </c>
    </row>
    <row r="46" spans="1:5" x14ac:dyDescent="0.25">
      <c r="A46" s="78" t="s">
        <v>830</v>
      </c>
      <c r="B46" s="78" t="s">
        <v>831</v>
      </c>
      <c r="C46" s="77">
        <v>75</v>
      </c>
      <c r="D46" s="175">
        <f>IF(OR($C46="",$E46=""),"",ROUND(($C46+($E46-$C46)*2/3)/5,0)*5)</f>
        <v>85</v>
      </c>
      <c r="E46" s="77">
        <v>90</v>
      </c>
    </row>
    <row r="47" spans="1:5" x14ac:dyDescent="0.25">
      <c r="A47" s="78" t="s">
        <v>608</v>
      </c>
      <c r="B47" s="78" t="s">
        <v>612</v>
      </c>
      <c r="C47" s="77">
        <v>85</v>
      </c>
      <c r="D47" s="175">
        <f>IF(OR($C47="",$E47=""),"",ROUND(($C47+($E47-$C47)*2/3)/5,0)*5)</f>
        <v>95</v>
      </c>
      <c r="E47" s="77">
        <v>100</v>
      </c>
    </row>
    <row r="48" spans="1:5" x14ac:dyDescent="0.25">
      <c r="A48" s="78" t="s">
        <v>609</v>
      </c>
      <c r="B48" s="78" t="s">
        <v>613</v>
      </c>
      <c r="C48" s="77">
        <v>90</v>
      </c>
      <c r="D48" s="175">
        <f>IF(OR($C48="",$E48=""),"",ROUND(($C48+($E48-$C48)*2/3)/5,0)*5)</f>
        <v>105</v>
      </c>
      <c r="E48" s="77">
        <v>115</v>
      </c>
    </row>
    <row r="49" spans="1:5" x14ac:dyDescent="0.25">
      <c r="A49" s="78" t="s">
        <v>610</v>
      </c>
      <c r="B49" s="78" t="s">
        <v>614</v>
      </c>
      <c r="C49" s="77">
        <v>95</v>
      </c>
      <c r="D49" s="175">
        <f>IF(OR($C49="",$E49=""),"",ROUND(($C49+($E49-$C49)*2/3)/5,0)*5)</f>
        <v>110</v>
      </c>
      <c r="E49" s="77">
        <v>120</v>
      </c>
    </row>
    <row r="50" spans="1:5" x14ac:dyDescent="0.25">
      <c r="D50" s="176" t="str">
        <f>IF(OR($C50="",$E50=""),"",ROUND(($C50+($E50-$C50)*2/3)/5,0)*5)</f>
        <v/>
      </c>
      <c r="E50" s="177"/>
    </row>
    <row r="51" spans="1:5" x14ac:dyDescent="0.25">
      <c r="D51" s="176" t="str">
        <f>IF(OR($C51="",$E51=""),"",ROUND(($C51+($E51-$C51)*2/3)/5,0)*5)</f>
        <v/>
      </c>
      <c r="E51" s="177"/>
    </row>
    <row r="52" spans="1:5" x14ac:dyDescent="0.25">
      <c r="D52" s="176" t="str">
        <f>IF(OR($C52="",$E52=""),"",ROUND(($C52+($E52-$C52)*2/3)/5,0)*5)</f>
        <v/>
      </c>
      <c r="E52" s="177"/>
    </row>
    <row r="53" spans="1:5" x14ac:dyDescent="0.25">
      <c r="D53" s="176" t="str">
        <f>IF(OR($C53="",$E53=""),"",ROUND(($C53+($E53-$C53)*2/3)/5,0)*5)</f>
        <v/>
      </c>
      <c r="E53" s="177"/>
    </row>
    <row r="54" spans="1:5" x14ac:dyDescent="0.25">
      <c r="D54" s="176" t="str">
        <f>IF(OR($C54="",$E54=""),"",ROUND(($C54+($E54-$C54)*2/3)/5,0)*5)</f>
        <v/>
      </c>
      <c r="E54" s="177"/>
    </row>
    <row r="55" spans="1:5" x14ac:dyDescent="0.25">
      <c r="D55" s="176" t="str">
        <f>IF(OR($C55="",$E55=""),"",ROUND(($C55+($E55-$C55)*2/3)/5,0)*5)</f>
        <v/>
      </c>
      <c r="E55" s="177"/>
    </row>
    <row r="56" spans="1:5" x14ac:dyDescent="0.25">
      <c r="D56" s="176" t="str">
        <f>IF(OR($C56="",$E56=""),"",ROUND(($C56+($E56-$C56)*2/3)/5,0)*5)</f>
        <v/>
      </c>
      <c r="E56" s="177"/>
    </row>
    <row r="57" spans="1:5" x14ac:dyDescent="0.25">
      <c r="D57" s="176" t="str">
        <f>IF(OR($C57="",$E57=""),"",ROUND(($C57+($E57-$C57)*2/3)/5,0)*5)</f>
        <v/>
      </c>
      <c r="E57" s="177"/>
    </row>
    <row r="58" spans="1:5" x14ac:dyDescent="0.25">
      <c r="D58" s="176" t="str">
        <f>IF(OR($C58="",$E58=""),"",ROUND(($C58+($E58-$C58)*2/3)/5,0)*5)</f>
        <v/>
      </c>
      <c r="E58" s="177"/>
    </row>
    <row r="59" spans="1:5" x14ac:dyDescent="0.25">
      <c r="D59" s="176" t="str">
        <f>IF(OR($C59="",$E59=""),"",ROUND(($C59+($E59-$C59)*2/3)/5,0)*5)</f>
        <v/>
      </c>
      <c r="E59" s="177"/>
    </row>
    <row r="60" spans="1:5" x14ac:dyDescent="0.25">
      <c r="D60" s="176" t="str">
        <f>IF(OR($C60="",$E60=""),"",ROUND(($C60+($E60-$C60)*2/3)/5,0)*5)</f>
        <v/>
      </c>
      <c r="E60" s="177"/>
    </row>
    <row r="61" spans="1:5" x14ac:dyDescent="0.25">
      <c r="D61" s="176" t="str">
        <f>IF(OR($C61="",$E61=""),"",ROUND(($C61+($E61-$C61)*2/3)/5,0)*5)</f>
        <v/>
      </c>
      <c r="E61" s="177"/>
    </row>
    <row r="62" spans="1:5" x14ac:dyDescent="0.25">
      <c r="D62" s="176" t="str">
        <f>IF(OR($C62="",$E62=""),"",ROUND(($C62+($E62-$C62)*2/3)/5,0)*5)</f>
        <v/>
      </c>
      <c r="E62" s="177"/>
    </row>
    <row r="63" spans="1:5" x14ac:dyDescent="0.25">
      <c r="D63" s="176" t="str">
        <f>IF(OR($C63="",$E63=""),"",ROUND(($C63+($E63-$C63)*2/3)/5,0)*5)</f>
        <v/>
      </c>
      <c r="E63" s="177"/>
    </row>
    <row r="64" spans="1:5" x14ac:dyDescent="0.25">
      <c r="D64" s="176" t="str">
        <f>IF(OR($C64="",$E64=""),"",ROUND(($C64+($E64-$C64)*2/3)/5,0)*5)</f>
        <v/>
      </c>
      <c r="E64" s="177"/>
    </row>
    <row r="65" spans="4:5" x14ac:dyDescent="0.25">
      <c r="D65" s="176" t="str">
        <f>IF(OR($C65="",$E65=""),"",ROUND(($C65+($E65-$C65)*2/3)/5,0)*5)</f>
        <v/>
      </c>
      <c r="E65" s="177"/>
    </row>
    <row r="66" spans="4:5" x14ac:dyDescent="0.25">
      <c r="D66" s="176" t="str">
        <f>IF(OR($C66="",$E66=""),"",ROUND(($C66+($E66-$C66)*2/3)/5,0)*5)</f>
        <v/>
      </c>
      <c r="E66" s="177"/>
    </row>
    <row r="67" spans="4:5" x14ac:dyDescent="0.25">
      <c r="D67" s="176" t="str">
        <f>IF(OR($C67="",$E67=""),"",ROUND(($C67+($E67-$C67)*2/3)/5,0)*5)</f>
        <v/>
      </c>
      <c r="E67" s="177"/>
    </row>
    <row r="68" spans="4:5" x14ac:dyDescent="0.25">
      <c r="D68" s="176" t="str">
        <f>IF(OR($C68="",$E68=""),"",ROUND(($C68+($E68-$C68)*2/3)/5,0)*5)</f>
        <v/>
      </c>
      <c r="E68" s="177"/>
    </row>
    <row r="69" spans="4:5" x14ac:dyDescent="0.25">
      <c r="D69" s="176" t="str">
        <f>IF(OR($C69="",$E69=""),"",ROUND(($C69+($E69-$C69)*2/3)/5,0)*5)</f>
        <v/>
      </c>
      <c r="E69" s="177"/>
    </row>
    <row r="70" spans="4:5" x14ac:dyDescent="0.25">
      <c r="D70" s="176" t="str">
        <f>IF(OR($C70="",$E70=""),"",ROUND(($C70+($E70-$C70)*2/3)/5,0)*5)</f>
        <v/>
      </c>
      <c r="E70" s="177"/>
    </row>
    <row r="71" spans="4:5" x14ac:dyDescent="0.25">
      <c r="D71" s="176" t="str">
        <f>IF(OR($C71="",$E71=""),"",ROUND(($C71+($E71-$C71)*2/3)/5,0)*5)</f>
        <v/>
      </c>
      <c r="E71" s="177"/>
    </row>
    <row r="72" spans="4:5" x14ac:dyDescent="0.25">
      <c r="D72" s="176" t="str">
        <f>IF(OR($C72="",$E72=""),"",ROUND(($C72+($E72-$C72)*2/3)/5,0)*5)</f>
        <v/>
      </c>
      <c r="E72" s="177"/>
    </row>
    <row r="73" spans="4:5" x14ac:dyDescent="0.25">
      <c r="D73" s="176" t="str">
        <f>IF(OR($C73="",$E73=""),"",ROUND(($C73+($E73-$C73)*2/3)/5,0)*5)</f>
        <v/>
      </c>
      <c r="E73" s="177"/>
    </row>
    <row r="74" spans="4:5" x14ac:dyDescent="0.25">
      <c r="D74" s="176" t="str">
        <f>IF(OR($C74="",$E74=""),"",ROUND(($C74+($E74-$C74)*2/3)/5,0)*5)</f>
        <v/>
      </c>
      <c r="E74" s="177"/>
    </row>
    <row r="75" spans="4:5" x14ac:dyDescent="0.25">
      <c r="D75" s="176" t="str">
        <f>IF(OR($C75="",$E75=""),"",ROUND(($C75+($E75-$C75)*2/3)/5,0)*5)</f>
        <v/>
      </c>
      <c r="E75" s="177"/>
    </row>
    <row r="76" spans="4:5" x14ac:dyDescent="0.25">
      <c r="D76" s="176" t="str">
        <f>IF(OR($C76="",$E76=""),"",ROUND(($C76+($E76-$C76)*2/3)/5,0)*5)</f>
        <v/>
      </c>
      <c r="E76" s="177"/>
    </row>
    <row r="77" spans="4:5" x14ac:dyDescent="0.25">
      <c r="D77" s="176" t="str">
        <f>IF(OR($C77="",$E77=""),"",ROUND(($C77+($E77-$C77)*2/3)/5,0)*5)</f>
        <v/>
      </c>
      <c r="E77" s="177"/>
    </row>
    <row r="78" spans="4:5" x14ac:dyDescent="0.25">
      <c r="D78" s="176" t="str">
        <f>IF(OR($C78="",$E78=""),"",ROUND(($C78+($E78-$C78)*2/3)/5,0)*5)</f>
        <v/>
      </c>
      <c r="E78" s="177"/>
    </row>
    <row r="79" spans="4:5" x14ac:dyDescent="0.25">
      <c r="D79" s="176" t="str">
        <f>IF(OR($C79="",$E79=""),"",ROUND(($C79+($E79-$C79)*2/3)/5,0)*5)</f>
        <v/>
      </c>
      <c r="E79" s="177"/>
    </row>
    <row r="80" spans="4:5" x14ac:dyDescent="0.25">
      <c r="D80" s="176" t="str">
        <f>IF(OR($C80="",$E80=""),"",ROUND(($C80+($E80-$C80)*2/3)/5,0)*5)</f>
        <v/>
      </c>
      <c r="E80" s="177"/>
    </row>
    <row r="81" spans="4:5" x14ac:dyDescent="0.25">
      <c r="D81" s="176" t="str">
        <f>IF(OR($C81="",$E81=""),"",ROUND(($C81+($E81-$C81)*2/3)/5,0)*5)</f>
        <v/>
      </c>
      <c r="E81" s="177"/>
    </row>
    <row r="82" spans="4:5" x14ac:dyDescent="0.25">
      <c r="D82" s="176" t="str">
        <f>IF(OR($C82="",$E82=""),"",ROUND(($C82+($E82-$C82)*2/3)/5,0)*5)</f>
        <v/>
      </c>
      <c r="E82" s="177"/>
    </row>
    <row r="83" spans="4:5" x14ac:dyDescent="0.25">
      <c r="D83" s="176" t="str">
        <f>IF(OR($C83="",$E83=""),"",ROUND(($C83+($E83-$C83)*2/3)/5,0)*5)</f>
        <v/>
      </c>
      <c r="E83" s="177"/>
    </row>
    <row r="84" spans="4:5" x14ac:dyDescent="0.25">
      <c r="D84" s="176" t="str">
        <f>IF(OR($C84="",$E84=""),"",ROUND(($C84+($E84-$C84)*2/3)/5,0)*5)</f>
        <v/>
      </c>
      <c r="E84" s="177"/>
    </row>
    <row r="85" spans="4:5" x14ac:dyDescent="0.25">
      <c r="D85" s="176" t="str">
        <f>IF(OR($C85="",$E85=""),"",ROUND(($C85+($E85-$C85)*2/3)/5,0)*5)</f>
        <v/>
      </c>
      <c r="E85" s="177"/>
    </row>
    <row r="86" spans="4:5" x14ac:dyDescent="0.25">
      <c r="D86" s="176" t="str">
        <f>IF(OR($C86="",$E86=""),"",ROUND(($C86+($E86-$C86)*2/3)/5,0)*5)</f>
        <v/>
      </c>
      <c r="E86" s="177"/>
    </row>
    <row r="87" spans="4:5" x14ac:dyDescent="0.25">
      <c r="D87" s="176" t="str">
        <f>IF(OR($C87="",$E87=""),"",ROUND(($C87+($E87-$C87)*2/3)/5,0)*5)</f>
        <v/>
      </c>
      <c r="E87" s="177"/>
    </row>
    <row r="88" spans="4:5" x14ac:dyDescent="0.25">
      <c r="D88" s="176" t="str">
        <f>IF(OR($C88="",$E88=""),"",ROUND(($C88+($E88-$C88)*2/3)/5,0)*5)</f>
        <v/>
      </c>
      <c r="E88" s="177"/>
    </row>
    <row r="89" spans="4:5" x14ac:dyDescent="0.25">
      <c r="D89" s="176" t="str">
        <f>IF(OR($C89="",$E89=""),"",ROUND(($C89+($E89-$C89)*2/3)/5,0)*5)</f>
        <v/>
      </c>
      <c r="E89" s="177"/>
    </row>
    <row r="90" spans="4:5" x14ac:dyDescent="0.25">
      <c r="D90" s="176" t="str">
        <f>IF(OR($C90="",$E90=""),"",ROUND(($C90+($E90-$C90)*2/3)/5,0)*5)</f>
        <v/>
      </c>
      <c r="E90" s="177"/>
    </row>
    <row r="91" spans="4:5" x14ac:dyDescent="0.25">
      <c r="D91" s="176" t="str">
        <f>IF(OR($C91="",$E91=""),"",ROUND(($C91+($E91-$C91)*2/3)/5,0)*5)</f>
        <v/>
      </c>
      <c r="E91" s="177"/>
    </row>
    <row r="92" spans="4:5" x14ac:dyDescent="0.25">
      <c r="D92" s="176" t="str">
        <f>IF(OR($C92="",$E92=""),"",ROUND(($C92+($E92-$C92)*2/3)/5,0)*5)</f>
        <v/>
      </c>
      <c r="E92" s="177"/>
    </row>
    <row r="93" spans="4:5" x14ac:dyDescent="0.25">
      <c r="D93" s="176" t="str">
        <f>IF(OR($C93="",$E93=""),"",ROUND(($C93+($E93-$C93)*2/3)/5,0)*5)</f>
        <v/>
      </c>
      <c r="E93" s="177"/>
    </row>
    <row r="94" spans="4:5" x14ac:dyDescent="0.25">
      <c r="D94" s="176" t="str">
        <f>IF(OR($C94="",$E94=""),"",ROUND(($C94+($E94-$C94)*2/3)/5,0)*5)</f>
        <v/>
      </c>
      <c r="E94" s="177"/>
    </row>
    <row r="95" spans="4:5" x14ac:dyDescent="0.25">
      <c r="D95" s="176" t="str">
        <f>IF(OR($C95="",$E95=""),"",ROUND(($C95+($E95-$C95)*2/3)/5,0)*5)</f>
        <v/>
      </c>
      <c r="E95" s="177"/>
    </row>
    <row r="96" spans="4:5" x14ac:dyDescent="0.25">
      <c r="D96" s="176" t="str">
        <f>IF(OR($C96="",$E96=""),"",ROUND(($C96+($E96-$C96)*2/3)/5,0)*5)</f>
        <v/>
      </c>
      <c r="E96" s="177"/>
    </row>
    <row r="97" spans="4:5" x14ac:dyDescent="0.25">
      <c r="D97" s="176" t="str">
        <f>IF(OR($C97="",$E97=""),"",ROUND(($C97+($E97-$C97)*2/3)/5,0)*5)</f>
        <v/>
      </c>
      <c r="E97" s="177"/>
    </row>
    <row r="98" spans="4:5" x14ac:dyDescent="0.25">
      <c r="D98" s="176" t="str">
        <f>IF(OR($C98="",$E98=""),"",ROUND(($C98+($E98-$C98)*2/3)/5,0)*5)</f>
        <v/>
      </c>
      <c r="E98" s="177"/>
    </row>
    <row r="99" spans="4:5" x14ac:dyDescent="0.25">
      <c r="D99" s="176" t="str">
        <f>IF(OR($C99="",$E99=""),"",ROUND(($C99+($E99-$C99)*2/3)/5,0)*5)</f>
        <v/>
      </c>
      <c r="E99" s="177"/>
    </row>
    <row r="100" spans="4:5" x14ac:dyDescent="0.25">
      <c r="D100" s="176" t="str">
        <f>IF(OR($C100="",$E100=""),"",ROUND(($C100+($E100-$C100)*2/3)/5,0)*5)</f>
        <v/>
      </c>
      <c r="E100" s="177"/>
    </row>
    <row r="101" spans="4:5" x14ac:dyDescent="0.25">
      <c r="D101" s="176" t="str">
        <f>IF(OR($C101="",$E101=""),"",ROUND(($C101+($E101-$C101)*2/3)/5,0)*5)</f>
        <v/>
      </c>
      <c r="E101" s="177"/>
    </row>
  </sheetData>
  <mergeCells count="2">
    <mergeCell ref="A1:E1"/>
    <mergeCell ref="A24:D24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674E-0DC8-5A4D-AF81-918E50F5C4AF}">
  <sheetPr>
    <tabColor rgb="FF00B050"/>
  </sheetPr>
  <dimension ref="A1:H28"/>
  <sheetViews>
    <sheetView showGridLines="0" workbookViewId="0">
      <pane ySplit="4" topLeftCell="A6" activePane="bottomLeft" state="frozen"/>
      <selection pane="bottomLeft" activeCell="D6" sqref="D6"/>
    </sheetView>
  </sheetViews>
  <sheetFormatPr defaultColWidth="10.85546875" defaultRowHeight="15" x14ac:dyDescent="0.25"/>
  <cols>
    <col min="1" max="1" width="25.7109375" customWidth="1"/>
    <col min="2" max="2" width="30.28515625" customWidth="1"/>
    <col min="3" max="3" width="15.140625" customWidth="1"/>
    <col min="4" max="4" width="70" customWidth="1"/>
    <col min="5" max="5" width="60.7109375" customWidth="1"/>
    <col min="6" max="6" width="23.28515625" customWidth="1"/>
    <col min="7" max="7" width="9.28515625" customWidth="1"/>
    <col min="8" max="8" width="30.28515625" customWidth="1"/>
  </cols>
  <sheetData>
    <row r="1" spans="1:8" ht="18" x14ac:dyDescent="0.25">
      <c r="A1" s="2" t="s">
        <v>732</v>
      </c>
    </row>
    <row r="2" spans="1:8" x14ac:dyDescent="0.25">
      <c r="A2" s="85" t="s">
        <v>733</v>
      </c>
    </row>
    <row r="3" spans="1:8" x14ac:dyDescent="0.25">
      <c r="A3" s="134" t="s">
        <v>1260</v>
      </c>
    </row>
    <row r="4" spans="1:8" x14ac:dyDescent="0.25">
      <c r="A4" s="36" t="s">
        <v>2</v>
      </c>
      <c r="B4" s="36" t="s">
        <v>173</v>
      </c>
      <c r="C4" s="36" t="s">
        <v>734</v>
      </c>
      <c r="D4" s="36" t="s">
        <v>735</v>
      </c>
      <c r="E4" s="36" t="s">
        <v>736</v>
      </c>
      <c r="F4" s="36" t="s">
        <v>737</v>
      </c>
      <c r="G4" s="36" t="s">
        <v>738</v>
      </c>
      <c r="H4" s="36" t="s">
        <v>739</v>
      </c>
    </row>
    <row r="5" spans="1:8" ht="25.5" x14ac:dyDescent="0.25">
      <c r="A5" s="87" t="s">
        <v>3</v>
      </c>
      <c r="B5" s="87" t="s">
        <v>174</v>
      </c>
      <c r="C5" s="87" t="s">
        <v>740</v>
      </c>
      <c r="D5" s="87" t="s">
        <v>741</v>
      </c>
      <c r="E5" s="87" t="s">
        <v>742</v>
      </c>
      <c r="F5" s="87" t="s">
        <v>743</v>
      </c>
      <c r="G5" s="87">
        <v>45</v>
      </c>
      <c r="H5" s="87" t="s">
        <v>12</v>
      </c>
    </row>
    <row r="6" spans="1:8" ht="25.5" x14ac:dyDescent="0.25">
      <c r="A6" s="87" t="s">
        <v>68</v>
      </c>
      <c r="B6" s="87" t="s">
        <v>175</v>
      </c>
      <c r="C6" s="87" t="s">
        <v>744</v>
      </c>
      <c r="D6" s="87" t="s">
        <v>745</v>
      </c>
      <c r="E6" s="87" t="s">
        <v>746</v>
      </c>
      <c r="F6" s="87" t="s">
        <v>747</v>
      </c>
      <c r="G6" s="87">
        <v>60</v>
      </c>
      <c r="H6" s="87" t="s">
        <v>748</v>
      </c>
    </row>
    <row r="7" spans="1:8" ht="25.5" x14ac:dyDescent="0.25">
      <c r="A7" s="87" t="s">
        <v>69</v>
      </c>
      <c r="B7" s="87" t="s">
        <v>176</v>
      </c>
      <c r="C7" s="87" t="s">
        <v>749</v>
      </c>
      <c r="D7" s="87" t="s">
        <v>750</v>
      </c>
      <c r="E7" s="87" t="s">
        <v>751</v>
      </c>
      <c r="F7" s="87" t="s">
        <v>752</v>
      </c>
      <c r="G7" s="87">
        <v>70</v>
      </c>
      <c r="H7" s="87" t="s">
        <v>753</v>
      </c>
    </row>
    <row r="8" spans="1:8" ht="25.5" x14ac:dyDescent="0.25">
      <c r="A8" s="87" t="s">
        <v>70</v>
      </c>
      <c r="B8" s="87" t="s">
        <v>177</v>
      </c>
      <c r="C8" s="87" t="s">
        <v>749</v>
      </c>
      <c r="D8" s="87" t="s">
        <v>750</v>
      </c>
      <c r="E8" s="87" t="s">
        <v>751</v>
      </c>
      <c r="F8" s="87" t="s">
        <v>752</v>
      </c>
      <c r="G8" s="87">
        <v>70</v>
      </c>
      <c r="H8" s="87" t="s">
        <v>754</v>
      </c>
    </row>
    <row r="9" spans="1:8" ht="25.5" x14ac:dyDescent="0.25">
      <c r="A9" s="87" t="s">
        <v>71</v>
      </c>
      <c r="B9" s="87" t="s">
        <v>178</v>
      </c>
      <c r="C9" s="87" t="s">
        <v>744</v>
      </c>
      <c r="D9" s="87" t="s">
        <v>745</v>
      </c>
      <c r="E9" s="87" t="s">
        <v>746</v>
      </c>
      <c r="F9" s="87" t="s">
        <v>747</v>
      </c>
      <c r="G9" s="87">
        <v>60</v>
      </c>
      <c r="H9" s="87" t="s">
        <v>755</v>
      </c>
    </row>
    <row r="10" spans="1:8" ht="25.5" x14ac:dyDescent="0.25">
      <c r="A10" s="87" t="s">
        <v>72</v>
      </c>
      <c r="B10" s="87" t="s">
        <v>179</v>
      </c>
      <c r="C10" s="87" t="s">
        <v>740</v>
      </c>
      <c r="D10" s="87" t="s">
        <v>741</v>
      </c>
      <c r="E10" s="87" t="s">
        <v>742</v>
      </c>
      <c r="F10" s="87" t="s">
        <v>743</v>
      </c>
      <c r="G10" s="87">
        <v>45</v>
      </c>
      <c r="H10" s="87" t="s">
        <v>756</v>
      </c>
    </row>
    <row r="11" spans="1:8" ht="25.5" x14ac:dyDescent="0.25">
      <c r="A11" s="87" t="s">
        <v>73</v>
      </c>
      <c r="B11" s="87" t="s">
        <v>180</v>
      </c>
      <c r="C11" s="87" t="s">
        <v>300</v>
      </c>
      <c r="D11" s="87" t="s">
        <v>757</v>
      </c>
      <c r="E11" s="87" t="s">
        <v>758</v>
      </c>
      <c r="F11" s="87" t="s">
        <v>759</v>
      </c>
      <c r="G11" s="87">
        <v>75</v>
      </c>
      <c r="H11" s="87" t="s">
        <v>12</v>
      </c>
    </row>
    <row r="12" spans="1:8" ht="25.5" x14ac:dyDescent="0.25">
      <c r="A12" s="87" t="s">
        <v>74</v>
      </c>
      <c r="B12" s="87" t="s">
        <v>181</v>
      </c>
      <c r="C12" s="87" t="s">
        <v>300</v>
      </c>
      <c r="D12" s="87" t="s">
        <v>757</v>
      </c>
      <c r="E12" s="87" t="s">
        <v>758</v>
      </c>
      <c r="F12" s="87" t="s">
        <v>759</v>
      </c>
      <c r="G12" s="87">
        <v>75</v>
      </c>
      <c r="H12" s="87" t="s">
        <v>760</v>
      </c>
    </row>
    <row r="13" spans="1:8" ht="25.5" x14ac:dyDescent="0.25">
      <c r="A13" s="87" t="s">
        <v>75</v>
      </c>
      <c r="B13" s="87" t="s">
        <v>182</v>
      </c>
      <c r="C13" s="87" t="s">
        <v>744</v>
      </c>
      <c r="D13" s="87" t="s">
        <v>745</v>
      </c>
      <c r="E13" s="87" t="s">
        <v>746</v>
      </c>
      <c r="F13" s="87" t="s">
        <v>747</v>
      </c>
      <c r="G13" s="87">
        <v>60</v>
      </c>
      <c r="H13" s="87" t="s">
        <v>761</v>
      </c>
    </row>
    <row r="14" spans="1:8" ht="25.5" x14ac:dyDescent="0.25">
      <c r="A14" s="87" t="s">
        <v>76</v>
      </c>
      <c r="B14" s="87" t="s">
        <v>762</v>
      </c>
      <c r="C14" s="87" t="s">
        <v>744</v>
      </c>
      <c r="D14" s="87" t="s">
        <v>745</v>
      </c>
      <c r="E14" s="87" t="s">
        <v>746</v>
      </c>
      <c r="F14" s="87" t="s">
        <v>747</v>
      </c>
      <c r="G14" s="87">
        <v>60</v>
      </c>
      <c r="H14" s="87" t="s">
        <v>760</v>
      </c>
    </row>
    <row r="15" spans="1:8" ht="25.5" x14ac:dyDescent="0.25">
      <c r="A15" s="87" t="s">
        <v>77</v>
      </c>
      <c r="B15" s="87" t="s">
        <v>184</v>
      </c>
      <c r="C15" s="87" t="s">
        <v>763</v>
      </c>
      <c r="D15" s="87" t="s">
        <v>764</v>
      </c>
      <c r="E15" s="87" t="s">
        <v>765</v>
      </c>
      <c r="F15" s="87" t="s">
        <v>766</v>
      </c>
      <c r="G15" s="87">
        <v>45</v>
      </c>
      <c r="H15" s="87" t="s">
        <v>767</v>
      </c>
    </row>
    <row r="16" spans="1:8" ht="25.5" x14ac:dyDescent="0.25">
      <c r="A16" s="87" t="s">
        <v>78</v>
      </c>
      <c r="B16" s="87" t="s">
        <v>185</v>
      </c>
      <c r="C16" s="87" t="s">
        <v>740</v>
      </c>
      <c r="D16" s="87" t="s">
        <v>741</v>
      </c>
      <c r="E16" s="87" t="s">
        <v>742</v>
      </c>
      <c r="F16" s="87" t="s">
        <v>743</v>
      </c>
      <c r="G16" s="87">
        <v>45</v>
      </c>
      <c r="H16" s="87" t="s">
        <v>14</v>
      </c>
    </row>
    <row r="17" spans="1:8" ht="25.5" x14ac:dyDescent="0.25">
      <c r="A17" s="87" t="s">
        <v>79</v>
      </c>
      <c r="B17" s="87" t="s">
        <v>186</v>
      </c>
      <c r="C17" s="87" t="s">
        <v>744</v>
      </c>
      <c r="D17" s="87" t="s">
        <v>745</v>
      </c>
      <c r="E17" s="87" t="s">
        <v>746</v>
      </c>
      <c r="F17" s="87" t="s">
        <v>747</v>
      </c>
      <c r="G17" s="87">
        <v>60</v>
      </c>
      <c r="H17" s="87" t="s">
        <v>768</v>
      </c>
    </row>
    <row r="18" spans="1:8" ht="25.5" x14ac:dyDescent="0.25">
      <c r="A18" s="87" t="s">
        <v>80</v>
      </c>
      <c r="B18" s="87" t="s">
        <v>187</v>
      </c>
      <c r="C18" s="87" t="s">
        <v>744</v>
      </c>
      <c r="D18" s="87" t="s">
        <v>745</v>
      </c>
      <c r="E18" s="87" t="s">
        <v>746</v>
      </c>
      <c r="F18" s="87" t="s">
        <v>747</v>
      </c>
      <c r="G18" s="87">
        <v>60</v>
      </c>
      <c r="H18" s="87" t="s">
        <v>769</v>
      </c>
    </row>
    <row r="19" spans="1:8" ht="25.5" x14ac:dyDescent="0.25">
      <c r="A19" s="87" t="s">
        <v>81</v>
      </c>
      <c r="B19" s="87" t="s">
        <v>188</v>
      </c>
      <c r="C19" s="87" t="s">
        <v>26</v>
      </c>
      <c r="D19" s="87" t="s">
        <v>770</v>
      </c>
      <c r="E19" s="87" t="s">
        <v>771</v>
      </c>
      <c r="F19" s="87" t="s">
        <v>772</v>
      </c>
      <c r="G19" s="87">
        <v>40</v>
      </c>
      <c r="H19" s="87" t="s">
        <v>773</v>
      </c>
    </row>
    <row r="20" spans="1:8" ht="25.5" x14ac:dyDescent="0.25">
      <c r="A20" s="87" t="s">
        <v>82</v>
      </c>
      <c r="B20" s="87" t="s">
        <v>189</v>
      </c>
      <c r="C20" s="87" t="s">
        <v>300</v>
      </c>
      <c r="D20" s="87" t="s">
        <v>757</v>
      </c>
      <c r="E20" s="87" t="s">
        <v>758</v>
      </c>
      <c r="F20" s="87" t="s">
        <v>759</v>
      </c>
      <c r="G20" s="87">
        <v>75</v>
      </c>
      <c r="H20" s="87" t="s">
        <v>14</v>
      </c>
    </row>
    <row r="21" spans="1:8" ht="25.5" x14ac:dyDescent="0.25">
      <c r="A21" s="87" t="s">
        <v>303</v>
      </c>
      <c r="B21" s="87" t="s">
        <v>304</v>
      </c>
      <c r="C21" s="87" t="s">
        <v>744</v>
      </c>
      <c r="D21" s="87" t="s">
        <v>745</v>
      </c>
      <c r="E21" s="87" t="s">
        <v>746</v>
      </c>
      <c r="F21" s="87" t="s">
        <v>747</v>
      </c>
      <c r="G21" s="87">
        <v>60</v>
      </c>
      <c r="H21" s="87" t="s">
        <v>14</v>
      </c>
    </row>
    <row r="22" spans="1:8" ht="25.5" x14ac:dyDescent="0.25">
      <c r="A22" s="87" t="s">
        <v>305</v>
      </c>
      <c r="B22" s="87" t="s">
        <v>306</v>
      </c>
      <c r="C22" s="87" t="s">
        <v>763</v>
      </c>
      <c r="D22" s="87" t="s">
        <v>764</v>
      </c>
      <c r="E22" s="87" t="s">
        <v>765</v>
      </c>
      <c r="F22" s="87" t="s">
        <v>766</v>
      </c>
      <c r="G22" s="87">
        <v>45</v>
      </c>
      <c r="H22" s="87" t="s">
        <v>774</v>
      </c>
    </row>
    <row r="23" spans="1:8" ht="25.5" x14ac:dyDescent="0.25">
      <c r="A23" s="87" t="s">
        <v>307</v>
      </c>
      <c r="B23" s="87" t="s">
        <v>308</v>
      </c>
      <c r="C23" s="87" t="s">
        <v>763</v>
      </c>
      <c r="D23" s="87" t="s">
        <v>764</v>
      </c>
      <c r="E23" s="87" t="s">
        <v>765</v>
      </c>
      <c r="F23" s="87" t="s">
        <v>766</v>
      </c>
      <c r="G23" s="87">
        <v>45</v>
      </c>
      <c r="H23" s="87" t="s">
        <v>769</v>
      </c>
    </row>
    <row r="24" spans="1:8" ht="25.5" x14ac:dyDescent="0.25">
      <c r="A24" s="87" t="s">
        <v>309</v>
      </c>
      <c r="B24" s="87" t="s">
        <v>310</v>
      </c>
      <c r="C24" s="87" t="s">
        <v>749</v>
      </c>
      <c r="D24" s="87" t="s">
        <v>750</v>
      </c>
      <c r="E24" s="87" t="s">
        <v>751</v>
      </c>
      <c r="F24" s="87" t="s">
        <v>752</v>
      </c>
      <c r="G24" s="87">
        <v>70</v>
      </c>
      <c r="H24" s="87" t="s">
        <v>775</v>
      </c>
    </row>
    <row r="25" spans="1:8" ht="38.25" x14ac:dyDescent="0.25">
      <c r="A25" s="91" t="s">
        <v>830</v>
      </c>
      <c r="B25" s="91" t="s">
        <v>831</v>
      </c>
      <c r="C25" s="91" t="s">
        <v>776</v>
      </c>
      <c r="D25" s="91" t="s">
        <v>833</v>
      </c>
      <c r="E25" s="91" t="s">
        <v>834</v>
      </c>
      <c r="F25" s="91" t="s">
        <v>835</v>
      </c>
      <c r="G25" s="91" t="s">
        <v>836</v>
      </c>
      <c r="H25" s="91" t="s">
        <v>837</v>
      </c>
    </row>
    <row r="26" spans="1:8" ht="38.25" x14ac:dyDescent="0.25">
      <c r="A26" s="91" t="s">
        <v>608</v>
      </c>
      <c r="B26" s="91" t="s">
        <v>612</v>
      </c>
      <c r="C26" s="91" t="s">
        <v>776</v>
      </c>
      <c r="D26" s="91" t="s">
        <v>777</v>
      </c>
      <c r="E26" s="91" t="s">
        <v>778</v>
      </c>
      <c r="F26" s="91" t="s">
        <v>779</v>
      </c>
      <c r="G26" s="91">
        <v>55</v>
      </c>
      <c r="H26" s="91" t="s">
        <v>602</v>
      </c>
    </row>
    <row r="27" spans="1:8" ht="38.25" x14ac:dyDescent="0.25">
      <c r="A27" s="91" t="s">
        <v>609</v>
      </c>
      <c r="B27" s="91" t="s">
        <v>613</v>
      </c>
      <c r="C27" s="91" t="s">
        <v>776</v>
      </c>
      <c r="D27" s="91" t="s">
        <v>777</v>
      </c>
      <c r="E27" s="91" t="s">
        <v>778</v>
      </c>
      <c r="F27" s="91" t="s">
        <v>779</v>
      </c>
      <c r="G27" s="91">
        <v>55</v>
      </c>
      <c r="H27" s="91" t="s">
        <v>780</v>
      </c>
    </row>
    <row r="28" spans="1:8" ht="38.25" x14ac:dyDescent="0.25">
      <c r="A28" s="91" t="s">
        <v>610</v>
      </c>
      <c r="B28" s="91" t="s">
        <v>614</v>
      </c>
      <c r="C28" s="91" t="s">
        <v>776</v>
      </c>
      <c r="D28" s="91" t="s">
        <v>777</v>
      </c>
      <c r="E28" s="91" t="s">
        <v>778</v>
      </c>
      <c r="F28" s="91" t="s">
        <v>779</v>
      </c>
      <c r="G28" s="91">
        <v>55</v>
      </c>
      <c r="H28" s="91" t="s">
        <v>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2AC5-436C-9245-8786-1D2CE374E29A}">
  <sheetPr>
    <tabColor rgb="FF4472C4"/>
  </sheetPr>
  <dimension ref="A1:K29"/>
  <sheetViews>
    <sheetView showGridLines="0" workbookViewId="0">
      <selection activeCell="H13" sqref="H13"/>
    </sheetView>
  </sheetViews>
  <sheetFormatPr defaultColWidth="10.85546875" defaultRowHeight="15" x14ac:dyDescent="0.25"/>
  <cols>
    <col min="1" max="1" width="28" customWidth="1"/>
    <col min="2" max="2" width="32.7109375" customWidth="1"/>
    <col min="3" max="5" width="16.28515625" customWidth="1"/>
    <col min="6" max="6" width="23.28515625" customWidth="1"/>
    <col min="7" max="9" width="16.28515625" customWidth="1"/>
    <col min="10" max="10" width="25.7109375" customWidth="1"/>
    <col min="11" max="11" width="18.7109375" customWidth="1"/>
  </cols>
  <sheetData>
    <row r="1" spans="1:11" ht="18" x14ac:dyDescent="0.25">
      <c r="A1" s="2" t="s">
        <v>782</v>
      </c>
    </row>
    <row r="2" spans="1:11" x14ac:dyDescent="0.25">
      <c r="A2" s="85" t="s">
        <v>783</v>
      </c>
    </row>
    <row r="4" spans="1:11" ht="33.950000000000003" customHeight="1" x14ac:dyDescent="0.25">
      <c r="A4" s="36" t="s">
        <v>2</v>
      </c>
      <c r="B4" s="36" t="s">
        <v>173</v>
      </c>
      <c r="C4" s="174" t="s">
        <v>784</v>
      </c>
      <c r="D4" s="174" t="s">
        <v>1057</v>
      </c>
      <c r="E4" s="174" t="s">
        <v>785</v>
      </c>
      <c r="F4" s="36" t="s">
        <v>787</v>
      </c>
      <c r="G4" s="36" t="s">
        <v>788</v>
      </c>
      <c r="H4" s="36" t="s">
        <v>397</v>
      </c>
      <c r="I4" s="36" t="s">
        <v>789</v>
      </c>
      <c r="J4" s="36" t="s">
        <v>790</v>
      </c>
      <c r="K4" s="36" t="s">
        <v>791</v>
      </c>
    </row>
    <row r="5" spans="1:11" x14ac:dyDescent="0.25">
      <c r="A5" s="87" t="str">
        <f>IF(Lists!$A$2="","",Lists!$A$2)</f>
        <v>Original</v>
      </c>
      <c r="B5" s="87" t="str">
        <f>IF(A5="","",Lists!$B$2)</f>
        <v>ชาไทยเย็น</v>
      </c>
      <c r="C5" s="109">
        <v>0</v>
      </c>
      <c r="D5" s="109">
        <v>0</v>
      </c>
      <c r="E5" s="109">
        <v>0</v>
      </c>
      <c r="F5" s="105" t="s">
        <v>12</v>
      </c>
      <c r="G5" s="114" cm="1">
        <f t="array" ref="G5">SUMPRODUCT($C$5:$C$28,IFERROR(INDEX(ตารางรวม!$D:$D,MATCH($A$5:$A$28&amp;Lists!$S$2&amp;"16 oz"&amp;Lists!$S$2&amp;"50%",ตารางรวม!$Z:$Z,0)),0))+SUMPRODUCT($D$5:$D$28,IFERROR(INDEX(ตารางรวม!$D:$D,MATCH($A$5:$A$28&amp;Lists!$S$2&amp;"20 oz"&amp;Lists!$S$2&amp;"50%",ตารางรวม!$Z:$Z,0)),0))+SUMPRODUCT($E$5:$E$28,IFERROR(INDEX(ตารางรวม!$D:$D,MATCH($A$5:$A$28&amp;Lists!$S$2&amp;"22 oz"&amp;Lists!$S$2&amp;"50%",ตารางรวม!$Z:$Z,0)),0))</f>
        <v>0</v>
      </c>
      <c r="H5" s="106">
        <f>IFERROR(INDEX(tblIng[ขนาด batch มาตรฐาน],MATCH(F5,tblIng[วัตถุดิบในสูตร],0)),"")</f>
        <v>3000</v>
      </c>
      <c r="I5" s="107">
        <f t="shared" ref="I5:I11" si="0">IF(G5&lt;=0,0,ROUNDUP(G5*(1+$H$14)/H5,0))</f>
        <v>0</v>
      </c>
      <c r="J5" s="106">
        <f t="shared" ref="J5:J11" si="1">I5*H5</f>
        <v>0</v>
      </c>
      <c r="K5" s="108">
        <f>IFERROR(J5*INDEX(tblIng[ต้นทุนที่ใช้],MATCH(F5,tblIng[วัตถุดิบในสูตร],0)),0)</f>
        <v>0</v>
      </c>
    </row>
    <row r="6" spans="1:11" x14ac:dyDescent="0.25">
      <c r="A6" s="87" t="str">
        <f>IF(Lists!$A$3="","",Lists!$A$3)</f>
        <v>Latte</v>
      </c>
      <c r="B6" s="87" t="str">
        <f>IF(A6="","",Lists!$B$3)</f>
        <v>ชาไทยนมสด</v>
      </c>
      <c r="C6" s="109">
        <v>0</v>
      </c>
      <c r="D6" s="109">
        <v>0</v>
      </c>
      <c r="E6" s="109">
        <v>0</v>
      </c>
      <c r="F6" s="105" t="s">
        <v>14</v>
      </c>
      <c r="G6" s="114" cm="1">
        <f t="array" ref="G6">SUMPRODUCT($C$5:$C$28,IFERROR(INDEX(ตารางรวม!$E:$E,MATCH($A$5:$A$28&amp;Lists!$S$2&amp;"16 oz"&amp;Lists!$S$2&amp;"50%",ตารางรวม!$Z:$Z,0)),0))+SUMPRODUCT($D$5:$D$28,IFERROR(INDEX(ตารางรวม!$E:$E,MATCH($A$5:$A$28&amp;Lists!$S$2&amp;"20 oz"&amp;Lists!$S$2&amp;"50%",ตารางรวม!$Z:$Z,0)),0))+SUMPRODUCT($E$5:$E$28,IFERROR(INDEX(ตารางรวม!$E:$E,MATCH($A$5:$A$28&amp;Lists!$S$2&amp;"22 oz"&amp;Lists!$S$2&amp;"50%",ตารางรวม!$Z:$Z,0)),0))</f>
        <v>0</v>
      </c>
      <c r="H6" s="106">
        <f>IFERROR(INDEX(tblIng[ขนาด batch มาตรฐาน],MATCH(F6,tblIng[วัตถุดิบในสูตร],0)),"")</f>
        <v>3000</v>
      </c>
      <c r="I6" s="107">
        <f t="shared" si="0"/>
        <v>0</v>
      </c>
      <c r="J6" s="106">
        <f t="shared" si="1"/>
        <v>0</v>
      </c>
      <c r="K6" s="108">
        <f>IFERROR(J6*INDEX(tblIng[ต้นทุนที่ใช้],MATCH(F6,tblIng[วัตถุดิบในสูตร],0)),0)</f>
        <v>0</v>
      </c>
    </row>
    <row r="7" spans="1:11" x14ac:dyDescent="0.25">
      <c r="A7" s="87" t="str">
        <f>IF(Lists!$A$4="","",Lists!$A$4)</f>
        <v>Cream Cheese</v>
      </c>
      <c r="B7" s="87" t="str">
        <f>IF(A7="","",Lists!$B$4)</f>
        <v>ชาไทยครีมชีสโฟม</v>
      </c>
      <c r="C7" s="109">
        <v>0</v>
      </c>
      <c r="D7" s="109">
        <v>0</v>
      </c>
      <c r="E7" s="109">
        <v>0</v>
      </c>
      <c r="F7" s="105" t="s">
        <v>602</v>
      </c>
      <c r="G7" s="114" cm="1">
        <f t="array" ref="G7">SUMPRODUCT($C$5:$C$28,IFERROR(INDEX(ตารางรวม!$S:$S,MATCH($A$5:$A$28&amp;Lists!$S$2&amp;"16 oz"&amp;Lists!$S$2&amp;"50%",ตารางรวม!$Z:$Z,0)),0))+SUMPRODUCT($D$5:$D$28,IFERROR(INDEX(ตารางรวม!$S:$S,MATCH($A$5:$A$28&amp;Lists!$S$2&amp;"20 oz"&amp;Lists!$S$2&amp;"50%",ตารางรวม!$Z:$Z,0)),0))+SUMPRODUCT($E$5:$E$28,IFERROR(INDEX(ตารางรวม!$S:$S,MATCH($A$5:$A$28&amp;Lists!$S$2&amp;"22 oz"&amp;Lists!$S$2&amp;"50%",ตารางรวม!$Z:$Z,0)),0))</f>
        <v>0</v>
      </c>
      <c r="H7" s="106">
        <f>IFERROR(INDEX(tblIng[ขนาด batch มาตรฐาน],MATCH(F7,tblIng[วัตถุดิบในสูตร],0)),"")</f>
        <v>300</v>
      </c>
      <c r="I7" s="107">
        <f t="shared" si="0"/>
        <v>0</v>
      </c>
      <c r="J7" s="106">
        <f t="shared" si="1"/>
        <v>0</v>
      </c>
      <c r="K7" s="108">
        <f>IFERROR(J7*INDEX(tblIng[ต้นทุนที่ใช้],MATCH(F7,tblIng[วัตถุดิบในสูตร],0)),0)</f>
        <v>0</v>
      </c>
    </row>
    <row r="8" spans="1:11" x14ac:dyDescent="0.25">
      <c r="A8" s="87" t="str">
        <f>IF(Lists!$A$5="","",Lists!$A$5)</f>
        <v>Whip Cheese</v>
      </c>
      <c r="B8" s="87" t="str">
        <f>IF(A8="","",Lists!$B$5)</f>
        <v>ชาไทยวิปชีส</v>
      </c>
      <c r="C8" s="109">
        <v>0</v>
      </c>
      <c r="D8" s="109">
        <v>0</v>
      </c>
      <c r="E8" s="109">
        <v>0</v>
      </c>
      <c r="F8" s="105" t="s">
        <v>23</v>
      </c>
      <c r="G8" s="114" cm="1">
        <f t="array" ref="G8">SUMPRODUCT($C$5:$C$28,IFERROR(INDEX(ตารางรวม!$M:$M,MATCH($A$5:$A$28&amp;Lists!$S$2&amp;"16 oz"&amp;Lists!$S$2&amp;"50%",ตารางรวม!$Z:$Z,0)),0))+SUMPRODUCT($D$5:$D$28,IFERROR(INDEX(ตารางรวม!$M:$M,MATCH($A$5:$A$28&amp;Lists!$S$2&amp;"20 oz"&amp;Lists!$S$2&amp;"50%",ตารางรวม!$Z:$Z,0)),0))+SUMPRODUCT($E$5:$E$28,IFERROR(INDEX(ตารางรวม!$M:$M,MATCH($A$5:$A$28&amp;Lists!$S$2&amp;"22 oz"&amp;Lists!$S$2&amp;"50%",ตารางรวม!$Z:$Z,0)),0))</f>
        <v>0</v>
      </c>
      <c r="H8" s="106">
        <f>IFERROR(INDEX(tblIng[ขนาด batch มาตรฐาน],MATCH(F8,tblIng[วัตถุดิบในสูตร],0)),"")</f>
        <v>1000</v>
      </c>
      <c r="I8" s="107">
        <f t="shared" si="0"/>
        <v>0</v>
      </c>
      <c r="J8" s="106">
        <f t="shared" si="1"/>
        <v>0</v>
      </c>
      <c r="K8" s="108">
        <f>IFERROR(J8*INDEX(tblIng[ต้นทุนที่ใช้],MATCH(F8,tblIng[วัตถุดิบในสูตร],0)),0)</f>
        <v>0</v>
      </c>
    </row>
    <row r="9" spans="1:11" x14ac:dyDescent="0.25">
      <c r="A9" s="87" t="str">
        <f>IF(Lists!$A$6="","",Lists!$A$6)</f>
        <v>Orange Latte</v>
      </c>
      <c r="B9" s="87" t="str">
        <f>IF(A9="","",Lists!$B$6)</f>
        <v>ชาไทยส้ม</v>
      </c>
      <c r="C9" s="109">
        <v>0</v>
      </c>
      <c r="D9" s="109">
        <v>0</v>
      </c>
      <c r="E9" s="109">
        <v>0</v>
      </c>
      <c r="F9" s="105" t="s">
        <v>18</v>
      </c>
      <c r="G9" s="114" cm="1">
        <f t="array" ref="G9">SUMPRODUCT($C$5:$C$28,IFERROR(INDEX(ตารางรวม!$I:$I,MATCH($A$5:$A$28&amp;Lists!$S$2&amp;"16 oz"&amp;Lists!$S$2&amp;"50%",ตารางรวม!$Z:$Z,0)),0))+SUMPRODUCT($D$5:$D$28,IFERROR(INDEX(ตารางรวม!$I:$I,MATCH($A$5:$A$28&amp;Lists!$S$2&amp;"20 oz"&amp;Lists!$S$2&amp;"50%",ตารางรวม!$Z:$Z,0)),0))+SUMPRODUCT($E$5:$E$28,IFERROR(INDEX(ตารางรวม!$I:$I,MATCH($A$5:$A$28&amp;Lists!$S$2&amp;"22 oz"&amp;Lists!$S$2&amp;"50%",ตารางรวม!$Z:$Z,0)),0))</f>
        <v>0</v>
      </c>
      <c r="H9" s="106">
        <f>IFERROR(INDEX(tblIng[ขนาด batch มาตรฐาน],MATCH(F9,tblIng[วัตถุดิบในสูตร],0)),"")</f>
        <v>1600</v>
      </c>
      <c r="I9" s="107">
        <f t="shared" si="0"/>
        <v>0</v>
      </c>
      <c r="J9" s="106">
        <f t="shared" si="1"/>
        <v>0</v>
      </c>
      <c r="K9" s="108">
        <f>IFERROR(J9*INDEX(tblIng[ต้นทุนที่ใช้],MATCH(F9,tblIng[วัตถุดิบในสูตร],0)),0)</f>
        <v>0</v>
      </c>
    </row>
    <row r="10" spans="1:11" x14ac:dyDescent="0.25">
      <c r="A10" s="87" t="str">
        <f>IF(Lists!$A$7="","",Lists!$A$7)</f>
        <v>Cocoa</v>
      </c>
      <c r="B10" s="87" t="str">
        <f>IF(A10="","",Lists!$B$7)</f>
        <v>ชาไทยโกโก้</v>
      </c>
      <c r="C10" s="109">
        <v>0</v>
      </c>
      <c r="D10" s="109">
        <v>0</v>
      </c>
      <c r="E10" s="109">
        <v>0</v>
      </c>
      <c r="F10" s="105" t="s">
        <v>19</v>
      </c>
      <c r="G10" s="114" cm="1">
        <f t="array" ref="G10">SUMPRODUCT($C$5:$C$28,IFERROR(INDEX(ตารางรวม!$J:$J,MATCH($A$5:$A$28&amp;Lists!$S$2&amp;"16 oz"&amp;Lists!$S$2&amp;"50%",ตารางรวม!$Z:$Z,0)),0))+SUMPRODUCT($D$5:$D$28,IFERROR(INDEX(ตารางรวม!$J:$J,MATCH($A$5:$A$28&amp;Lists!$S$2&amp;"20 oz"&amp;Lists!$S$2&amp;"50%",ตารางรวม!$Z:$Z,0)),0))+SUMPRODUCT($E$5:$E$28,IFERROR(INDEX(ตารางรวม!$J:$J,MATCH($A$5:$A$28&amp;Lists!$S$2&amp;"22 oz"&amp;Lists!$S$2&amp;"50%",ตารางรวม!$Z:$Z,0)),0))</f>
        <v>0</v>
      </c>
      <c r="H10" s="106">
        <f>IFERROR(INDEX(tblIng[ขนาด batch มาตรฐาน],MATCH(F10,tblIng[วัตถุดิบในสูตร],0)),"")</f>
        <v>1500</v>
      </c>
      <c r="I10" s="107">
        <f t="shared" si="0"/>
        <v>0</v>
      </c>
      <c r="J10" s="106">
        <f t="shared" si="1"/>
        <v>0</v>
      </c>
      <c r="K10" s="108">
        <f>IFERROR(J10*INDEX(tblIng[ต้นทุนที่ใช้],MATCH(F10,tblIng[วัตถุดิบในสูตร],0)),0)</f>
        <v>0</v>
      </c>
    </row>
    <row r="11" spans="1:11" x14ac:dyDescent="0.25">
      <c r="A11" s="87" t="str">
        <f>IF(Lists!$A$8="","",Lists!$A$8)</f>
        <v>Thai Tea Frappe</v>
      </c>
      <c r="B11" s="87" t="str">
        <f>IF(A11="","",Lists!$B$8)</f>
        <v>ชาไทยปั่น</v>
      </c>
      <c r="C11" s="109">
        <v>0</v>
      </c>
      <c r="D11" s="109">
        <v>0</v>
      </c>
      <c r="E11" s="109">
        <v>0</v>
      </c>
      <c r="F11" s="105" t="s">
        <v>167</v>
      </c>
      <c r="G11" s="114" cm="1">
        <f t="array" ref="G11">SUMPRODUCT($C$5:$C$28,IFERROR(INDEX(ตารางรวม!$Q:$Q,MATCH($A$5:$A$28&amp;Lists!$S$2&amp;"16 oz"&amp;Lists!$S$2&amp;"50%",ตารางรวม!$Z:$Z,0)),0))+SUMPRODUCT($D$5:$D$28,IFERROR(INDEX(ตารางรวม!$Q:$Q,MATCH($A$5:$A$28&amp;Lists!$S$2&amp;"20 oz"&amp;Lists!$S$2&amp;"50%",ตารางรวม!$Z:$Z,0)),0))+SUMPRODUCT($E$5:$E$28,IFERROR(INDEX(ตารางรวม!$Q:$Q,MATCH($A$5:$A$28&amp;Lists!$S$2&amp;"22 oz"&amp;Lists!$S$2&amp;"50%",ตารางรวม!$Z:$Z,0)),0))</f>
        <v>0</v>
      </c>
      <c r="H11" s="106">
        <f>IFERROR(INDEX(tblIng[ขนาด batch มาตรฐาน],MATCH(F11,tblIng[วัตถุดิบในสูตร],0)),"")</f>
        <v>490</v>
      </c>
      <c r="I11" s="107">
        <f t="shared" si="0"/>
        <v>0</v>
      </c>
      <c r="J11" s="106">
        <f t="shared" si="1"/>
        <v>0</v>
      </c>
      <c r="K11" s="108">
        <f>IFERROR(J11*INDEX(tblIng[ต้นทุนที่ใช้],MATCH(F11,tblIng[วัตถุดิบในสูตร],0)),0)</f>
        <v>0</v>
      </c>
    </row>
    <row r="12" spans="1:11" x14ac:dyDescent="0.25">
      <c r="A12" s="87" t="str">
        <f>IF(Lists!$A$9="","",Lists!$A$9)</f>
        <v>Coconut Frappe</v>
      </c>
      <c r="B12" s="87" t="str">
        <f>IF(A12="","",Lists!$B$9)</f>
        <v>ชาไทยมะพร้าวปั่น</v>
      </c>
      <c r="C12" s="109">
        <v>0</v>
      </c>
      <c r="D12" s="109">
        <v>0</v>
      </c>
      <c r="E12" s="109">
        <v>0</v>
      </c>
      <c r="F12" s="81"/>
      <c r="G12" s="81"/>
      <c r="H12" s="81"/>
      <c r="I12" s="81"/>
      <c r="J12" s="81"/>
      <c r="K12" s="81"/>
    </row>
    <row r="13" spans="1:11" ht="25.5" x14ac:dyDescent="0.25">
      <c r="A13" s="87" t="str">
        <f>IF(Lists!$A$10="","",Lists!$A$10)</f>
        <v>Honey Milk</v>
      </c>
      <c r="B13" s="87" t="str">
        <f>IF(A13="","",Lists!$B$10)</f>
        <v>ชาไทยนมสดน้ำผึ้ง</v>
      </c>
      <c r="C13" s="109">
        <v>0</v>
      </c>
      <c r="D13" s="109">
        <v>0</v>
      </c>
      <c r="E13" s="109">
        <v>0</v>
      </c>
      <c r="F13" s="81"/>
      <c r="G13" s="81" t="s">
        <v>792</v>
      </c>
      <c r="H13" s="81"/>
      <c r="I13" s="81"/>
      <c r="J13" s="81"/>
      <c r="K13" s="81"/>
    </row>
    <row r="14" spans="1:11" ht="25.5" x14ac:dyDescent="0.25">
      <c r="A14" s="87" t="str">
        <f>IF(Lists!$A$11="","",Lists!$A$11)</f>
        <v>Coconut Tea</v>
      </c>
      <c r="B14" s="87" t="str">
        <f>IF(A14="","",Lists!$B$11)</f>
        <v>ชาไทยมะพร้าวน้ำหอม (เย็น)</v>
      </c>
      <c r="C14" s="109">
        <v>0</v>
      </c>
      <c r="D14" s="109">
        <v>0</v>
      </c>
      <c r="E14" s="109">
        <v>0</v>
      </c>
      <c r="F14" s="81"/>
      <c r="G14" s="81" t="s">
        <v>793</v>
      </c>
      <c r="H14" s="103">
        <v>0.1</v>
      </c>
      <c r="I14" s="81"/>
      <c r="J14" s="81"/>
      <c r="K14" s="81"/>
    </row>
    <row r="15" spans="1:11" x14ac:dyDescent="0.25">
      <c r="A15" s="87" t="str">
        <f>IF(Lists!$A$12="","",Lists!$A$12)</f>
        <v>Lemon Tea</v>
      </c>
      <c r="B15" s="87" t="str">
        <f>IF(A15="","",Lists!$B$12)</f>
        <v>ชามะนาว</v>
      </c>
      <c r="C15" s="109">
        <v>0</v>
      </c>
      <c r="D15" s="109">
        <v>0</v>
      </c>
      <c r="E15" s="109">
        <v>0</v>
      </c>
      <c r="F15" s="81"/>
      <c r="G15" s="81"/>
      <c r="H15" s="81"/>
      <c r="I15" s="81"/>
      <c r="J15" s="81"/>
      <c r="K15" s="81"/>
    </row>
    <row r="16" spans="1:11" x14ac:dyDescent="0.25">
      <c r="A16" s="87" t="str">
        <f>IF(Lists!$A$13="","",Lists!$A$13)</f>
        <v>Green Tea</v>
      </c>
      <c r="B16" s="87" t="str">
        <f>IF(A16="","",Lists!$B$13)</f>
        <v>ชาเขียวเย็น</v>
      </c>
      <c r="C16" s="109">
        <v>0</v>
      </c>
      <c r="D16" s="109">
        <v>0</v>
      </c>
      <c r="E16" s="109">
        <v>0</v>
      </c>
      <c r="F16" s="81"/>
      <c r="G16" s="81"/>
      <c r="H16" s="81"/>
      <c r="I16" s="81"/>
      <c r="J16" s="81"/>
      <c r="K16" s="81"/>
    </row>
    <row r="17" spans="1:11" x14ac:dyDescent="0.25">
      <c r="A17" s="87" t="str">
        <f>IF(Lists!$A$14="","",Lists!$A$14)</f>
        <v>Green Coconut</v>
      </c>
      <c r="B17" s="87" t="str">
        <f>IF(A17="","",Lists!$B$14)</f>
        <v>ชาเขียวมะพร้าว</v>
      </c>
      <c r="C17" s="109">
        <v>0</v>
      </c>
      <c r="D17" s="109">
        <v>0</v>
      </c>
      <c r="E17" s="109">
        <v>0</v>
      </c>
      <c r="F17" s="81"/>
      <c r="G17" s="81"/>
      <c r="H17" s="81"/>
      <c r="I17" s="81"/>
      <c r="J17" s="81"/>
      <c r="K17" s="81"/>
    </row>
    <row r="18" spans="1:11" x14ac:dyDescent="0.25">
      <c r="A18" s="87" t="str">
        <f>IF(Lists!$A$15="","",Lists!$A$15)</f>
        <v>Green Honey Milk</v>
      </c>
      <c r="B18" s="87" t="str">
        <f>IF(A18="","",Lists!$B$15)</f>
        <v>ชาเขียวนมสดน้ำผึ้ง</v>
      </c>
      <c r="C18" s="109">
        <v>0</v>
      </c>
      <c r="D18" s="109">
        <v>0</v>
      </c>
      <c r="E18" s="109">
        <v>0</v>
      </c>
      <c r="F18" s="81"/>
      <c r="G18" s="81"/>
      <c r="H18" s="81"/>
      <c r="I18" s="81"/>
      <c r="J18" s="81"/>
      <c r="K18" s="81"/>
    </row>
    <row r="19" spans="1:11" x14ac:dyDescent="0.25">
      <c r="A19" s="87" t="str">
        <f>IF(Lists!$A$16="","",Lists!$A$16)</f>
        <v>Green Berry Soda</v>
      </c>
      <c r="B19" s="87" t="str">
        <f>IF(A19="","",Lists!$B$16)</f>
        <v>ชาเขียวสตรอว์เบอร์รี่โซดา</v>
      </c>
      <c r="C19" s="109">
        <v>0</v>
      </c>
      <c r="D19" s="109">
        <v>0</v>
      </c>
      <c r="E19" s="109">
        <v>0</v>
      </c>
      <c r="F19" s="81"/>
      <c r="G19" s="81"/>
      <c r="H19" s="81"/>
      <c r="I19" s="81"/>
      <c r="J19" s="81"/>
      <c r="K19" s="81"/>
    </row>
    <row r="20" spans="1:11" x14ac:dyDescent="0.25">
      <c r="A20" s="87" t="str">
        <f>IF(Lists!$A$17="","",Lists!$A$17)</f>
        <v>Green Tea Frappe</v>
      </c>
      <c r="B20" s="87" t="str">
        <f>IF(A20="","",Lists!$B$17)</f>
        <v>ชาเขียวปั่น</v>
      </c>
      <c r="C20" s="109">
        <v>0</v>
      </c>
      <c r="D20" s="109">
        <v>0</v>
      </c>
      <c r="E20" s="109">
        <v>0</v>
      </c>
      <c r="F20" s="81"/>
      <c r="G20" s="81"/>
      <c r="H20" s="81"/>
      <c r="I20" s="81"/>
      <c r="J20" s="81"/>
      <c r="K20" s="81"/>
    </row>
    <row r="21" spans="1:11" x14ac:dyDescent="0.25">
      <c r="A21" s="87" t="str">
        <f>IF(Lists!$A$18="","",Lists!$A$18)</f>
        <v>Green Latte</v>
      </c>
      <c r="B21" s="87" t="str">
        <f>IF(A21="","",Lists!$B$18)</f>
        <v>ชาเขียวนมสด (มัทฉะลาเต้)</v>
      </c>
      <c r="C21" s="109">
        <v>0</v>
      </c>
      <c r="D21" s="109">
        <v>0</v>
      </c>
      <c r="E21" s="109">
        <v>0</v>
      </c>
      <c r="F21" s="81"/>
      <c r="G21" s="81"/>
      <c r="H21" s="81"/>
      <c r="I21" s="81"/>
      <c r="J21" s="81"/>
      <c r="K21" s="81"/>
    </row>
    <row r="22" spans="1:11" x14ac:dyDescent="0.25">
      <c r="A22" s="87" t="str">
        <f>IF(Lists!$A$19="","",Lists!$A$19)</f>
        <v>Green Lemon Tea</v>
      </c>
      <c r="B22" s="87" t="str">
        <f>IF(A22="","",Lists!$B$19)</f>
        <v>ชาเขียวมะนาว</v>
      </c>
      <c r="C22" s="109">
        <v>0</v>
      </c>
      <c r="D22" s="109">
        <v>0</v>
      </c>
      <c r="E22" s="109">
        <v>0</v>
      </c>
      <c r="F22" s="81"/>
      <c r="G22" s="81"/>
      <c r="H22" s="81"/>
      <c r="I22" s="81"/>
      <c r="J22" s="81"/>
      <c r="K22" s="81"/>
    </row>
    <row r="23" spans="1:11" x14ac:dyDescent="0.25">
      <c r="A23" s="87" t="str">
        <f>IF(Lists!$A$20="","",Lists!$A$20)</f>
        <v>Green Honey Lemon</v>
      </c>
      <c r="B23" s="87" t="str">
        <f>IF(A23="","",Lists!$B$20)</f>
        <v>ชาเขียวน้ำผึ้งมะนาว</v>
      </c>
      <c r="C23" s="109">
        <v>0</v>
      </c>
      <c r="D23" s="109">
        <v>0</v>
      </c>
      <c r="E23" s="109">
        <v>0</v>
      </c>
      <c r="F23" s="81"/>
      <c r="G23" s="81"/>
      <c r="H23" s="81"/>
      <c r="I23" s="81"/>
      <c r="J23" s="81"/>
      <c r="K23" s="81"/>
    </row>
    <row r="24" spans="1:11" x14ac:dyDescent="0.25">
      <c r="A24" s="87" t="str">
        <f>IF(Lists!$A$21="","",Lists!$A$21)</f>
        <v>Green Cream Cheese</v>
      </c>
      <c r="B24" s="87" t="str">
        <f>IF(A24="","",Lists!$B$21)</f>
        <v>ชาเขียวครีมชีสโฟม</v>
      </c>
      <c r="C24" s="109">
        <v>0</v>
      </c>
      <c r="D24" s="109">
        <v>0</v>
      </c>
      <c r="E24" s="109">
        <v>0</v>
      </c>
      <c r="F24" s="81"/>
      <c r="G24" s="81"/>
      <c r="H24" s="81"/>
      <c r="I24" s="81"/>
      <c r="J24" s="81"/>
      <c r="K24" s="81"/>
    </row>
    <row r="25" spans="1:11" x14ac:dyDescent="0.25">
      <c r="A25" s="87" t="str">
        <f>IF(Lists!$A$22="","",Lists!$A$22)</f>
        <v>Pure Matcha Premium</v>
      </c>
      <c r="B25" s="87" t="str">
        <f>IF(A25="","",Lists!$B$22)</f>
        <v>เพียวมัทฉะ (มัทฉะน้ำใส)</v>
      </c>
      <c r="C25" s="109">
        <v>0</v>
      </c>
      <c r="D25" s="109">
        <v>0</v>
      </c>
      <c r="E25" s="109">
        <v>0</v>
      </c>
      <c r="F25" s="81"/>
      <c r="G25" s="81"/>
      <c r="H25" s="81"/>
      <c r="I25" s="81"/>
      <c r="J25" s="81"/>
      <c r="K25" s="81"/>
    </row>
    <row r="26" spans="1:11" x14ac:dyDescent="0.25">
      <c r="A26" s="87" t="str">
        <f>IF(Lists!$A$23="","",Lists!$A$23)</f>
        <v>Matcha Latte Premium</v>
      </c>
      <c r="B26" s="87" t="str">
        <f>IF(A26="","",Lists!$B$23)</f>
        <v>มัทฉะลาเต้พรีเมียม</v>
      </c>
      <c r="C26" s="109">
        <v>0</v>
      </c>
      <c r="D26" s="109">
        <v>0</v>
      </c>
      <c r="E26" s="109">
        <v>0</v>
      </c>
      <c r="F26" s="81"/>
      <c r="G26" s="81"/>
      <c r="H26" s="81"/>
      <c r="I26" s="81"/>
      <c r="J26" s="81"/>
      <c r="K26" s="81"/>
    </row>
    <row r="27" spans="1:11" x14ac:dyDescent="0.25">
      <c r="A27" s="87" t="str">
        <f>IF(Lists!$A$24="","",Lists!$A$24)</f>
        <v>Matcha Coconut Premium</v>
      </c>
      <c r="B27" s="87" t="str">
        <f>IF(A27="","",Lists!$B$24)</f>
        <v>มัทฉะน้ำมะพร้าวพรีเมียม</v>
      </c>
      <c r="C27" s="109">
        <v>0</v>
      </c>
      <c r="D27" s="109">
        <v>0</v>
      </c>
      <c r="E27" s="109">
        <v>0</v>
      </c>
      <c r="F27" s="81"/>
      <c r="G27" s="81"/>
      <c r="H27" s="81"/>
      <c r="I27" s="81"/>
      <c r="J27" s="81"/>
      <c r="K27" s="81"/>
    </row>
    <row r="28" spans="1:11" x14ac:dyDescent="0.25">
      <c r="A28" s="87" t="str">
        <f>IF(Lists!$A$25="","",Lists!$A$25)</f>
        <v>Matcha Strawberry Premium</v>
      </c>
      <c r="B28" s="87" t="str">
        <f>IF(A28="","",Lists!$B$25)</f>
        <v>สตรอว์เบอร์รี่มัทฉะลาเต้พรีเมียม</v>
      </c>
      <c r="C28" s="109"/>
      <c r="D28" s="109"/>
      <c r="E28" s="109"/>
      <c r="F28" s="81"/>
      <c r="G28" s="81"/>
      <c r="H28" s="81"/>
      <c r="I28" s="81"/>
      <c r="J28" s="81"/>
      <c r="K28" s="81"/>
    </row>
    <row r="29" spans="1:11" x14ac:dyDescent="0.25">
      <c r="A29" s="104" t="s">
        <v>786</v>
      </c>
      <c r="B29" s="104"/>
      <c r="C29" s="110">
        <f>SUM(C5:C28)</f>
        <v>0</v>
      </c>
      <c r="D29" s="110">
        <f>SUM(D5:D28)</f>
        <v>0</v>
      </c>
      <c r="E29" s="81"/>
      <c r="F29" s="81"/>
      <c r="G29" s="81"/>
      <c r="H29" s="81"/>
      <c r="I29" s="81"/>
      <c r="J29" s="81"/>
      <c r="K29" s="81"/>
    </row>
  </sheetData>
  <dataValidations count="2">
    <dataValidation type="whole" operator="greaterThanOrEqual" allowBlank="1" showInputMessage="1" showErrorMessage="1" errorTitle="ค่าไม่ถูกต้อง" error="กรอกจำนวนเต็ม ≥ 0" prompt="จำนวนเต็มเท่านั้น" sqref="C5:E28" xr:uid="{44EADCD4-CB3F-B642-A7B0-95961B987622}">
      <formula1>0</formula1>
    </dataValidation>
    <dataValidation type="decimal" operator="greaterThanOrEqual" allowBlank="1" showInputMessage="1" showErrorMessage="1" errorTitle="ค่าไม่ถูกต้อง" error="กรอกตัวเลข ≥ 0" prompt="ตัวเลขเท่านั้น" sqref="H14" xr:uid="{000AF491-C826-6742-A20B-6FB59FBD3217}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E106"/>
  <sheetViews>
    <sheetView showGridLines="0" topLeftCell="A6" zoomScaleNormal="100" workbookViewId="0">
      <selection activeCell="A34" sqref="A34:E34"/>
    </sheetView>
  </sheetViews>
  <sheetFormatPr defaultColWidth="8.7109375" defaultRowHeight="15" x14ac:dyDescent="0.25"/>
  <cols>
    <col min="1" max="1" width="40" customWidth="1"/>
    <col min="2" max="3" width="14" customWidth="1"/>
    <col min="4" max="4" width="9" customWidth="1"/>
    <col min="5" max="5" width="70" customWidth="1"/>
  </cols>
  <sheetData>
    <row r="1" spans="1:5" ht="25.5" customHeight="1" x14ac:dyDescent="0.3">
      <c r="A1" s="149" t="s">
        <v>83</v>
      </c>
      <c r="B1" s="149"/>
      <c r="C1" s="149"/>
      <c r="D1" s="149"/>
      <c r="E1" s="149"/>
    </row>
    <row r="2" spans="1:5" x14ac:dyDescent="0.25">
      <c r="A2" s="48" t="s">
        <v>84</v>
      </c>
      <c r="B2" s="49"/>
      <c r="C2" s="49"/>
      <c r="D2" s="49"/>
      <c r="E2" s="49"/>
    </row>
    <row r="3" spans="1:5" x14ac:dyDescent="0.25">
      <c r="A3" s="67" t="s">
        <v>85</v>
      </c>
      <c r="B3" s="49"/>
      <c r="C3" s="49"/>
      <c r="D3" s="49"/>
      <c r="E3" s="49"/>
    </row>
    <row r="4" spans="1:5" x14ac:dyDescent="0.25">
      <c r="A4" s="49"/>
      <c r="B4" s="49"/>
      <c r="C4" s="49"/>
      <c r="D4" s="49"/>
      <c r="E4" s="49"/>
    </row>
    <row r="5" spans="1:5" x14ac:dyDescent="0.25">
      <c r="A5" s="156" t="s">
        <v>870</v>
      </c>
      <c r="B5" s="156"/>
      <c r="C5" s="156"/>
      <c r="D5" s="156"/>
      <c r="E5" s="156"/>
    </row>
    <row r="6" spans="1:5" x14ac:dyDescent="0.25">
      <c r="A6" s="153" t="s">
        <v>871</v>
      </c>
      <c r="B6" s="153"/>
      <c r="C6" s="153"/>
      <c r="D6" s="153"/>
      <c r="E6" s="153"/>
    </row>
    <row r="7" spans="1:5" x14ac:dyDescent="0.25">
      <c r="A7" s="153" t="s">
        <v>872</v>
      </c>
      <c r="B7" s="153"/>
      <c r="C7" s="153"/>
      <c r="D7" s="153"/>
      <c r="E7" s="153"/>
    </row>
    <row r="8" spans="1:5" x14ac:dyDescent="0.25">
      <c r="A8" s="68" t="s">
        <v>86</v>
      </c>
      <c r="B8" s="69">
        <v>3000</v>
      </c>
      <c r="C8" s="122">
        <v>600</v>
      </c>
      <c r="D8" s="56" t="s">
        <v>13</v>
      </c>
      <c r="E8" s="71" t="str">
        <f>"ตัวคูณ "&amp;TEXT($C$8/$B$8,"0.00")&amp;" เท่า  ←  แก้ตัวเลขในช่องเหลือง (ค่ามาตรฐาน 3,000 ml)"</f>
        <v>ตัวคูณ 0.20 เท่า  ←  แก้ตัวเลขในช่องเหลือง (ค่ามาตรฐาน 3,000 ml)</v>
      </c>
    </row>
    <row r="9" spans="1:5" x14ac:dyDescent="0.25">
      <c r="A9" s="72" t="s">
        <v>87</v>
      </c>
      <c r="B9" s="72" t="s">
        <v>88</v>
      </c>
      <c r="C9" s="72" t="s">
        <v>89</v>
      </c>
      <c r="D9" s="72" t="s">
        <v>11</v>
      </c>
      <c r="E9" s="72" t="s">
        <v>90</v>
      </c>
    </row>
    <row r="10" spans="1:5" x14ac:dyDescent="0.25">
      <c r="A10" s="54" t="s">
        <v>868</v>
      </c>
      <c r="B10" s="123">
        <f>ROUND($B$16*$B$17,0)</f>
        <v>180</v>
      </c>
      <c r="C10" s="74">
        <f>ROUND($B10*$C$8/$B$8,2)</f>
        <v>36</v>
      </c>
      <c r="D10" s="54" t="s">
        <v>21</v>
      </c>
      <c r="E10" s="54" t="s">
        <v>873</v>
      </c>
    </row>
    <row r="11" spans="1:5" x14ac:dyDescent="0.25">
      <c r="A11" s="54" t="s">
        <v>91</v>
      </c>
      <c r="B11" s="123">
        <f>$B$16-$B$10</f>
        <v>120</v>
      </c>
      <c r="C11" s="74">
        <f>ROUND($B11*$C$8/$B$8,2)</f>
        <v>24</v>
      </c>
      <c r="D11" s="54" t="s">
        <v>21</v>
      </c>
      <c r="E11" s="54" t="s">
        <v>874</v>
      </c>
    </row>
    <row r="12" spans="1:5" x14ac:dyDescent="0.25">
      <c r="A12" s="54" t="s">
        <v>92</v>
      </c>
      <c r="B12" s="124">
        <v>3300</v>
      </c>
      <c r="C12" s="74">
        <f>ROUND($B12*$C$8/$B$8,2)</f>
        <v>660</v>
      </c>
      <c r="D12" s="54" t="s">
        <v>13</v>
      </c>
      <c r="E12" s="54" t="s">
        <v>875</v>
      </c>
    </row>
    <row r="13" spans="1:5" x14ac:dyDescent="0.25">
      <c r="A13" s="54" t="s">
        <v>876</v>
      </c>
      <c r="B13" s="124">
        <v>0</v>
      </c>
      <c r="C13" s="74">
        <f>ROUND($B13*$C$8/$B$8,2)</f>
        <v>0</v>
      </c>
      <c r="D13" s="54" t="s">
        <v>21</v>
      </c>
      <c r="E13" s="54" t="s">
        <v>877</v>
      </c>
    </row>
    <row r="14" spans="1:5" x14ac:dyDescent="0.25">
      <c r="A14" s="54" t="s">
        <v>878</v>
      </c>
      <c r="B14" s="123">
        <f>$B$10+$B$11</f>
        <v>300</v>
      </c>
      <c r="C14" s="74">
        <f>ROUND($B14*$C$8/$B$8,2)</f>
        <v>60</v>
      </c>
      <c r="D14" s="54" t="s">
        <v>21</v>
      </c>
      <c r="E14" s="54" t="s">
        <v>879</v>
      </c>
    </row>
    <row r="15" spans="1:5" x14ac:dyDescent="0.25">
      <c r="A15" s="26" t="s">
        <v>880</v>
      </c>
      <c r="B15" s="120"/>
      <c r="C15" s="121"/>
      <c r="D15" s="4"/>
      <c r="E15" s="4"/>
    </row>
    <row r="16" spans="1:5" x14ac:dyDescent="0.25">
      <c r="A16" s="4" t="s">
        <v>881</v>
      </c>
      <c r="B16" s="125">
        <v>300</v>
      </c>
      <c r="C16" s="121">
        <v>60</v>
      </c>
      <c r="D16" s="4" t="s">
        <v>21</v>
      </c>
      <c r="E16" s="4" t="s">
        <v>882</v>
      </c>
    </row>
    <row r="17" spans="1:5" x14ac:dyDescent="0.25">
      <c r="A17" s="4" t="s">
        <v>883</v>
      </c>
      <c r="B17" s="126">
        <v>0.6</v>
      </c>
      <c r="C17" s="121">
        <v>60</v>
      </c>
      <c r="D17" s="4" t="s">
        <v>884</v>
      </c>
      <c r="E17" s="4" t="s">
        <v>885</v>
      </c>
    </row>
    <row r="18" spans="1:5" x14ac:dyDescent="0.25">
      <c r="A18" s="153" t="s">
        <v>886</v>
      </c>
      <c r="B18" s="153"/>
      <c r="C18" s="153"/>
      <c r="D18" s="153"/>
      <c r="E18" s="153"/>
    </row>
    <row r="19" spans="1:5" x14ac:dyDescent="0.25">
      <c r="A19" s="153" t="s">
        <v>887</v>
      </c>
      <c r="B19" s="153"/>
      <c r="C19" s="153"/>
      <c r="D19" s="153"/>
      <c r="E19" s="153"/>
    </row>
    <row r="20" spans="1:5" x14ac:dyDescent="0.25">
      <c r="A20" s="153" t="s">
        <v>888</v>
      </c>
      <c r="B20" s="153"/>
      <c r="C20" s="153"/>
      <c r="D20" s="153"/>
      <c r="E20" s="153"/>
    </row>
    <row r="21" spans="1:5" x14ac:dyDescent="0.25">
      <c r="A21" s="49"/>
      <c r="B21" s="49"/>
      <c r="C21" s="49"/>
      <c r="D21" s="49"/>
      <c r="E21" s="49"/>
    </row>
    <row r="22" spans="1:5" x14ac:dyDescent="0.25">
      <c r="A22" s="156" t="s">
        <v>1194</v>
      </c>
      <c r="B22" s="156"/>
      <c r="C22" s="156"/>
      <c r="D22" s="156"/>
      <c r="E22" s="156"/>
    </row>
    <row r="23" spans="1:5" x14ac:dyDescent="0.25">
      <c r="A23" s="153" t="s">
        <v>1195</v>
      </c>
      <c r="B23" s="153"/>
      <c r="C23" s="153"/>
      <c r="D23" s="153"/>
      <c r="E23" s="153"/>
    </row>
    <row r="24" spans="1:5" x14ac:dyDescent="0.25">
      <c r="A24" s="192" t="s">
        <v>1196</v>
      </c>
      <c r="B24" s="192"/>
      <c r="C24" s="192"/>
      <c r="D24" s="192"/>
      <c r="E24" s="192"/>
    </row>
    <row r="25" spans="1:5" x14ac:dyDescent="0.25">
      <c r="A25" s="68" t="s">
        <v>86</v>
      </c>
      <c r="B25" s="69">
        <v>3000</v>
      </c>
      <c r="C25" s="70">
        <v>3000</v>
      </c>
      <c r="D25" s="56" t="s">
        <v>13</v>
      </c>
      <c r="E25" s="71" t="str">
        <f>"ตัวคูณ "&amp;TEXT($C$25/$B$25,"0.00")&amp;" เท่า  ←  แก้ตัวเลขในช่องเหลือง (ค่ามาตรฐาน 3,000 ml)"</f>
        <v>ตัวคูณ 1.00 เท่า  ←  แก้ตัวเลขในช่องเหลือง (ค่ามาตรฐาน 3,000 ml)</v>
      </c>
    </row>
    <row r="26" spans="1:5" x14ac:dyDescent="0.25">
      <c r="A26" s="72" t="s">
        <v>87</v>
      </c>
      <c r="B26" s="72" t="s">
        <v>88</v>
      </c>
      <c r="C26" s="72" t="s">
        <v>89</v>
      </c>
      <c r="D26" s="72" t="s">
        <v>11</v>
      </c>
      <c r="E26" s="72" t="s">
        <v>90</v>
      </c>
    </row>
    <row r="27" spans="1:5" x14ac:dyDescent="0.25">
      <c r="A27" s="54" t="s">
        <v>1197</v>
      </c>
      <c r="B27" s="73">
        <f>ROUND($B$34*$B$35,0)</f>
        <v>144</v>
      </c>
      <c r="C27" s="74">
        <f>ROUND($B27*$C$25/$B$25,2)</f>
        <v>144</v>
      </c>
      <c r="D27" s="54" t="s">
        <v>21</v>
      </c>
      <c r="E27" s="54" t="s">
        <v>1198</v>
      </c>
    </row>
    <row r="28" spans="1:5" x14ac:dyDescent="0.25">
      <c r="A28" s="54" t="s">
        <v>1191</v>
      </c>
      <c r="B28" s="73">
        <f>$B$34-$B$27</f>
        <v>96</v>
      </c>
      <c r="C28" s="74">
        <f>ROUND($B28*$C$25/$B$25,2)</f>
        <v>96</v>
      </c>
      <c r="D28" s="54" t="s">
        <v>21</v>
      </c>
      <c r="E28" s="54" t="s">
        <v>1199</v>
      </c>
    </row>
    <row r="29" spans="1:5" x14ac:dyDescent="0.25">
      <c r="A29" s="54" t="s">
        <v>95</v>
      </c>
      <c r="B29" s="73">
        <v>3250</v>
      </c>
      <c r="C29" s="74">
        <f>ROUND($B29*$C$25/$B$25,2)</f>
        <v>3250</v>
      </c>
      <c r="D29" s="54" t="s">
        <v>13</v>
      </c>
      <c r="E29" s="54" t="s">
        <v>1200</v>
      </c>
    </row>
    <row r="30" spans="1:5" x14ac:dyDescent="0.25">
      <c r="A30" s="54" t="s">
        <v>1201</v>
      </c>
      <c r="B30" s="73">
        <v>0</v>
      </c>
      <c r="C30" s="74">
        <f>ROUND($B30*$C$25/$B$25,2)</f>
        <v>0</v>
      </c>
      <c r="D30" s="54" t="s">
        <v>21</v>
      </c>
      <c r="E30" s="54" t="s">
        <v>1202</v>
      </c>
    </row>
    <row r="31" spans="1:5" x14ac:dyDescent="0.25">
      <c r="A31" s="54" t="s">
        <v>876</v>
      </c>
      <c r="B31" s="73">
        <v>0</v>
      </c>
      <c r="C31" s="74">
        <f>ROUND($B31*$C$25/$B$25,2)</f>
        <v>0</v>
      </c>
      <c r="D31" s="54" t="s">
        <v>21</v>
      </c>
      <c r="E31" s="54" t="s">
        <v>1203</v>
      </c>
    </row>
    <row r="32" spans="1:5" x14ac:dyDescent="0.25">
      <c r="A32" s="54" t="s">
        <v>1204</v>
      </c>
      <c r="B32" s="123">
        <f>$B$27+$B$28</f>
        <v>240</v>
      </c>
      <c r="C32" s="74">
        <f>ROUND($B32*$C$25/$B$25,2)</f>
        <v>240</v>
      </c>
      <c r="D32" s="54" t="s">
        <v>21</v>
      </c>
      <c r="E32" s="54" t="s">
        <v>879</v>
      </c>
    </row>
    <row r="33" spans="1:5" x14ac:dyDescent="0.25">
      <c r="A33" s="193" t="s">
        <v>880</v>
      </c>
      <c r="B33" s="193"/>
      <c r="C33" s="193"/>
      <c r="D33" s="193"/>
      <c r="E33" s="193"/>
    </row>
    <row r="34" spans="1:5" x14ac:dyDescent="0.25">
      <c r="A34" s="4" t="s">
        <v>1205</v>
      </c>
      <c r="B34" s="125">
        <v>240</v>
      </c>
      <c r="C34" s="121"/>
      <c r="D34" s="4" t="s">
        <v>21</v>
      </c>
      <c r="E34" s="4" t="s">
        <v>1206</v>
      </c>
    </row>
    <row r="35" spans="1:5" x14ac:dyDescent="0.25">
      <c r="A35" s="4" t="s">
        <v>1207</v>
      </c>
      <c r="B35" s="126">
        <v>0.6</v>
      </c>
      <c r="C35" s="121"/>
      <c r="D35" s="4" t="s">
        <v>884</v>
      </c>
      <c r="E35" s="4" t="s">
        <v>1208</v>
      </c>
    </row>
    <row r="36" spans="1:5" x14ac:dyDescent="0.25">
      <c r="A36" s="153" t="s">
        <v>1209</v>
      </c>
      <c r="B36" s="153"/>
      <c r="C36" s="153"/>
      <c r="D36" s="153"/>
      <c r="E36" s="153"/>
    </row>
    <row r="37" spans="1:5" x14ac:dyDescent="0.25">
      <c r="A37" s="153" t="s">
        <v>1210</v>
      </c>
      <c r="B37" s="153"/>
      <c r="C37" s="153"/>
      <c r="D37" s="153"/>
      <c r="E37" s="153"/>
    </row>
    <row r="38" spans="1:5" x14ac:dyDescent="0.25">
      <c r="A38" s="153" t="s">
        <v>1211</v>
      </c>
      <c r="B38" s="153"/>
      <c r="C38" s="153"/>
      <c r="D38" s="153"/>
      <c r="E38" s="153"/>
    </row>
    <row r="40" spans="1:5" x14ac:dyDescent="0.25">
      <c r="A40" s="156" t="s">
        <v>96</v>
      </c>
      <c r="B40" s="156"/>
      <c r="C40" s="156"/>
      <c r="D40" s="156"/>
      <c r="E40" s="156"/>
    </row>
    <row r="41" spans="1:5" x14ac:dyDescent="0.25">
      <c r="A41" s="153" t="s">
        <v>97</v>
      </c>
      <c r="B41" s="153"/>
      <c r="C41" s="153"/>
      <c r="D41" s="153"/>
      <c r="E41" s="153"/>
    </row>
    <row r="42" spans="1:5" x14ac:dyDescent="0.25">
      <c r="A42" s="68" t="s">
        <v>86</v>
      </c>
      <c r="B42" s="69">
        <v>1000</v>
      </c>
      <c r="C42" s="70">
        <v>1000</v>
      </c>
      <c r="D42" s="56" t="s">
        <v>13</v>
      </c>
      <c r="E42" s="71" t="str">
        <f>"ตัวคูณ "&amp;TEXT($C$42/$B$42,"0.00")&amp;" เท่า  ←  แก้ตัวเลขในช่องเหลือง (ค่ามาตรฐาน 1,000 ml)"</f>
        <v>ตัวคูณ 1.00 เท่า  ←  แก้ตัวเลขในช่องเหลือง (ค่ามาตรฐาน 1,000 ml)</v>
      </c>
    </row>
    <row r="43" spans="1:5" x14ac:dyDescent="0.25">
      <c r="A43" s="72" t="s">
        <v>87</v>
      </c>
      <c r="B43" s="72" t="s">
        <v>88</v>
      </c>
      <c r="C43" s="72" t="s">
        <v>89</v>
      </c>
      <c r="D43" s="72" t="s">
        <v>11</v>
      </c>
      <c r="E43" s="72" t="s">
        <v>90</v>
      </c>
    </row>
    <row r="44" spans="1:5" x14ac:dyDescent="0.25">
      <c r="A44" s="54" t="s">
        <v>98</v>
      </c>
      <c r="B44" s="73">
        <v>700</v>
      </c>
      <c r="C44" s="74">
        <f>ROUND($B44*$C$42/$B$42,2)</f>
        <v>700</v>
      </c>
      <c r="D44" s="54" t="s">
        <v>13</v>
      </c>
      <c r="E44" s="54" t="s">
        <v>99</v>
      </c>
    </row>
    <row r="45" spans="1:5" x14ac:dyDescent="0.25">
      <c r="A45" s="54" t="s">
        <v>100</v>
      </c>
      <c r="B45" s="73">
        <v>180</v>
      </c>
      <c r="C45" s="74">
        <f>ROUND($B45*$C$42/$B$42,2)</f>
        <v>180</v>
      </c>
      <c r="D45" s="54" t="s">
        <v>13</v>
      </c>
      <c r="E45" s="54" t="s">
        <v>101</v>
      </c>
    </row>
    <row r="46" spans="1:5" x14ac:dyDescent="0.25">
      <c r="A46" s="54" t="s">
        <v>102</v>
      </c>
      <c r="B46" s="73">
        <v>100</v>
      </c>
      <c r="C46" s="74">
        <f>ROUND($B46*$C$42/$B$42,2)</f>
        <v>100</v>
      </c>
      <c r="D46" s="54" t="s">
        <v>13</v>
      </c>
      <c r="E46" s="54" t="s">
        <v>103</v>
      </c>
    </row>
    <row r="47" spans="1:5" x14ac:dyDescent="0.25">
      <c r="A47" s="54" t="s">
        <v>94</v>
      </c>
      <c r="B47" s="73">
        <v>1.5</v>
      </c>
      <c r="C47" s="74">
        <f>ROUND($B47*$C$42/$B$42,2)</f>
        <v>1.5</v>
      </c>
      <c r="D47" s="54" t="s">
        <v>21</v>
      </c>
      <c r="E47" s="54" t="s">
        <v>104</v>
      </c>
    </row>
    <row r="48" spans="1:5" x14ac:dyDescent="0.25">
      <c r="A48" s="153" t="s">
        <v>105</v>
      </c>
      <c r="B48" s="153"/>
      <c r="C48" s="153"/>
      <c r="D48" s="153"/>
      <c r="E48" s="153"/>
    </row>
    <row r="49" spans="1:5" x14ac:dyDescent="0.25">
      <c r="A49" s="153" t="s">
        <v>106</v>
      </c>
      <c r="B49" s="153"/>
      <c r="C49" s="153"/>
      <c r="D49" s="153"/>
      <c r="E49" s="153"/>
    </row>
    <row r="50" spans="1:5" x14ac:dyDescent="0.25">
      <c r="A50" s="49"/>
      <c r="B50" s="49"/>
      <c r="C50" s="49"/>
      <c r="D50" s="49"/>
      <c r="E50" s="49"/>
    </row>
    <row r="51" spans="1:5" x14ac:dyDescent="0.25">
      <c r="A51" s="156" t="s">
        <v>107</v>
      </c>
      <c r="B51" s="156"/>
      <c r="C51" s="156"/>
      <c r="D51" s="156"/>
      <c r="E51" s="156"/>
    </row>
    <row r="52" spans="1:5" x14ac:dyDescent="0.25">
      <c r="A52" s="153" t="s">
        <v>108</v>
      </c>
      <c r="B52" s="153"/>
      <c r="C52" s="153"/>
      <c r="D52" s="153"/>
      <c r="E52" s="153"/>
    </row>
    <row r="53" spans="1:5" x14ac:dyDescent="0.25">
      <c r="A53" s="68" t="s">
        <v>109</v>
      </c>
      <c r="B53" s="69">
        <v>1000</v>
      </c>
      <c r="C53" s="70">
        <v>1000</v>
      </c>
      <c r="D53" s="56" t="s">
        <v>13</v>
      </c>
      <c r="E53" s="71" t="str">
        <f>"ตัวคูณ "&amp;TEXT($C$53/$B$53,"0.00")&amp;" เท่า  ←  แก้ตัวเลขในช่องเหลือง (ค่ามาตรฐาน 1,000 ml)"</f>
        <v>ตัวคูณ 1.00 เท่า  ←  แก้ตัวเลขในช่องเหลือง (ค่ามาตรฐาน 1,000 ml)</v>
      </c>
    </row>
    <row r="54" spans="1:5" x14ac:dyDescent="0.25">
      <c r="A54" s="72" t="s">
        <v>87</v>
      </c>
      <c r="B54" s="72" t="s">
        <v>88</v>
      </c>
      <c r="C54" s="72" t="s">
        <v>89</v>
      </c>
      <c r="D54" s="72" t="s">
        <v>11</v>
      </c>
      <c r="E54" s="72" t="s">
        <v>90</v>
      </c>
    </row>
    <row r="55" spans="1:5" x14ac:dyDescent="0.25">
      <c r="A55" s="54" t="s">
        <v>16</v>
      </c>
      <c r="B55" s="73">
        <v>500</v>
      </c>
      <c r="C55" s="74">
        <f>ROUND($B55*$C$53/$B$53,2)</f>
        <v>500</v>
      </c>
      <c r="D55" s="54" t="s">
        <v>13</v>
      </c>
      <c r="E55" s="54" t="s">
        <v>110</v>
      </c>
    </row>
    <row r="56" spans="1:5" x14ac:dyDescent="0.25">
      <c r="A56" s="54" t="s">
        <v>17</v>
      </c>
      <c r="B56" s="73">
        <v>300</v>
      </c>
      <c r="C56" s="74">
        <f>ROUND($B56*$C$53/$B$53,2)</f>
        <v>300</v>
      </c>
      <c r="D56" s="54" t="s">
        <v>21</v>
      </c>
      <c r="E56" s="54" t="s">
        <v>111</v>
      </c>
    </row>
    <row r="57" spans="1:5" x14ac:dyDescent="0.25">
      <c r="A57" s="54" t="s">
        <v>112</v>
      </c>
      <c r="B57" s="73">
        <v>200</v>
      </c>
      <c r="C57" s="74">
        <f>ROUND($B57*$C$53/$B$53,2)</f>
        <v>200</v>
      </c>
      <c r="D57" s="54" t="s">
        <v>13</v>
      </c>
      <c r="E57" s="54" t="s">
        <v>113</v>
      </c>
    </row>
    <row r="58" spans="1:5" x14ac:dyDescent="0.25">
      <c r="A58" s="153" t="s">
        <v>114</v>
      </c>
      <c r="B58" s="153"/>
      <c r="C58" s="153"/>
      <c r="D58" s="153"/>
      <c r="E58" s="153"/>
    </row>
    <row r="59" spans="1:5" x14ac:dyDescent="0.25">
      <c r="A59" s="49"/>
      <c r="B59" s="49"/>
      <c r="C59" s="49"/>
      <c r="D59" s="49"/>
      <c r="E59" s="49"/>
    </row>
    <row r="60" spans="1:5" x14ac:dyDescent="0.25">
      <c r="A60" s="156" t="s">
        <v>115</v>
      </c>
      <c r="B60" s="156"/>
      <c r="C60" s="156"/>
      <c r="D60" s="156"/>
      <c r="E60" s="156"/>
    </row>
    <row r="61" spans="1:5" x14ac:dyDescent="0.25">
      <c r="A61" s="153" t="s">
        <v>116</v>
      </c>
      <c r="B61" s="153"/>
      <c r="C61" s="153"/>
      <c r="D61" s="153"/>
      <c r="E61" s="153"/>
    </row>
    <row r="62" spans="1:5" x14ac:dyDescent="0.25">
      <c r="A62" s="153" t="s">
        <v>117</v>
      </c>
      <c r="B62" s="153"/>
      <c r="C62" s="153"/>
      <c r="D62" s="153"/>
      <c r="E62" s="153"/>
    </row>
    <row r="63" spans="1:5" x14ac:dyDescent="0.25">
      <c r="A63" s="68" t="s">
        <v>109</v>
      </c>
      <c r="B63" s="69">
        <v>490</v>
      </c>
      <c r="C63" s="70">
        <v>490</v>
      </c>
      <c r="D63" s="56" t="s">
        <v>21</v>
      </c>
      <c r="E63" s="71" t="str">
        <f>"ตัวคูณ "&amp;TEXT($C$63/$B$63,"0.00")&amp;" เท่า  ←  แก้ตัวเลขในช่องเหลือง (ค่ามาตรฐาน 490 g)"</f>
        <v>ตัวคูณ 1.00 เท่า  ←  แก้ตัวเลขในช่องเหลือง (ค่ามาตรฐาน 490 g)</v>
      </c>
    </row>
    <row r="64" spans="1:5" x14ac:dyDescent="0.25">
      <c r="A64" s="72" t="s">
        <v>87</v>
      </c>
      <c r="B64" s="72" t="s">
        <v>88</v>
      </c>
      <c r="C64" s="72" t="s">
        <v>89</v>
      </c>
      <c r="D64" s="72" t="s">
        <v>11</v>
      </c>
      <c r="E64" s="72" t="s">
        <v>90</v>
      </c>
    </row>
    <row r="65" spans="1:5" x14ac:dyDescent="0.25">
      <c r="A65" s="54" t="s">
        <v>118</v>
      </c>
      <c r="B65" s="73">
        <v>100</v>
      </c>
      <c r="C65" s="74">
        <f>ROUND($B65*$C$63/$B$63,2)</f>
        <v>100</v>
      </c>
      <c r="D65" s="54" t="s">
        <v>21</v>
      </c>
      <c r="E65" s="54" t="s">
        <v>119</v>
      </c>
    </row>
    <row r="66" spans="1:5" x14ac:dyDescent="0.25">
      <c r="A66" s="54" t="s">
        <v>120</v>
      </c>
      <c r="B66" s="73">
        <v>250</v>
      </c>
      <c r="C66" s="74">
        <f>ROUND($B66*$C$63/$B$63,2)</f>
        <v>250</v>
      </c>
      <c r="D66" s="54" t="s">
        <v>13</v>
      </c>
      <c r="E66" s="54" t="s">
        <v>121</v>
      </c>
    </row>
    <row r="67" spans="1:5" x14ac:dyDescent="0.25">
      <c r="A67" s="54" t="s">
        <v>15</v>
      </c>
      <c r="B67" s="73">
        <v>100</v>
      </c>
      <c r="C67" s="74">
        <f>ROUND($B67*$C$63/$B$63,2)</f>
        <v>100</v>
      </c>
      <c r="D67" s="54" t="s">
        <v>13</v>
      </c>
      <c r="E67" s="54"/>
    </row>
    <row r="68" spans="1:5" x14ac:dyDescent="0.25">
      <c r="A68" s="54" t="s">
        <v>17</v>
      </c>
      <c r="B68" s="73">
        <v>40</v>
      </c>
      <c r="C68" s="74">
        <f>ROUND($B68*$C$63/$B$63,2)</f>
        <v>40</v>
      </c>
      <c r="D68" s="54" t="s">
        <v>21</v>
      </c>
      <c r="E68" s="54"/>
    </row>
    <row r="69" spans="1:5" x14ac:dyDescent="0.25">
      <c r="A69" s="54" t="s">
        <v>94</v>
      </c>
      <c r="B69" s="73">
        <v>2</v>
      </c>
      <c r="C69" s="74">
        <f>ROUND($B69*$C$63/$B$63,2)</f>
        <v>2</v>
      </c>
      <c r="D69" s="54" t="s">
        <v>21</v>
      </c>
      <c r="E69" s="54" t="s">
        <v>122</v>
      </c>
    </row>
    <row r="70" spans="1:5" x14ac:dyDescent="0.25">
      <c r="A70" s="153" t="s">
        <v>123</v>
      </c>
      <c r="B70" s="153"/>
      <c r="C70" s="153"/>
      <c r="D70" s="153"/>
      <c r="E70" s="153"/>
    </row>
    <row r="71" spans="1:5" x14ac:dyDescent="0.25">
      <c r="A71" s="153" t="s">
        <v>124</v>
      </c>
      <c r="B71" s="153"/>
      <c r="C71" s="153"/>
      <c r="D71" s="153"/>
      <c r="E71" s="153"/>
    </row>
    <row r="72" spans="1:5" x14ac:dyDescent="0.25">
      <c r="A72" s="153" t="s">
        <v>125</v>
      </c>
      <c r="B72" s="153"/>
      <c r="C72" s="153"/>
      <c r="D72" s="153"/>
      <c r="E72" s="153"/>
    </row>
    <row r="73" spans="1:5" x14ac:dyDescent="0.25">
      <c r="A73" s="49"/>
      <c r="B73" s="49"/>
      <c r="C73" s="49"/>
      <c r="D73" s="49"/>
      <c r="E73" s="49"/>
    </row>
    <row r="74" spans="1:5" x14ac:dyDescent="0.25">
      <c r="A74" s="156" t="s">
        <v>126</v>
      </c>
      <c r="B74" s="156"/>
      <c r="C74" s="156"/>
      <c r="D74" s="156"/>
      <c r="E74" s="156"/>
    </row>
    <row r="75" spans="1:5" x14ac:dyDescent="0.25">
      <c r="A75" s="153" t="s">
        <v>127</v>
      </c>
      <c r="B75" s="153"/>
      <c r="C75" s="153"/>
      <c r="D75" s="153"/>
      <c r="E75" s="153"/>
    </row>
    <row r="76" spans="1:5" x14ac:dyDescent="0.25">
      <c r="A76" s="68" t="s">
        <v>109</v>
      </c>
      <c r="B76" s="69">
        <v>1600</v>
      </c>
      <c r="C76" s="70">
        <v>1600</v>
      </c>
      <c r="D76" s="56" t="s">
        <v>13</v>
      </c>
      <c r="E76" s="71" t="str">
        <f>"ตัวคูณ "&amp;TEXT($C$76/$B$76,"0.00")&amp;" เท่า  ←  แก้ตัวเลขในช่องเหลือง (ค่ามาตรฐาน 1,600 ml)"</f>
        <v>ตัวคูณ 1.00 เท่า  ←  แก้ตัวเลขในช่องเหลือง (ค่ามาตรฐาน 1,600 ml)</v>
      </c>
    </row>
    <row r="77" spans="1:5" x14ac:dyDescent="0.25">
      <c r="A77" s="72" t="s">
        <v>87</v>
      </c>
      <c r="B77" s="72" t="s">
        <v>88</v>
      </c>
      <c r="C77" s="72" t="s">
        <v>89</v>
      </c>
      <c r="D77" s="72" t="s">
        <v>11</v>
      </c>
      <c r="E77" s="72" t="s">
        <v>90</v>
      </c>
    </row>
    <row r="78" spans="1:5" x14ac:dyDescent="0.25">
      <c r="A78" s="54" t="s">
        <v>93</v>
      </c>
      <c r="B78" s="73">
        <v>1000</v>
      </c>
      <c r="C78" s="74">
        <f>ROUND($B78*$C$76/$B$76,2)</f>
        <v>1000</v>
      </c>
      <c r="D78" s="54" t="s">
        <v>21</v>
      </c>
      <c r="E78" s="54" t="s">
        <v>128</v>
      </c>
    </row>
    <row r="79" spans="1:5" x14ac:dyDescent="0.25">
      <c r="A79" s="54" t="s">
        <v>129</v>
      </c>
      <c r="B79" s="73">
        <v>1000</v>
      </c>
      <c r="C79" s="74">
        <f>ROUND($B79*$C$76/$B$76,2)</f>
        <v>1000</v>
      </c>
      <c r="D79" s="54" t="s">
        <v>13</v>
      </c>
      <c r="E79" s="54"/>
    </row>
    <row r="80" spans="1:5" x14ac:dyDescent="0.25">
      <c r="A80" s="54" t="s">
        <v>94</v>
      </c>
      <c r="B80" s="73">
        <v>2</v>
      </c>
      <c r="C80" s="74">
        <f>ROUND($B80*$C$76/$B$76,2)</f>
        <v>2</v>
      </c>
      <c r="D80" s="54" t="s">
        <v>21</v>
      </c>
      <c r="E80" s="54" t="s">
        <v>130</v>
      </c>
    </row>
    <row r="81" spans="1:5" x14ac:dyDescent="0.25">
      <c r="A81" s="153" t="s">
        <v>131</v>
      </c>
      <c r="B81" s="153"/>
      <c r="C81" s="153"/>
      <c r="D81" s="153"/>
      <c r="E81" s="153"/>
    </row>
    <row r="82" spans="1:5" x14ac:dyDescent="0.25">
      <c r="A82" s="49"/>
      <c r="B82" s="49"/>
      <c r="C82" s="49"/>
      <c r="D82" s="49"/>
      <c r="E82" s="49"/>
    </row>
    <row r="83" spans="1:5" x14ac:dyDescent="0.25">
      <c r="A83" s="156" t="s">
        <v>132</v>
      </c>
      <c r="B83" s="156"/>
      <c r="C83" s="156"/>
      <c r="D83" s="156"/>
      <c r="E83" s="156"/>
    </row>
    <row r="84" spans="1:5" x14ac:dyDescent="0.25">
      <c r="A84" s="153" t="s">
        <v>133</v>
      </c>
      <c r="B84" s="153"/>
      <c r="C84" s="153"/>
      <c r="D84" s="153"/>
      <c r="E84" s="153"/>
    </row>
    <row r="85" spans="1:5" x14ac:dyDescent="0.25">
      <c r="A85" s="153" t="s">
        <v>134</v>
      </c>
      <c r="B85" s="153"/>
      <c r="C85" s="153"/>
      <c r="D85" s="153"/>
      <c r="E85" s="153"/>
    </row>
    <row r="86" spans="1:5" x14ac:dyDescent="0.25">
      <c r="A86" s="68" t="s">
        <v>109</v>
      </c>
      <c r="B86" s="69">
        <v>1500</v>
      </c>
      <c r="C86" s="70">
        <v>1500</v>
      </c>
      <c r="D86" s="56" t="s">
        <v>13</v>
      </c>
      <c r="E86" s="71" t="str">
        <f>"ตัวคูณ "&amp;TEXT($C$86/$B$86,"0.00")&amp;" เท่า  ←  แก้ตัวเลขในช่องเหลือง (ค่ามาตรฐาน 1,500 ml)"</f>
        <v>ตัวคูณ 1.00 เท่า  ←  แก้ตัวเลขในช่องเหลือง (ค่ามาตรฐาน 1,500 ml)</v>
      </c>
    </row>
    <row r="87" spans="1:5" x14ac:dyDescent="0.25">
      <c r="A87" s="72" t="s">
        <v>87</v>
      </c>
      <c r="B87" s="72" t="s">
        <v>88</v>
      </c>
      <c r="C87" s="72" t="s">
        <v>89</v>
      </c>
      <c r="D87" s="72" t="s">
        <v>11</v>
      </c>
      <c r="E87" s="72" t="s">
        <v>90</v>
      </c>
    </row>
    <row r="88" spans="1:5" x14ac:dyDescent="0.25">
      <c r="A88" s="54" t="s">
        <v>135</v>
      </c>
      <c r="B88" s="73">
        <v>1000</v>
      </c>
      <c r="C88" s="74">
        <f>ROUND($B88*$C$86/$B$86,2)</f>
        <v>1000</v>
      </c>
      <c r="D88" s="54" t="s">
        <v>13</v>
      </c>
      <c r="E88" s="54" t="s">
        <v>136</v>
      </c>
    </row>
    <row r="89" spans="1:5" x14ac:dyDescent="0.25">
      <c r="A89" s="54" t="s">
        <v>137</v>
      </c>
      <c r="B89" s="73">
        <v>500</v>
      </c>
      <c r="C89" s="74">
        <f>ROUND($B89*$C$86/$B$86,2)</f>
        <v>500</v>
      </c>
      <c r="D89" s="54" t="s">
        <v>13</v>
      </c>
      <c r="E89" s="54" t="s">
        <v>138</v>
      </c>
    </row>
    <row r="90" spans="1:5" x14ac:dyDescent="0.25">
      <c r="A90" s="49"/>
      <c r="B90" s="49"/>
      <c r="C90" s="49"/>
      <c r="D90" s="49"/>
      <c r="E90" s="49"/>
    </row>
    <row r="91" spans="1:5" x14ac:dyDescent="0.25">
      <c r="A91" s="155" t="s">
        <v>139</v>
      </c>
      <c r="B91" s="155"/>
      <c r="C91" s="155"/>
      <c r="D91" s="155"/>
      <c r="E91" s="155"/>
    </row>
    <row r="92" spans="1:5" ht="48" customHeight="1" x14ac:dyDescent="0.25">
      <c r="A92" s="26" t="s">
        <v>140</v>
      </c>
      <c r="B92" s="154" t="s">
        <v>141</v>
      </c>
      <c r="C92" s="154"/>
      <c r="D92" s="154"/>
      <c r="E92" s="154"/>
    </row>
    <row r="93" spans="1:5" ht="48" customHeight="1" x14ac:dyDescent="0.25">
      <c r="A93" s="26" t="s">
        <v>142</v>
      </c>
      <c r="B93" s="154" t="s">
        <v>143</v>
      </c>
      <c r="C93" s="154"/>
      <c r="D93" s="154"/>
      <c r="E93" s="154"/>
    </row>
    <row r="94" spans="1:5" ht="48" customHeight="1" x14ac:dyDescent="0.25">
      <c r="A94" s="26" t="s">
        <v>144</v>
      </c>
      <c r="B94" s="154" t="s">
        <v>145</v>
      </c>
      <c r="C94" s="154"/>
      <c r="D94" s="154"/>
      <c r="E94" s="154"/>
    </row>
    <row r="95" spans="1:5" ht="48" customHeight="1" x14ac:dyDescent="0.25">
      <c r="A95" s="26" t="s">
        <v>146</v>
      </c>
      <c r="B95" s="154" t="s">
        <v>147</v>
      </c>
      <c r="C95" s="154"/>
      <c r="D95" s="154"/>
      <c r="E95" s="154"/>
    </row>
    <row r="96" spans="1:5" ht="48" customHeight="1" x14ac:dyDescent="0.25">
      <c r="A96" s="26" t="s">
        <v>148</v>
      </c>
      <c r="B96" s="154" t="s">
        <v>149</v>
      </c>
      <c r="C96" s="154"/>
      <c r="D96" s="154"/>
      <c r="E96" s="154"/>
    </row>
    <row r="97" spans="1:5" ht="48" customHeight="1" x14ac:dyDescent="0.25">
      <c r="A97" s="26" t="s">
        <v>150</v>
      </c>
      <c r="B97" s="154" t="s">
        <v>151</v>
      </c>
      <c r="C97" s="154"/>
      <c r="D97" s="154"/>
      <c r="E97" s="154"/>
    </row>
    <row r="99" spans="1:5" x14ac:dyDescent="0.25">
      <c r="A99" s="157" t="s">
        <v>616</v>
      </c>
      <c r="B99" s="156"/>
      <c r="C99" s="156"/>
      <c r="D99" s="156"/>
      <c r="E99" s="156"/>
    </row>
    <row r="100" spans="1:5" x14ac:dyDescent="0.25">
      <c r="A100" s="153" t="s">
        <v>617</v>
      </c>
      <c r="B100" s="153"/>
      <c r="C100" s="153"/>
      <c r="D100" s="153"/>
      <c r="E100" s="153"/>
    </row>
    <row r="101" spans="1:5" x14ac:dyDescent="0.25">
      <c r="A101" s="153" t="s">
        <v>618</v>
      </c>
      <c r="B101" s="153"/>
      <c r="C101" s="153"/>
      <c r="D101" s="153"/>
      <c r="E101" s="153"/>
    </row>
    <row r="102" spans="1:5" x14ac:dyDescent="0.25">
      <c r="A102" s="68" t="s">
        <v>86</v>
      </c>
      <c r="B102" s="69">
        <v>300</v>
      </c>
      <c r="C102" s="70">
        <v>300</v>
      </c>
      <c r="D102" s="56" t="s">
        <v>13</v>
      </c>
      <c r="E102" s="71" t="str">
        <f>"ตัวคูณ "&amp;TEXT($C$102/$B$102,"0.00")&amp;" เท่า  ←  แก้ตัวเลขในช่องเหลือง (ค่ามาตรฐาน 300 ml = 7 แก้ว 16 oz)"</f>
        <v>ตัวคูณ 1.00 เท่า  ←  แก้ตัวเลขในช่องเหลือง (ค่ามาตรฐาน 300 ml = 7 แก้ว 16 oz)</v>
      </c>
    </row>
    <row r="103" spans="1:5" x14ac:dyDescent="0.25">
      <c r="A103" s="72" t="s">
        <v>87</v>
      </c>
      <c r="B103" s="72" t="s">
        <v>88</v>
      </c>
      <c r="C103" s="72" t="s">
        <v>89</v>
      </c>
      <c r="D103" s="72" t="s">
        <v>11</v>
      </c>
      <c r="E103" s="72" t="s">
        <v>90</v>
      </c>
    </row>
    <row r="104" spans="1:5" x14ac:dyDescent="0.25">
      <c r="A104" s="54" t="s">
        <v>619</v>
      </c>
      <c r="B104" s="73">
        <v>30</v>
      </c>
      <c r="C104" s="74">
        <f>ROUND($B104*$C$102/$B$102,2)</f>
        <v>30</v>
      </c>
      <c r="D104" s="54" t="s">
        <v>21</v>
      </c>
      <c r="E104" s="54" t="s">
        <v>620</v>
      </c>
    </row>
    <row r="105" spans="1:5" x14ac:dyDescent="0.25">
      <c r="A105" s="54" t="s">
        <v>621</v>
      </c>
      <c r="B105" s="73">
        <v>300</v>
      </c>
      <c r="C105" s="74">
        <f>ROUND($B105*$C$102/$B$102,2)</f>
        <v>300</v>
      </c>
      <c r="D105" s="54" t="s">
        <v>13</v>
      </c>
      <c r="E105" s="54" t="s">
        <v>622</v>
      </c>
    </row>
    <row r="106" spans="1:5" x14ac:dyDescent="0.25">
      <c r="A106" s="54" t="s">
        <v>623</v>
      </c>
      <c r="B106" s="73"/>
      <c r="C106" s="74"/>
      <c r="D106" s="54"/>
      <c r="E106" s="54" t="s">
        <v>624</v>
      </c>
    </row>
  </sheetData>
  <mergeCells count="43">
    <mergeCell ref="A24:E24"/>
    <mergeCell ref="A36:E36"/>
    <mergeCell ref="A38:E38"/>
    <mergeCell ref="A33:E33"/>
    <mergeCell ref="A99:E99"/>
    <mergeCell ref="A100:E100"/>
    <mergeCell ref="A101:E101"/>
    <mergeCell ref="A1:E1"/>
    <mergeCell ref="A5:E5"/>
    <mergeCell ref="A6:E6"/>
    <mergeCell ref="A7:E7"/>
    <mergeCell ref="A18:E18"/>
    <mergeCell ref="A19:E19"/>
    <mergeCell ref="A20:E20"/>
    <mergeCell ref="A22:E22"/>
    <mergeCell ref="A23:E23"/>
    <mergeCell ref="A37:E37"/>
    <mergeCell ref="A40:E40"/>
    <mergeCell ref="A41:E41"/>
    <mergeCell ref="A48:E48"/>
    <mergeCell ref="A49:E49"/>
    <mergeCell ref="A51:E51"/>
    <mergeCell ref="A52:E52"/>
    <mergeCell ref="A58:E58"/>
    <mergeCell ref="A60:E60"/>
    <mergeCell ref="A61:E61"/>
    <mergeCell ref="A62:E62"/>
    <mergeCell ref="A70:E70"/>
    <mergeCell ref="A71:E71"/>
    <mergeCell ref="A72:E72"/>
    <mergeCell ref="A74:E74"/>
    <mergeCell ref="A75:E75"/>
    <mergeCell ref="A81:E81"/>
    <mergeCell ref="A83:E83"/>
    <mergeCell ref="A84:E84"/>
    <mergeCell ref="A85:E85"/>
    <mergeCell ref="B96:E96"/>
    <mergeCell ref="B97:E97"/>
    <mergeCell ref="A91:E91"/>
    <mergeCell ref="B92:E92"/>
    <mergeCell ref="B93:E93"/>
    <mergeCell ref="B94:E94"/>
    <mergeCell ref="B95:E9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DAFCB-3700-C14F-A03A-DCCD3261F4E1}">
  <sheetPr>
    <tabColor rgb="FF4472C4"/>
  </sheetPr>
  <dimension ref="A1:K76"/>
  <sheetViews>
    <sheetView showGridLines="0" workbookViewId="0">
      <pane ySplit="5" topLeftCell="A43" activePane="bottomLeft" state="frozen"/>
      <selection activeCell="C1" sqref="C1"/>
      <selection pane="bottomLeft" activeCell="A63" sqref="A63:K70"/>
    </sheetView>
  </sheetViews>
  <sheetFormatPr defaultColWidth="10.85546875" defaultRowHeight="15" x14ac:dyDescent="0.25"/>
  <cols>
    <col min="1" max="1" width="10.42578125" customWidth="1"/>
    <col min="2" max="2" width="30.28515625" customWidth="1"/>
    <col min="3" max="3" width="12.85546875" customWidth="1"/>
    <col min="4" max="4" width="21" customWidth="1"/>
    <col min="5" max="5" width="16.28515625" customWidth="1"/>
    <col min="6" max="6" width="18.7109375" customWidth="1"/>
    <col min="7" max="7" width="16.28515625" customWidth="1"/>
    <col min="8" max="8" width="18.7109375" customWidth="1"/>
    <col min="9" max="9" width="16.28515625" customWidth="1"/>
    <col min="10" max="10" width="18.7109375" customWidth="1"/>
    <col min="11" max="11" width="80.28515625" bestFit="1" customWidth="1"/>
  </cols>
  <sheetData>
    <row r="1" spans="1:9" ht="18" x14ac:dyDescent="0.25">
      <c r="A1" s="2" t="s">
        <v>394</v>
      </c>
    </row>
    <row r="2" spans="1:9" x14ac:dyDescent="0.25">
      <c r="A2" s="3" t="s">
        <v>395</v>
      </c>
    </row>
    <row r="5" spans="1:9" ht="33.950000000000003" customHeight="1" x14ac:dyDescent="0.25">
      <c r="A5" s="5" t="s">
        <v>396</v>
      </c>
      <c r="B5" s="5" t="s">
        <v>322</v>
      </c>
      <c r="C5" s="5" t="s">
        <v>11</v>
      </c>
      <c r="D5" s="5" t="s">
        <v>397</v>
      </c>
      <c r="E5" s="5" t="s">
        <v>398</v>
      </c>
      <c r="F5" s="5" t="s">
        <v>399</v>
      </c>
      <c r="G5" s="5" t="s">
        <v>400</v>
      </c>
      <c r="H5" s="5" t="s">
        <v>401</v>
      </c>
      <c r="I5" s="5" t="s">
        <v>402</v>
      </c>
    </row>
    <row r="6" spans="1:9" x14ac:dyDescent="0.25">
      <c r="A6" s="4">
        <v>1</v>
      </c>
      <c r="B6" s="4" t="s">
        <v>12</v>
      </c>
      <c r="C6" s="4" t="s">
        <v>13</v>
      </c>
      <c r="D6" s="6">
        <v>3000</v>
      </c>
      <c r="E6" s="9">
        <f>SUMIFS(tblBOM[ต้นทุนต่อ 1 หน่วยสูตร],tblBOM[วัตถุดิบในสูตร],tblIng[[#This Row],[วัตถุดิบในสูตร]])</f>
        <v>1.9999999999999997E-2</v>
      </c>
      <c r="F6" s="12">
        <v>1.9E-2</v>
      </c>
      <c r="G6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1.9999999999999997E-2</v>
      </c>
      <c r="H6" s="10">
        <f>IFERROR(SUM(INDEX(tblSales[],0,MATCH(tblIng[[#This Row],[วัตถุดิบในสูตร]],tblSales[#Headers],0))),0)</f>
        <v>0</v>
      </c>
      <c r="I6" s="13">
        <f>IFERROR(tblIng[[#This Row],[ต้นทุนที่ใช้]]/tblIng[[#This Row],[ต้นทุนตั้งต้นต่อหน่วย (ค่าเดิม)]]-1,"")</f>
        <v>5.2631578947368363E-2</v>
      </c>
    </row>
    <row r="7" spans="1:9" x14ac:dyDescent="0.25">
      <c r="A7" s="4">
        <v>2</v>
      </c>
      <c r="B7" s="4" t="s">
        <v>14</v>
      </c>
      <c r="C7" s="4" t="s">
        <v>13</v>
      </c>
      <c r="D7" s="6">
        <v>3000</v>
      </c>
      <c r="E7" s="9">
        <f>SUMIFS(tblBOM[ต้นทุนต่อ 1 หน่วยสูตร],tblBOM[วัตถุดิบในสูตร],tblIng[[#This Row],[วัตถุดิบในสูตร]])</f>
        <v>2.43325E-2</v>
      </c>
      <c r="F7" s="12">
        <v>1.7999999999999999E-2</v>
      </c>
      <c r="G7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2.43325E-2</v>
      </c>
      <c r="H7" s="10">
        <f>IFERROR(SUM(INDEX(tblSales[],0,MATCH(tblIng[[#This Row],[วัตถุดิบในสูตร]],tblSales[#Headers],0))),0)</f>
        <v>0</v>
      </c>
      <c r="I7" s="13">
        <f>IFERROR(tblIng[[#This Row],[ต้นทุนที่ใช้]]/tblIng[[#This Row],[ต้นทุนตั้งต้นต่อหน่วย (ค่าเดิม)]]-1,"")</f>
        <v>0.3518055555555557</v>
      </c>
    </row>
    <row r="8" spans="1:9" x14ac:dyDescent="0.25">
      <c r="A8" s="4">
        <v>3</v>
      </c>
      <c r="B8" s="4" t="s">
        <v>15</v>
      </c>
      <c r="C8" s="4" t="s">
        <v>13</v>
      </c>
      <c r="D8" s="6">
        <v>1</v>
      </c>
      <c r="E8" s="9">
        <f>SUMIFS(tblBOM[ต้นทุนต่อ 1 หน่วยสูตร],tblBOM[วัตถุดิบในสูตร],tblIng[[#This Row],[วัตถุดิบในสูตร]])</f>
        <v>4.8000000000000001E-2</v>
      </c>
      <c r="F8" s="12">
        <v>4.8000000000000001E-2</v>
      </c>
      <c r="G8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4.8000000000000001E-2</v>
      </c>
      <c r="H8" s="10">
        <f>IFERROR(SUM(INDEX(tblSales[],0,MATCH(tblIng[[#This Row],[วัตถุดิบในสูตร]],tblSales[#Headers],0))),0)</f>
        <v>0</v>
      </c>
      <c r="I8" s="13">
        <f>IFERROR(tblIng[[#This Row],[ต้นทุนที่ใช้]]/tblIng[[#This Row],[ต้นทุนตั้งต้นต่อหน่วย (ค่าเดิม)]]-1,"")</f>
        <v>0</v>
      </c>
    </row>
    <row r="9" spans="1:9" x14ac:dyDescent="0.25">
      <c r="A9" s="4">
        <v>4</v>
      </c>
      <c r="B9" s="4" t="s">
        <v>16</v>
      </c>
      <c r="C9" s="4" t="s">
        <v>13</v>
      </c>
      <c r="D9" s="6">
        <v>1</v>
      </c>
      <c r="E9" s="9">
        <f>SUMIFS(tblBOM[ต้นทุนต่อ 1 หน่วยสูตร],tblBOM[วัตถุดิบในสูตร],tblIng[[#This Row],[วัตถุดิบในสูตร]])</f>
        <v>7.407407407407407E-2</v>
      </c>
      <c r="F9" s="12">
        <v>7.3999999999999996E-2</v>
      </c>
      <c r="G9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7.407407407407407E-2</v>
      </c>
      <c r="H9" s="10">
        <f>IFERROR(SUM(INDEX(tblSales[],0,MATCH(tblIng[[#This Row],[วัตถุดิบในสูตร]],tblSales[#Headers],0))),0)</f>
        <v>0</v>
      </c>
      <c r="I9" s="13">
        <f>IFERROR(tblIng[[#This Row],[ต้นทุนที่ใช้]]/tblIng[[#This Row],[ต้นทุนตั้งต้นต่อหน่วย (ค่าเดิม)]]-1,"")</f>
        <v>1.0010010010010895E-3</v>
      </c>
    </row>
    <row r="10" spans="1:9" x14ac:dyDescent="0.25">
      <c r="A10" s="4">
        <v>5</v>
      </c>
      <c r="B10" s="4" t="s">
        <v>17</v>
      </c>
      <c r="C10" s="4" t="s">
        <v>13</v>
      </c>
      <c r="D10" s="6">
        <v>1</v>
      </c>
      <c r="E10" s="9">
        <f>SUMIFS(tblBOM[ต้นทุนต่อ 1 หน่วยสูตร],tblBOM[วัตถุดิบในสูตร],tblIng[[#This Row],[วัตถุดิบในสูตร]])</f>
        <v>6.9306930693069313E-2</v>
      </c>
      <c r="F10" s="12">
        <v>7.0000000000000007E-2</v>
      </c>
      <c r="G10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6.9306930693069313E-2</v>
      </c>
      <c r="H10" s="10">
        <f>IFERROR(SUM(INDEX(tblSales[],0,MATCH(tblIng[[#This Row],[วัตถุดิบในสูตร]],tblSales[#Headers],0))),0)</f>
        <v>0</v>
      </c>
      <c r="I10" s="13">
        <f>IFERROR(tblIng[[#This Row],[ต้นทุนที่ใช้]]/tblIng[[#This Row],[ต้นทุนตั้งต้นต่อหน่วย (ค่าเดิม)]]-1,"")</f>
        <v>-9.9009900990099098E-3</v>
      </c>
    </row>
    <row r="11" spans="1:9" x14ac:dyDescent="0.25">
      <c r="A11" s="4">
        <v>6</v>
      </c>
      <c r="B11" s="4" t="s">
        <v>18</v>
      </c>
      <c r="C11" s="4" t="s">
        <v>13</v>
      </c>
      <c r="D11" s="6">
        <v>1600</v>
      </c>
      <c r="E11" s="9">
        <f>SUMIFS(tblBOM[ต้นทุนต่อ 1 หน่วยสูตร],tblBOM[วัตถุดิบในสูตร],tblIng[[#This Row],[วัตถุดิบในสูตร]])</f>
        <v>1.6743750000000002E-2</v>
      </c>
      <c r="F11" s="12">
        <v>0.03</v>
      </c>
      <c r="G11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1.6743750000000002E-2</v>
      </c>
      <c r="H11" s="10">
        <f>IFERROR(SUM(INDEX(tblSales[],0,MATCH(tblIng[[#This Row],[วัตถุดิบในสูตร]],tblSales[#Headers],0))),0)</f>
        <v>0</v>
      </c>
      <c r="I11" s="13">
        <f>IFERROR(tblIng[[#This Row],[ต้นทุนที่ใช้]]/tblIng[[#This Row],[ต้นทุนตั้งต้นต่อหน่วย (ค่าเดิม)]]-1,"")</f>
        <v>-0.44187499999999991</v>
      </c>
    </row>
    <row r="12" spans="1:9" x14ac:dyDescent="0.25">
      <c r="A12" s="4">
        <v>7</v>
      </c>
      <c r="B12" s="4" t="s">
        <v>19</v>
      </c>
      <c r="C12" s="4" t="s">
        <v>13</v>
      </c>
      <c r="D12" s="6">
        <v>1500</v>
      </c>
      <c r="E12" s="9">
        <f>SUMIFS(tblBOM[ต้นทุนต่อ 1 หน่วยสูตร],tblBOM[วัตถุดิบในสูตร],tblIng[[#This Row],[วัตถุดิบในสูตร]])</f>
        <v>0.23358333333333331</v>
      </c>
      <c r="F12" s="12">
        <v>0.23</v>
      </c>
      <c r="G12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0.23358333333333331</v>
      </c>
      <c r="H12" s="10">
        <f>IFERROR(SUM(INDEX(tblSales[],0,MATCH(tblIng[[#This Row],[วัตถุดิบในสูตร]],tblSales[#Headers],0))),0)</f>
        <v>0</v>
      </c>
      <c r="I12" s="13">
        <f>IFERROR(tblIng[[#This Row],[ต้นทุนที่ใช้]]/tblIng[[#This Row],[ต้นทุนตั้งต้นต่อหน่วย (ค่าเดิม)]]-1,"")</f>
        <v>1.5579710144927317E-2</v>
      </c>
    </row>
    <row r="13" spans="1:9" x14ac:dyDescent="0.25">
      <c r="A13" s="4">
        <v>8</v>
      </c>
      <c r="B13" s="4" t="s">
        <v>20</v>
      </c>
      <c r="C13" s="4" t="s">
        <v>21</v>
      </c>
      <c r="D13" s="6">
        <v>1</v>
      </c>
      <c r="E13" s="9">
        <f>SUMIFS(tblBOM[ต้นทุนต่อ 1 หน่วยสูตร],tblBOM[วัตถุดิบในสูตร],tblIng[[#This Row],[วัตถุดิบในสูตร]])</f>
        <v>0.6</v>
      </c>
      <c r="F13" s="12">
        <v>0.6</v>
      </c>
      <c r="G13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0.6</v>
      </c>
      <c r="H13" s="10">
        <f>IFERROR(SUM(INDEX(tblSales[],0,MATCH(tblIng[[#This Row],[วัตถุดิบในสูตร]],tblSales[#Headers],0))),0)</f>
        <v>0</v>
      </c>
      <c r="I13" s="13">
        <f>IFERROR(tblIng[[#This Row],[ต้นทุนที่ใช้]]/tblIng[[#This Row],[ต้นทุนตั้งต้นต่อหน่วย (ค่าเดิม)]]-1,"")</f>
        <v>0</v>
      </c>
    </row>
    <row r="14" spans="1:9" x14ac:dyDescent="0.25">
      <c r="A14" s="4">
        <v>9</v>
      </c>
      <c r="B14" s="4" t="s">
        <v>22</v>
      </c>
      <c r="C14" s="4" t="s">
        <v>13</v>
      </c>
      <c r="D14" s="6">
        <v>1</v>
      </c>
      <c r="E14" s="9">
        <f>SUMIFS(tblBOM[ต้นทุนต่อ 1 หน่วยสูตร],tblBOM[วัตถุดิบในสูตร],tblIng[[#This Row],[วัตถุดิบในสูตร]])</f>
        <v>5.5E-2</v>
      </c>
      <c r="F14" s="12">
        <v>5.5E-2</v>
      </c>
      <c r="G14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5.5E-2</v>
      </c>
      <c r="H14" s="10">
        <f>IFERROR(SUM(INDEX(tblSales[],0,MATCH(tblIng[[#This Row],[วัตถุดิบในสูตร]],tblSales[#Headers],0))),0)</f>
        <v>0</v>
      </c>
      <c r="I14" s="13">
        <f>IFERROR(tblIng[[#This Row],[ต้นทุนที่ใช้]]/tblIng[[#This Row],[ต้นทุนตั้งต้นต่อหน่วย (ค่าเดิม)]]-1,"")</f>
        <v>0</v>
      </c>
    </row>
    <row r="15" spans="1:9" x14ac:dyDescent="0.25">
      <c r="A15" s="4">
        <v>10</v>
      </c>
      <c r="B15" s="4" t="s">
        <v>23</v>
      </c>
      <c r="C15" s="4" t="s">
        <v>13</v>
      </c>
      <c r="D15" s="6">
        <v>1000</v>
      </c>
      <c r="E15" s="9">
        <f>SUMIFS(tblBOM[ต้นทุนต่อ 1 หน่วยสูตร],tblBOM[วัตถุดิบในสูตร],tblIng[[#This Row],[วัตถุดิบในสูตร]])</f>
        <v>7.3529999999999998E-2</v>
      </c>
      <c r="F15" s="12">
        <v>7.5999999999999998E-2</v>
      </c>
      <c r="G15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7.3529999999999998E-2</v>
      </c>
      <c r="H15" s="10">
        <f>IFERROR(SUM(INDEX(tblSales[],0,MATCH(tblIng[[#This Row],[วัตถุดิบในสูตร]],tblSales[#Headers],0))),0)</f>
        <v>0</v>
      </c>
      <c r="I15" s="13">
        <f>IFERROR(tblIng[[#This Row],[ต้นทุนที่ใช้]]/tblIng[[#This Row],[ต้นทุนตั้งต้นต่อหน่วย (ค่าเดิม)]]-1,"")</f>
        <v>-3.2499999999999973E-2</v>
      </c>
    </row>
    <row r="16" spans="1:9" x14ac:dyDescent="0.25">
      <c r="A16" s="4">
        <v>11</v>
      </c>
      <c r="B16" s="4" t="s">
        <v>24</v>
      </c>
      <c r="C16" s="4" t="s">
        <v>21</v>
      </c>
      <c r="D16" s="6">
        <v>1</v>
      </c>
      <c r="E16" s="9">
        <f>SUMIFS(tblBOM[ต้นทุนต่อ 1 หน่วยสูตร],tblBOM[วัตถุดิบในสูตร],tblIng[[#This Row],[วัตถุดิบในสูตร]])</f>
        <v>0.18</v>
      </c>
      <c r="F16" s="12">
        <v>0.18</v>
      </c>
      <c r="G16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0.18</v>
      </c>
      <c r="H16" s="10">
        <f>IFERROR(SUM(INDEX(tblSales[],0,MATCH(tblIng[[#This Row],[วัตถุดิบในสูตร]],tblSales[#Headers],0))),0)</f>
        <v>0</v>
      </c>
      <c r="I16" s="13">
        <f>IFERROR(tblIng[[#This Row],[ต้นทุนที่ใช้]]/tblIng[[#This Row],[ต้นทุนตั้งต้นต่อหน่วย (ค่าเดิม)]]-1,"")</f>
        <v>0</v>
      </c>
    </row>
    <row r="17" spans="1:11" x14ac:dyDescent="0.25">
      <c r="A17" s="4">
        <v>12</v>
      </c>
      <c r="B17" s="4" t="s">
        <v>25</v>
      </c>
      <c r="C17" s="4" t="s">
        <v>13</v>
      </c>
      <c r="D17" s="6">
        <v>1</v>
      </c>
      <c r="E17" s="9">
        <f>SUMIFS(tblBOM[ต้นทุนต่อ 1 หน่วยสูตร],tblBOM[วัตถุดิบในสูตร],tblIng[[#This Row],[วัตถุดิบในสูตร]])</f>
        <v>0.24</v>
      </c>
      <c r="F17" s="12">
        <v>0.25</v>
      </c>
      <c r="G17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0.24</v>
      </c>
      <c r="H17" s="10">
        <f>IFERROR(SUM(INDEX(tblSales[],0,MATCH(tblIng[[#This Row],[วัตถุดิบในสูตร]],tblSales[#Headers],0))),0)</f>
        <v>0</v>
      </c>
      <c r="I17" s="13">
        <f>IFERROR(tblIng[[#This Row],[ต้นทุนที่ใช้]]/tblIng[[#This Row],[ต้นทุนตั้งต้นต่อหน่วย (ค่าเดิม)]]-1,"")</f>
        <v>-4.0000000000000036E-2</v>
      </c>
      <c r="J17" s="4"/>
      <c r="K17" s="4"/>
    </row>
    <row r="18" spans="1:11" x14ac:dyDescent="0.25">
      <c r="A18" s="4">
        <v>13</v>
      </c>
      <c r="B18" s="4" t="s">
        <v>26</v>
      </c>
      <c r="C18" s="4" t="s">
        <v>13</v>
      </c>
      <c r="D18" s="6">
        <v>1</v>
      </c>
      <c r="E18" s="9">
        <f>SUMIFS(tblBOM[ต้นทุนต่อ 1 หน่วยสูตร],tblBOM[วัตถุดิบในสูตร],tblIng[[#This Row],[วัตถุดิบในสูตร]])</f>
        <v>2.1538461538461538E-2</v>
      </c>
      <c r="F18" s="12">
        <v>2.1999999999999999E-2</v>
      </c>
      <c r="G18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2.1538461538461538E-2</v>
      </c>
      <c r="H18" s="10">
        <f>IFERROR(SUM(INDEX(tblSales[],0,MATCH(tblIng[[#This Row],[วัตถุดิบในสูตร]],tblSales[#Headers],0))),0)</f>
        <v>0</v>
      </c>
      <c r="I18" s="13">
        <f>IFERROR(tblIng[[#This Row],[ต้นทุนที่ใช้]]/tblIng[[#This Row],[ต้นทุนตั้งต้นต่อหน่วย (ค่าเดิม)]]-1,"")</f>
        <v>-2.0979020979020935E-2</v>
      </c>
      <c r="J18" s="4"/>
      <c r="K18" s="4"/>
    </row>
    <row r="19" spans="1:11" x14ac:dyDescent="0.25">
      <c r="A19" s="4">
        <v>14</v>
      </c>
      <c r="B19" s="4" t="s">
        <v>167</v>
      </c>
      <c r="C19" s="4" t="s">
        <v>21</v>
      </c>
      <c r="D19" s="6">
        <v>490</v>
      </c>
      <c r="E19" s="9">
        <f>SUMIFS(tblBOM[ต้นทุนต่อ 1 หน่วยสูตร],tblBOM[วัตถุดิบในสูตร],tblIng[[#This Row],[วัตถุดิบในสูตร]])</f>
        <v>0.15839240250555667</v>
      </c>
      <c r="F19" s="12">
        <v>0.17</v>
      </c>
      <c r="G19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0.15839240250555667</v>
      </c>
      <c r="H19" s="10">
        <f>IFERROR(SUM(INDEX(tblSales[],0,MATCH(tblIng[[#This Row],[วัตถุดิบในสูตร]],tblSales[#Headers],0))),0)</f>
        <v>0</v>
      </c>
      <c r="I19" s="13">
        <f>IFERROR(tblIng[[#This Row],[ต้นทุนที่ใช้]]/tblIng[[#This Row],[ต้นทุนตั้งต้นต่อหน่วย (ค่าเดิม)]]-1,"")</f>
        <v>-6.827998526143142E-2</v>
      </c>
      <c r="J19" s="4"/>
      <c r="K19" s="4"/>
    </row>
    <row r="20" spans="1:11" x14ac:dyDescent="0.25">
      <c r="A20" s="4">
        <v>15</v>
      </c>
      <c r="B20" s="4" t="s">
        <v>28</v>
      </c>
      <c r="C20" s="4" t="s">
        <v>21</v>
      </c>
      <c r="D20" s="6">
        <v>1</v>
      </c>
      <c r="E20" s="9">
        <f>SUMIFS(tblBOM[ต้นทุนต่อ 1 หน่วยสูตร],tblBOM[วัตถุดิบในสูตร],tblIng[[#This Row],[วัตถุดิบในสูตร]])</f>
        <v>1.4E-2</v>
      </c>
      <c r="F20" s="12">
        <v>1.4E-2</v>
      </c>
      <c r="G20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1.4E-2</v>
      </c>
      <c r="H20" s="10">
        <f>IFERROR(SUM(INDEX(tblSales[],0,MATCH(tblIng[[#This Row],[วัตถุดิบในสูตร]],tblSales[#Headers],0))),0)</f>
        <v>0</v>
      </c>
      <c r="I20" s="13">
        <f>IFERROR(tblIng[[#This Row],[ต้นทุนที่ใช้]]/tblIng[[#This Row],[ต้นทุนตั้งต้นต่อหน่วย (ค่าเดิม)]]-1,"")</f>
        <v>0</v>
      </c>
      <c r="J20" s="4"/>
      <c r="K20" s="4"/>
    </row>
    <row r="21" spans="1:11" x14ac:dyDescent="0.25">
      <c r="A21" s="4">
        <v>16</v>
      </c>
      <c r="B21" s="4" t="s">
        <v>602</v>
      </c>
      <c r="C21" s="4" t="s">
        <v>13</v>
      </c>
      <c r="D21" s="6">
        <v>300</v>
      </c>
      <c r="E21" s="9">
        <f>SUMIFS(tblBOM[ต้นทุนต่อ 1 หน่วยสูตร],tblBOM[วัตถุดิบในสูตร],tblIng[[#This Row],[วัตถุดิบในสูตร]])</f>
        <v>0.95666666666666667</v>
      </c>
      <c r="F21" s="12">
        <v>0.44</v>
      </c>
      <c r="G21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0.95666666666666667</v>
      </c>
      <c r="H21" s="10">
        <f>IFERROR(SUM(INDEX(tblSales[],0,MATCH(tblIng[[#This Row],[วัตถุดิบในสูตร]],tblSales[#Headers],0))),0)</f>
        <v>0</v>
      </c>
      <c r="I21" s="13">
        <f>IFERROR(tblIng[[#This Row],[ต้นทุนที่ใช้]]/tblIng[[#This Row],[ต้นทุนตั้งต้นต่อหน่วย (ค่าเดิม)]]-1,"")</f>
        <v>1.1742424242424243</v>
      </c>
      <c r="J21" s="4"/>
      <c r="K21" s="4"/>
    </row>
    <row r="22" spans="1:11" x14ac:dyDescent="0.25">
      <c r="A22" s="4">
        <v>17</v>
      </c>
      <c r="B22" s="4" t="s">
        <v>824</v>
      </c>
      <c r="C22" s="4" t="s">
        <v>13</v>
      </c>
      <c r="D22" s="6">
        <v>1000</v>
      </c>
      <c r="E22" s="9">
        <f>SUMIFS(tblBOM[ต้นทุนต่อ 1 หน่วยสูตร],tblBOM[วัตถุดิบในสูตร],tblIng[[#This Row],[วัตถุดิบในสูตร]])</f>
        <v>2E-3</v>
      </c>
      <c r="F22" s="12">
        <v>2E-3</v>
      </c>
      <c r="G22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2E-3</v>
      </c>
      <c r="H22" s="10">
        <f>IFERROR(SUM(INDEX(tblSales[],0,MATCH(tblIng[[#This Row],[วัตถุดิบในสูตร]],tblSales[#Headers],0))),0)</f>
        <v>0</v>
      </c>
      <c r="I22" s="13">
        <f>IFERROR(tblIng[[#This Row],[ต้นทุนที่ใช้]]/tblIng[[#This Row],[ต้นทุนตั้งต้นต่อหน่วย (ค่าเดิม)]]-1,"")</f>
        <v>0</v>
      </c>
      <c r="J22" s="4"/>
      <c r="K22" s="4"/>
    </row>
    <row r="23" spans="1:11" x14ac:dyDescent="0.25">
      <c r="A23" s="4">
        <v>18</v>
      </c>
      <c r="B23" s="4" t="s">
        <v>350</v>
      </c>
      <c r="C23" s="4" t="s">
        <v>171</v>
      </c>
      <c r="D23" s="6">
        <v>1</v>
      </c>
      <c r="E23" s="9">
        <f>SUMIFS(tblBOM[ต้นทุนต่อ 1 หน่วยสูตร],tblBOM[วัตถุดิบในสูตร],tblIng[[#This Row],[วัตถุดิบในสูตร]])</f>
        <v>4</v>
      </c>
      <c r="F23" s="12">
        <v>4</v>
      </c>
      <c r="G23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4</v>
      </c>
      <c r="H23" s="10">
        <f>IFERROR(SUM(INDEX(tblSales[],0,MATCH(tblIng[[#This Row],[วัตถุดิบในสูตร]],tblSales[#Headers],0))),0)</f>
        <v>0</v>
      </c>
      <c r="I23" s="13">
        <f>IFERROR(tblIng[[#This Row],[ต้นทุนที่ใช้]]/tblIng[[#This Row],[ต้นทุนตั้งต้นต่อหน่วย (ค่าเดิม)]]-1,"")</f>
        <v>0</v>
      </c>
      <c r="J23" s="4"/>
      <c r="K23" s="4"/>
    </row>
    <row r="24" spans="1:11" x14ac:dyDescent="0.25">
      <c r="A24" s="4">
        <v>19</v>
      </c>
      <c r="B24" s="4" t="s">
        <v>351</v>
      </c>
      <c r="C24" s="4" t="s">
        <v>171</v>
      </c>
      <c r="D24" s="6">
        <v>1</v>
      </c>
      <c r="E24" s="9">
        <f>SUMIFS(tblBOM[ต้นทุนต่อ 1 หน่วยสูตร],tblBOM[วัตถุดิบในสูตร],tblIng[[#This Row],[วัตถุดิบในสูตร]])</f>
        <v>4.8</v>
      </c>
      <c r="F24" s="12">
        <v>4.8</v>
      </c>
      <c r="G24" s="9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4.8</v>
      </c>
      <c r="H24" s="10">
        <f>IFERROR(SUM(INDEX(tblSales[],0,MATCH(tblIng[[#This Row],[วัตถุดิบในสูตร]],tblSales[#Headers],0))),0)</f>
        <v>0</v>
      </c>
      <c r="I24" s="13">
        <f>IFERROR(tblIng[[#This Row],[ต้นทุนที่ใช้]]/tblIng[[#This Row],[ต้นทุนตั้งต้นต่อหน่วย (ค่าเดิม)]]-1,"")</f>
        <v>0</v>
      </c>
      <c r="J24" s="4"/>
      <c r="K24" s="4"/>
    </row>
    <row r="25" spans="1:11" x14ac:dyDescent="0.25">
      <c r="A25" s="143">
        <v>20</v>
      </c>
      <c r="B25" s="143" t="s">
        <v>1047</v>
      </c>
      <c r="C25" s="143" t="s">
        <v>171</v>
      </c>
      <c r="D25" s="137">
        <v>1</v>
      </c>
      <c r="E25" s="140">
        <f>SUMIFS(tblBOM[ต้นทุนต่อ 1 หน่วยสูตร],tblBOM[วัตถุดิบในสูตร],tblIng[[#This Row],[วัตถุดิบในสูตร]])</f>
        <v>4.5999999999999996</v>
      </c>
      <c r="F25" s="144">
        <v>4.5999999999999996</v>
      </c>
      <c r="G25" s="140">
        <f>IF(tblIng[[#This Row],[ต้นทุนคำนวณต่อหน่วย]]&gt;0,tblIng[[#This Row],[ต้นทุนคำนวณต่อหน่วย]],tblIng[[#This Row],[ต้นทุนตั้งต้นต่อหน่วย (ค่าเดิม)]])</f>
        <v>4.5999999999999996</v>
      </c>
      <c r="H25" s="141">
        <f>IFERROR(SUM(INDEX(tblSales[],0,MATCH(tblIng[[#This Row],[วัตถุดิบในสูตร]],tblSales[#Headers],0))),0)</f>
        <v>0</v>
      </c>
      <c r="I25" s="145">
        <f>IFERROR(tblIng[[#This Row],[ต้นทุนที่ใช้]]/tblIng[[#This Row],[ต้นทุนตั้งต้นต่อหน่วย (ค่าเดิม)]]-1,"")</f>
        <v>0</v>
      </c>
      <c r="J25" s="4"/>
      <c r="K25" s="4"/>
    </row>
    <row r="28" spans="1:11" x14ac:dyDescent="0.25">
      <c r="A28" t="s">
        <v>403</v>
      </c>
    </row>
    <row r="29" spans="1:11" ht="33.950000000000003" customHeight="1" x14ac:dyDescent="0.25">
      <c r="A29" s="5" t="s">
        <v>404</v>
      </c>
      <c r="B29" s="5" t="s">
        <v>322</v>
      </c>
      <c r="C29" s="5" t="s">
        <v>353</v>
      </c>
      <c r="D29" s="5" t="s">
        <v>354</v>
      </c>
      <c r="E29" s="5" t="s">
        <v>405</v>
      </c>
      <c r="F29" s="5" t="s">
        <v>11</v>
      </c>
      <c r="G29" s="5" t="s">
        <v>406</v>
      </c>
      <c r="H29" s="5" t="s">
        <v>407</v>
      </c>
      <c r="I29" s="5" t="s">
        <v>408</v>
      </c>
      <c r="J29" s="5" t="s">
        <v>409</v>
      </c>
      <c r="K29" s="5" t="s">
        <v>59</v>
      </c>
    </row>
    <row r="30" spans="1:11" x14ac:dyDescent="0.25">
      <c r="A30" s="4" t="s">
        <v>410</v>
      </c>
      <c r="B30" s="6" t="s">
        <v>12</v>
      </c>
      <c r="C30" s="6" t="s">
        <v>1005</v>
      </c>
      <c r="D30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ใบชาใต้ รินชา สูตร 3</v>
      </c>
      <c r="E30" s="14">
        <f>เบสและซับสูตร!$B$10</f>
        <v>180</v>
      </c>
      <c r="F30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0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0.06</v>
      </c>
      <c r="H30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0.19125</v>
      </c>
      <c r="I30" s="9">
        <f>IF(tblBOM[[#This Row],[รหัสสินค้า]]="","",tblBOM[[#This Row],[ปริมาณต่อ 1 หน่วยสูตร]]*tblBOM[[#This Row],[ต้นทุนสินค้าต่อหน่วยใช้]])</f>
        <v>1.1474999999999999E-2</v>
      </c>
      <c r="J30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0" s="4" t="s">
        <v>889</v>
      </c>
    </row>
    <row r="31" spans="1:11" x14ac:dyDescent="0.25">
      <c r="A31" s="4" t="s">
        <v>411</v>
      </c>
      <c r="B31" s="6" t="s">
        <v>12</v>
      </c>
      <c r="C31" s="6" t="s">
        <v>1006</v>
      </c>
      <c r="D31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ชาไทยผงปรุงสำเร็จ ฉลากแดง</v>
      </c>
      <c r="E31" s="14">
        <f>เบสและซับสูตร!$B$11</f>
        <v>120</v>
      </c>
      <c r="F31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1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0.04</v>
      </c>
      <c r="H31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0.1925</v>
      </c>
      <c r="I31" s="9">
        <f>IF(tblBOM[[#This Row],[รหัสสินค้า]]="","",tblBOM[[#This Row],[ปริมาณต่อ 1 หน่วยสูตร]]*tblBOM[[#This Row],[ต้นทุนสินค้าต่อหน่วยใช้]])</f>
        <v>7.7000000000000002E-3</v>
      </c>
      <c r="J31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1" s="4" t="s">
        <v>890</v>
      </c>
    </row>
    <row r="32" spans="1:11" x14ac:dyDescent="0.25">
      <c r="A32" s="4" t="s">
        <v>412</v>
      </c>
      <c r="B32" s="6" t="s">
        <v>12</v>
      </c>
      <c r="C32" s="6" t="s">
        <v>1007</v>
      </c>
      <c r="D32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น้ำสะอาด (กรอง/ถัง)</v>
      </c>
      <c r="E32" s="14">
        <f>เบสและซับสูตร!$B$12</f>
        <v>3300</v>
      </c>
      <c r="F32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32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1.1000000000000001</v>
      </c>
      <c r="H32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7.5000000000000002E-4</v>
      </c>
      <c r="I32" s="9">
        <f>IF(tblBOM[[#This Row],[รหัสสินค้า]]="","",tblBOM[[#This Row],[ปริมาณต่อ 1 หน่วยสูตร]]*tblBOM[[#This Row],[ต้นทุนสินค้าต่อหน่วยใช้]])</f>
        <v>8.250000000000001E-4</v>
      </c>
      <c r="J32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2" s="4" t="s">
        <v>891</v>
      </c>
    </row>
    <row r="33" spans="1:11" x14ac:dyDescent="0.25">
      <c r="A33" s="4" t="s">
        <v>413</v>
      </c>
      <c r="B33" s="6" t="s">
        <v>12</v>
      </c>
      <c r="C33" s="6" t="s">
        <v>1008</v>
      </c>
      <c r="D33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น้ำตาลทราย</v>
      </c>
      <c r="E33" s="14">
        <v>0</v>
      </c>
      <c r="F33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3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</v>
      </c>
      <c r="H33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2.5999999999999999E-2</v>
      </c>
      <c r="I33" s="9">
        <f>IF(tblBOM[[#This Row],[รหัสสินค้า]]="","",tblBOM[[#This Row],[ปริมาณต่อ 1 หน่วยสูตร]]*tblBOM[[#This Row],[ต้นทุนสินค้าต่อหน่วยใช้]])</f>
        <v>0</v>
      </c>
      <c r="J33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3" s="4" t="s">
        <v>892</v>
      </c>
    </row>
    <row r="34" spans="1:11" x14ac:dyDescent="0.25">
      <c r="A34" s="4" t="s">
        <v>414</v>
      </c>
      <c r="B34" s="6" t="s">
        <v>12</v>
      </c>
      <c r="C34" s="6" t="s">
        <v>1009</v>
      </c>
      <c r="D34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เกลือป่น</v>
      </c>
      <c r="E34" s="14">
        <f>เบสและซับสูตร!$B$13</f>
        <v>0</v>
      </c>
      <c r="F34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4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</v>
      </c>
      <c r="H34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0.02</v>
      </c>
      <c r="I34" s="9">
        <f>IF(tblBOM[[#This Row],[รหัสสินค้า]]="","",tblBOM[[#This Row],[ปริมาณต่อ 1 หน่วยสูตร]]*tblBOM[[#This Row],[ต้นทุนสินค้าต่อหน่วยใช้]])</f>
        <v>0</v>
      </c>
      <c r="J34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4" s="4" t="s">
        <v>893</v>
      </c>
    </row>
    <row r="35" spans="1:11" x14ac:dyDescent="0.25">
      <c r="A35" s="4" t="s">
        <v>415</v>
      </c>
      <c r="B35" s="6" t="s">
        <v>14</v>
      </c>
      <c r="C35" s="6" t="s">
        <v>1010</v>
      </c>
      <c r="D35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ชาเขียวผง ฉลากเขียว</v>
      </c>
      <c r="E35" s="14">
        <f>เบสและซับสูตร!$B$27</f>
        <v>144</v>
      </c>
      <c r="F35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5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4.8000000000000001E-2</v>
      </c>
      <c r="H35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0.26</v>
      </c>
      <c r="I35" s="9">
        <f>IF(tblBOM[[#This Row],[รหัสสินค้า]]="","",tblBOM[[#This Row],[ปริมาณต่อ 1 หน่วยสูตร]]*tblBOM[[#This Row],[ต้นทุนสินค้าต่อหน่วยใช้]])</f>
        <v>1.2480000000000002E-2</v>
      </c>
      <c r="J35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5" s="4" t="s">
        <v>1212</v>
      </c>
    </row>
    <row r="36" spans="1:11" x14ac:dyDescent="0.25">
      <c r="A36" s="4" t="s">
        <v>416</v>
      </c>
      <c r="B36" s="6" t="s">
        <v>14</v>
      </c>
      <c r="C36" s="6" t="s">
        <v>1011</v>
      </c>
      <c r="D36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ใบชาเขียวไม่มีกลิ่นมะลิ รินชา</v>
      </c>
      <c r="E36" s="14">
        <f>เบสและซับสูตร!$B$28</f>
        <v>96</v>
      </c>
      <c r="F36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6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3.2000000000000001E-2</v>
      </c>
      <c r="H36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0.34499999999999997</v>
      </c>
      <c r="I36" s="9">
        <f>IF(tblBOM[[#This Row],[รหัสสินค้า]]="","",tblBOM[[#This Row],[ปริมาณต่อ 1 หน่วยสูตร]]*tblBOM[[#This Row],[ต้นทุนสินค้าต่อหน่วยใช้]])</f>
        <v>1.1039999999999999E-2</v>
      </c>
      <c r="J36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6" s="4" t="s">
        <v>1213</v>
      </c>
    </row>
    <row r="37" spans="1:11" x14ac:dyDescent="0.25">
      <c r="A37" s="4" t="s">
        <v>417</v>
      </c>
      <c r="B37" s="6" t="s">
        <v>14</v>
      </c>
      <c r="C37" s="6" t="s">
        <v>1007</v>
      </c>
      <c r="D37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น้ำสะอาด (กรอง/ถัง)</v>
      </c>
      <c r="E37" s="14">
        <f>เบสและซับสูตร!$B$29</f>
        <v>3250</v>
      </c>
      <c r="F37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37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1.0833333333333333</v>
      </c>
      <c r="H37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7.5000000000000002E-4</v>
      </c>
      <c r="I37" s="9">
        <f>IF(tblBOM[[#This Row],[รหัสสินค้า]]="","",tblBOM[[#This Row],[ปริมาณต่อ 1 หน่วยสูตร]]*tblBOM[[#This Row],[ต้นทุนสินค้าต่อหน่วยใช้]])</f>
        <v>8.1249999999999996E-4</v>
      </c>
      <c r="J37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7" s="4" t="s">
        <v>1214</v>
      </c>
    </row>
    <row r="38" spans="1:11" x14ac:dyDescent="0.25">
      <c r="A38" s="4" t="s">
        <v>418</v>
      </c>
      <c r="B38" s="6" t="s">
        <v>14</v>
      </c>
      <c r="C38" s="6" t="s">
        <v>1008</v>
      </c>
      <c r="D38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น้ำตาลทราย</v>
      </c>
      <c r="E38" s="14">
        <v>0</v>
      </c>
      <c r="F38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8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</v>
      </c>
      <c r="H38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2.5999999999999999E-2</v>
      </c>
      <c r="I38" s="9">
        <f>IF(tblBOM[[#This Row],[รหัสสินค้า]]="","",tblBOM[[#This Row],[ปริมาณต่อ 1 หน่วยสูตร]]*tblBOM[[#This Row],[ต้นทุนสินค้าต่อหน่วยใช้]])</f>
        <v>0</v>
      </c>
      <c r="J38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8" s="4" t="s">
        <v>1215</v>
      </c>
    </row>
    <row r="39" spans="1:11" x14ac:dyDescent="0.25">
      <c r="A39" s="4" t="s">
        <v>419</v>
      </c>
      <c r="B39" s="6" t="s">
        <v>14</v>
      </c>
      <c r="C39" s="6" t="s">
        <v>1009</v>
      </c>
      <c r="D39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เกลือป่น</v>
      </c>
      <c r="E39" s="14">
        <f>เบสและซับสูตร!$B$31</f>
        <v>0</v>
      </c>
      <c r="F39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39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</v>
      </c>
      <c r="H39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0.02</v>
      </c>
      <c r="I39" s="9">
        <f>IF(tblBOM[[#This Row],[รหัสสินค้า]]="","",tblBOM[[#This Row],[ปริมาณต่อ 1 หน่วยสูตร]]*tblBOM[[#This Row],[ต้นทุนสินค้าต่อหน่วยใช้]])</f>
        <v>0</v>
      </c>
      <c r="J39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39" s="4" t="s">
        <v>1216</v>
      </c>
    </row>
    <row r="40" spans="1:11" x14ac:dyDescent="0.25">
      <c r="A40" s="4" t="s">
        <v>420</v>
      </c>
      <c r="B40" s="6" t="s">
        <v>15</v>
      </c>
      <c r="C40" s="6" t="s">
        <v>1012</v>
      </c>
      <c r="D40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นมสดรสจืด UHT</v>
      </c>
      <c r="E40" s="14">
        <v>1</v>
      </c>
      <c r="F40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0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40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4.8000000000000001E-2</v>
      </c>
      <c r="I40" s="9">
        <f>IF(tblBOM[[#This Row],[รหัสสินค้า]]="","",tblBOM[[#This Row],[ปริมาณต่อ 1 หน่วยสูตร]]*tblBOM[[#This Row],[ต้นทุนสินค้าต่อหน่วยใช้]])</f>
        <v>4.8000000000000001E-2</v>
      </c>
      <c r="J40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0" s="4"/>
    </row>
    <row r="41" spans="1:11" x14ac:dyDescent="0.25">
      <c r="A41" s="4" t="s">
        <v>421</v>
      </c>
      <c r="B41" s="6" t="s">
        <v>16</v>
      </c>
      <c r="C41" s="6" t="s">
        <v>1013</v>
      </c>
      <c r="D41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นมข้นจืด</v>
      </c>
      <c r="E41" s="14">
        <v>1</v>
      </c>
      <c r="F41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1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41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7.407407407407407E-2</v>
      </c>
      <c r="I41" s="9">
        <f>IF(tblBOM[[#This Row],[รหัสสินค้า]]="","",tblBOM[[#This Row],[ปริมาณต่อ 1 หน่วยสูตร]]*tblBOM[[#This Row],[ต้นทุนสินค้าต่อหน่วยใช้]])</f>
        <v>7.407407407407407E-2</v>
      </c>
      <c r="J41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1" s="4"/>
    </row>
    <row r="42" spans="1:11" x14ac:dyDescent="0.25">
      <c r="A42" s="4" t="s">
        <v>422</v>
      </c>
      <c r="B42" s="6" t="s">
        <v>17</v>
      </c>
      <c r="C42" s="6" t="s">
        <v>1014</v>
      </c>
      <c r="D42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นมข้นหวาน</v>
      </c>
      <c r="E42" s="14">
        <v>1</v>
      </c>
      <c r="F42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2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42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6.9306930693069313E-2</v>
      </c>
      <c r="I42" s="9">
        <f>IF(tblBOM[[#This Row],[รหัสสินค้า]]="","",tblBOM[[#This Row],[ปริมาณต่อ 1 หน่วยสูตร]]*tblBOM[[#This Row],[ต้นทุนสินค้าต่อหน่วยใช้]])</f>
        <v>6.9306930693069313E-2</v>
      </c>
      <c r="J42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2" s="4"/>
    </row>
    <row r="43" spans="1:11" x14ac:dyDescent="0.25">
      <c r="A43" s="4" t="s">
        <v>423</v>
      </c>
      <c r="B43" s="6" t="s">
        <v>18</v>
      </c>
      <c r="C43" s="6" t="s">
        <v>1008</v>
      </c>
      <c r="D43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น้ำตาลทราย</v>
      </c>
      <c r="E43" s="14">
        <v>1000</v>
      </c>
      <c r="F43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43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0.625</v>
      </c>
      <c r="H43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2.5999999999999999E-2</v>
      </c>
      <c r="I43" s="9">
        <f>IF(tblBOM[[#This Row],[รหัสสินค้า]]="","",tblBOM[[#This Row],[ปริมาณต่อ 1 หน่วยสูตร]]*tblBOM[[#This Row],[ต้นทุนสินค้าต่อหน่วยใช้]])</f>
        <v>1.6250000000000001E-2</v>
      </c>
      <c r="J43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3" s="4"/>
    </row>
    <row r="44" spans="1:11" x14ac:dyDescent="0.25">
      <c r="A44" s="4" t="s">
        <v>424</v>
      </c>
      <c r="B44" s="6" t="s">
        <v>18</v>
      </c>
      <c r="C44" s="6" t="s">
        <v>1007</v>
      </c>
      <c r="D44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น้ำสะอาด (กรอง/ถัง)</v>
      </c>
      <c r="E44" s="14">
        <v>1000</v>
      </c>
      <c r="F44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4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0.625</v>
      </c>
      <c r="H44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7.5000000000000002E-4</v>
      </c>
      <c r="I44" s="9">
        <f>IF(tblBOM[[#This Row],[รหัสสินค้า]]="","",tblBOM[[#This Row],[ปริมาณต่อ 1 หน่วยสูตร]]*tblBOM[[#This Row],[ต้นทุนสินค้าต่อหน่วยใช้]])</f>
        <v>4.6874999999999998E-4</v>
      </c>
      <c r="J44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4" s="4"/>
    </row>
    <row r="45" spans="1:11" x14ac:dyDescent="0.25">
      <c r="A45" s="4" t="s">
        <v>425</v>
      </c>
      <c r="B45" s="6" t="s">
        <v>18</v>
      </c>
      <c r="C45" s="6" t="s">
        <v>1009</v>
      </c>
      <c r="D45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เกลือป่น</v>
      </c>
      <c r="E45" s="14">
        <v>2</v>
      </c>
      <c r="F45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45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1.25E-3</v>
      </c>
      <c r="H45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0.02</v>
      </c>
      <c r="I45" s="9">
        <f>IF(tblBOM[[#This Row],[รหัสสินค้า]]="","",tblBOM[[#This Row],[ปริมาณต่อ 1 หน่วยสูตร]]*tblBOM[[#This Row],[ต้นทุนสินค้าต่อหน่วยใช้]])</f>
        <v>2.5000000000000001E-5</v>
      </c>
      <c r="J45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5" s="4"/>
    </row>
    <row r="46" spans="1:11" x14ac:dyDescent="0.25">
      <c r="A46" s="4" t="s">
        <v>426</v>
      </c>
      <c r="B46" s="6" t="s">
        <v>19</v>
      </c>
      <c r="C46" s="6" t="s">
        <v>1015</v>
      </c>
      <c r="D46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น้ำผึ้ง</v>
      </c>
      <c r="E46" s="14">
        <v>1000</v>
      </c>
      <c r="F46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6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0.66666666666666663</v>
      </c>
      <c r="H46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0.35</v>
      </c>
      <c r="I46" s="9">
        <f>IF(tblBOM[[#This Row],[รหัสสินค้า]]="","",tblBOM[[#This Row],[ปริมาณต่อ 1 หน่วยสูตร]]*tblBOM[[#This Row],[ต้นทุนสินค้าต่อหน่วยใช้]])</f>
        <v>0.23333333333333331</v>
      </c>
      <c r="J46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6" s="4"/>
    </row>
    <row r="47" spans="1:11" x14ac:dyDescent="0.25">
      <c r="A47" s="4" t="s">
        <v>427</v>
      </c>
      <c r="B47" s="6" t="s">
        <v>19</v>
      </c>
      <c r="C47" s="6" t="s">
        <v>1007</v>
      </c>
      <c r="D47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น้ำสะอาด (กรอง/ถัง)</v>
      </c>
      <c r="E47" s="14">
        <v>500</v>
      </c>
      <c r="F47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7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0.33333333333333331</v>
      </c>
      <c r="H47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7.5000000000000002E-4</v>
      </c>
      <c r="I47" s="9">
        <f>IF(tblBOM[[#This Row],[รหัสสินค้า]]="","",tblBOM[[#This Row],[ปริมาณต่อ 1 หน่วยสูตร]]*tblBOM[[#This Row],[ต้นทุนสินค้าต่อหน่วยใช้]])</f>
        <v>2.5000000000000001E-4</v>
      </c>
      <c r="J47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7" s="4"/>
    </row>
    <row r="48" spans="1:11" x14ac:dyDescent="0.25">
      <c r="A48" s="4" t="s">
        <v>428</v>
      </c>
      <c r="B48" s="6" t="s">
        <v>20</v>
      </c>
      <c r="C48" s="6" t="s">
        <v>1016</v>
      </c>
      <c r="D48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ผงโกโก้</v>
      </c>
      <c r="E48" s="14">
        <v>1</v>
      </c>
      <c r="F48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48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48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0.6</v>
      </c>
      <c r="I48" s="9">
        <f>IF(tblBOM[[#This Row],[รหัสสินค้า]]="","",tblBOM[[#This Row],[ปริมาณต่อ 1 หน่วยสูตร]]*tblBOM[[#This Row],[ต้นทุนสินค้าต่อหน่วยใช้]])</f>
        <v>0.6</v>
      </c>
      <c r="J48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8" s="4"/>
    </row>
    <row r="49" spans="1:11" x14ac:dyDescent="0.25">
      <c r="A49" s="4" t="s">
        <v>429</v>
      </c>
      <c r="B49" s="6" t="s">
        <v>22</v>
      </c>
      <c r="C49" s="6" t="s">
        <v>1017</v>
      </c>
      <c r="D49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น้ำส้ม 100%</v>
      </c>
      <c r="E49" s="14">
        <v>1</v>
      </c>
      <c r="F49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49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49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5.5E-2</v>
      </c>
      <c r="I49" s="9">
        <f>IF(tblBOM[[#This Row],[รหัสสินค้า]]="","",tblBOM[[#This Row],[ปริมาณต่อ 1 หน่วยสูตร]]*tblBOM[[#This Row],[ต้นทุนสินค้าต่อหน่วยใช้]])</f>
        <v>5.5E-2</v>
      </c>
      <c r="J49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49" s="4"/>
    </row>
    <row r="50" spans="1:11" x14ac:dyDescent="0.25">
      <c r="A50" s="4" t="s">
        <v>430</v>
      </c>
      <c r="B50" s="6" t="s">
        <v>23</v>
      </c>
      <c r="C50" s="6" t="s">
        <v>1018</v>
      </c>
      <c r="D50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น้ำมะพร้าวน้ำหอม 100%</v>
      </c>
      <c r="E50" s="14">
        <v>700</v>
      </c>
      <c r="F50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0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0.7</v>
      </c>
      <c r="H50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0.06</v>
      </c>
      <c r="I50" s="9">
        <f>IF(tblBOM[[#This Row],[รหัสสินค้า]]="","",tblBOM[[#This Row],[ปริมาณต่อ 1 หน่วยสูตร]]*tblBOM[[#This Row],[ต้นทุนสินค้าต่อหน่วยใช้]])</f>
        <v>4.1999999999999996E-2</v>
      </c>
      <c r="J50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0" s="4"/>
    </row>
    <row r="51" spans="1:11" x14ac:dyDescent="0.25">
      <c r="A51" s="4" t="s">
        <v>431</v>
      </c>
      <c r="B51" s="6" t="s">
        <v>23</v>
      </c>
      <c r="C51" s="6" t="s">
        <v>1019</v>
      </c>
      <c r="D51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กะทิ UHT</v>
      </c>
      <c r="E51" s="14">
        <v>180</v>
      </c>
      <c r="F51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1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0.18</v>
      </c>
      <c r="H51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6.5000000000000002E-2</v>
      </c>
      <c r="I51" s="9">
        <f>IF(tblBOM[[#This Row],[รหัสสินค้า]]="","",tblBOM[[#This Row],[ปริมาณต่อ 1 หน่วยสูตร]]*tblBOM[[#This Row],[ต้นทุนสินค้าต่อหน่วยใช้]])</f>
        <v>1.17E-2</v>
      </c>
      <c r="J51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1" s="4"/>
    </row>
    <row r="52" spans="1:11" x14ac:dyDescent="0.25">
      <c r="A52" s="4" t="s">
        <v>432</v>
      </c>
      <c r="B52" s="6" t="s">
        <v>23</v>
      </c>
      <c r="C52" s="6" t="s">
        <v>1020</v>
      </c>
      <c r="D52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ไซรัปมะพร้าว</v>
      </c>
      <c r="E52" s="14">
        <v>100</v>
      </c>
      <c r="F52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2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0.1</v>
      </c>
      <c r="H52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0.19800000000000001</v>
      </c>
      <c r="I52" s="9">
        <f>IF(tblBOM[[#This Row],[รหัสสินค้า]]="","",tblBOM[[#This Row],[ปริมาณต่อ 1 หน่วยสูตร]]*tblBOM[[#This Row],[ต้นทุนสินค้าต่อหน่วยใช้]])</f>
        <v>1.9800000000000002E-2</v>
      </c>
      <c r="J52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2" s="4"/>
    </row>
    <row r="53" spans="1:11" x14ac:dyDescent="0.25">
      <c r="A53" s="4" t="s">
        <v>433</v>
      </c>
      <c r="B53" s="6" t="s">
        <v>23</v>
      </c>
      <c r="C53" s="6" t="s">
        <v>1009</v>
      </c>
      <c r="D53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เกลือป่น</v>
      </c>
      <c r="E53" s="14">
        <v>1.5</v>
      </c>
      <c r="F53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53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1.5E-3</v>
      </c>
      <c r="H53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0.02</v>
      </c>
      <c r="I53" s="9">
        <f>IF(tblBOM[[#This Row],[รหัสสินค้า]]="","",tblBOM[[#This Row],[ปริมาณต่อ 1 หน่วยสูตร]]*tblBOM[[#This Row],[ต้นทุนสินค้าต่อหน่วยใช้]])</f>
        <v>3.0000000000000001E-5</v>
      </c>
      <c r="J53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3" s="4"/>
    </row>
    <row r="54" spans="1:11" x14ac:dyDescent="0.25">
      <c r="A54" s="4" t="s">
        <v>434</v>
      </c>
      <c r="B54" s="6" t="s">
        <v>24</v>
      </c>
      <c r="C54" s="6" t="s">
        <v>1021</v>
      </c>
      <c r="D54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ซอสสตรอว์เบอร์รี่</v>
      </c>
      <c r="E54" s="14">
        <v>1</v>
      </c>
      <c r="F54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54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54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0.18</v>
      </c>
      <c r="I54" s="9">
        <f>IF(tblBOM[[#This Row],[รหัสสินค้า]]="","",tblBOM[[#This Row],[ปริมาณต่อ 1 หน่วยสูตร]]*tblBOM[[#This Row],[ต้นทุนสินค้าต่อหน่วยใช้]])</f>
        <v>0.18</v>
      </c>
      <c r="J54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4" s="4"/>
    </row>
    <row r="55" spans="1:11" x14ac:dyDescent="0.25">
      <c r="A55" s="4" t="s">
        <v>435</v>
      </c>
      <c r="B55" s="6" t="s">
        <v>25</v>
      </c>
      <c r="C55" s="6" t="s">
        <v>1022</v>
      </c>
      <c r="D55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มะนาวสด (คั้นได้ ~250 ml/kg)</v>
      </c>
      <c r="E55" s="14">
        <v>1</v>
      </c>
      <c r="F55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5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55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0.24</v>
      </c>
      <c r="I55" s="9">
        <f>IF(tblBOM[[#This Row],[รหัสสินค้า]]="","",tblBOM[[#This Row],[ปริมาณต่อ 1 หน่วยสูตร]]*tblBOM[[#This Row],[ต้นทุนสินค้าต่อหน่วยใช้]])</f>
        <v>0.24</v>
      </c>
      <c r="J55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5" s="4"/>
    </row>
    <row r="56" spans="1:11" x14ac:dyDescent="0.25">
      <c r="A56" s="4" t="s">
        <v>436</v>
      </c>
      <c r="B56" s="6" t="s">
        <v>26</v>
      </c>
      <c r="C56" s="6" t="s">
        <v>1023</v>
      </c>
      <c r="D56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โซดา</v>
      </c>
      <c r="E56" s="14">
        <v>1</v>
      </c>
      <c r="F56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6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56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2.1538461538461538E-2</v>
      </c>
      <c r="I56" s="9">
        <f>IF(tblBOM[[#This Row],[รหัสสินค้า]]="","",tblBOM[[#This Row],[ปริมาณต่อ 1 หน่วยสูตร]]*tblBOM[[#This Row],[ต้นทุนสินค้าต่อหน่วยใช้]])</f>
        <v>2.1538461538461538E-2</v>
      </c>
      <c r="J56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6" s="4"/>
    </row>
    <row r="57" spans="1:11" x14ac:dyDescent="0.25">
      <c r="A57" s="4" t="s">
        <v>437</v>
      </c>
      <c r="B57" s="6" t="s">
        <v>167</v>
      </c>
      <c r="C57" s="6" t="s">
        <v>1024</v>
      </c>
      <c r="D57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ครีมชีส</v>
      </c>
      <c r="E57" s="14">
        <v>100</v>
      </c>
      <c r="F57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57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0.20408163265306123</v>
      </c>
      <c r="H57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0.25</v>
      </c>
      <c r="I57" s="9">
        <f>IF(tblBOM[[#This Row],[รหัสสินค้า]]="","",tblBOM[[#This Row],[ปริมาณต่อ 1 หน่วยสูตร]]*tblBOM[[#This Row],[ต้นทุนสินค้าต่อหน่วยใช้]])</f>
        <v>5.1020408163265307E-2</v>
      </c>
      <c r="J57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7" s="4"/>
    </row>
    <row r="58" spans="1:11" x14ac:dyDescent="0.25">
      <c r="A58" s="4" t="s">
        <v>438</v>
      </c>
      <c r="B58" s="6" t="s">
        <v>167</v>
      </c>
      <c r="C58" s="6" t="s">
        <v>1025</v>
      </c>
      <c r="D58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วิปปิ้งครีมเหลว</v>
      </c>
      <c r="E58" s="14">
        <v>250</v>
      </c>
      <c r="F58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8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0.51020408163265307</v>
      </c>
      <c r="H58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0.18</v>
      </c>
      <c r="I58" s="9">
        <f>IF(tblBOM[[#This Row],[รหัสสินค้า]]="","",tblBOM[[#This Row],[ปริมาณต่อ 1 หน่วยสูตร]]*tblBOM[[#This Row],[ต้นทุนสินค้าต่อหน่วยใช้]])</f>
        <v>9.1836734693877556E-2</v>
      </c>
      <c r="J58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8" s="4"/>
    </row>
    <row r="59" spans="1:11" x14ac:dyDescent="0.25">
      <c r="A59" s="4" t="s">
        <v>439</v>
      </c>
      <c r="B59" s="6" t="s">
        <v>167</v>
      </c>
      <c r="C59" s="6" t="s">
        <v>1012</v>
      </c>
      <c r="D59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นมสดรสจืด UHT</v>
      </c>
      <c r="E59" s="14">
        <v>100</v>
      </c>
      <c r="F59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59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0.20408163265306123</v>
      </c>
      <c r="H59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4.8000000000000001E-2</v>
      </c>
      <c r="I59" s="9">
        <f>IF(tblBOM[[#This Row],[รหัสสินค้า]]="","",tblBOM[[#This Row],[ปริมาณต่อ 1 หน่วยสูตร]]*tblBOM[[#This Row],[ต้นทุนสินค้าต่อหน่วยใช้]])</f>
        <v>9.79591836734694E-3</v>
      </c>
      <c r="J59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59" s="4"/>
    </row>
    <row r="60" spans="1:11" x14ac:dyDescent="0.25">
      <c r="A60" s="4" t="s">
        <v>440</v>
      </c>
      <c r="B60" s="6" t="s">
        <v>167</v>
      </c>
      <c r="C60" s="6" t="s">
        <v>1014</v>
      </c>
      <c r="D60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นมข้นหวาน</v>
      </c>
      <c r="E60" s="14">
        <v>40</v>
      </c>
      <c r="F60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60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8.1632653061224483E-2</v>
      </c>
      <c r="H60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6.9306930693069313E-2</v>
      </c>
      <c r="I60" s="9">
        <f>IF(tblBOM[[#This Row],[รหัสสินค้า]]="","",tblBOM[[#This Row],[ปริมาณต่อ 1 หน่วยสูตร]]*tblBOM[[#This Row],[ต้นทุนสินค้าต่อหน่วยใช้]])</f>
        <v>5.6577086280056579E-3</v>
      </c>
      <c r="J60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0" s="4"/>
    </row>
    <row r="61" spans="1:11" x14ac:dyDescent="0.25">
      <c r="A61" s="4" t="s">
        <v>441</v>
      </c>
      <c r="B61" s="6" t="s">
        <v>167</v>
      </c>
      <c r="C61" s="6" t="s">
        <v>1009</v>
      </c>
      <c r="D61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เกลือป่น</v>
      </c>
      <c r="E61" s="14">
        <v>2</v>
      </c>
      <c r="F61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61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4.0816326530612249E-3</v>
      </c>
      <c r="H61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0.02</v>
      </c>
      <c r="I61" s="9">
        <f>IF(tblBOM[[#This Row],[รหัสสินค้า]]="","",tblBOM[[#This Row],[ปริมาณต่อ 1 หน่วยสูตร]]*tblBOM[[#This Row],[ต้นทุนสินค้าต่อหน่วยใช้]])</f>
        <v>8.1632653061224504E-5</v>
      </c>
      <c r="J61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1" s="4"/>
    </row>
    <row r="62" spans="1:11" x14ac:dyDescent="0.25">
      <c r="A62" s="4" t="s">
        <v>442</v>
      </c>
      <c r="B62" s="6" t="s">
        <v>28</v>
      </c>
      <c r="C62" s="6" t="s">
        <v>1026</v>
      </c>
      <c r="D62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น้ำแข็งหลอด</v>
      </c>
      <c r="E62" s="14">
        <v>1</v>
      </c>
      <c r="F62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62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2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1.4E-2</v>
      </c>
      <c r="I62" s="9">
        <f>IF(tblBOM[[#This Row],[รหัสสินค้า]]="","",tblBOM[[#This Row],[ปริมาณต่อ 1 หน่วยสูตร]]*tblBOM[[#This Row],[ต้นทุนสินค้าต่อหน่วยใช้]])</f>
        <v>1.4E-2</v>
      </c>
      <c r="J62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2" s="4"/>
    </row>
    <row r="63" spans="1:11" x14ac:dyDescent="0.25">
      <c r="A63" s="4" t="s">
        <v>443</v>
      </c>
      <c r="B63" s="6" t="s">
        <v>350</v>
      </c>
      <c r="C63" s="6" t="s">
        <v>1027</v>
      </c>
      <c r="D63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แก้ว 16 oz</v>
      </c>
      <c r="E63" s="14">
        <v>1</v>
      </c>
      <c r="F63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3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3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</v>
      </c>
      <c r="I63" s="9">
        <f>IF(tblBOM[[#This Row],[รหัสสินค้า]]="","",tblBOM[[#This Row],[ปริมาณต่อ 1 หน่วยสูตร]]*tblBOM[[#This Row],[ต้นทุนสินค้าต่อหน่วยใช้]])</f>
        <v>2</v>
      </c>
      <c r="J63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3" s="4"/>
    </row>
    <row r="64" spans="1:11" x14ac:dyDescent="0.25">
      <c r="A64" s="4" t="s">
        <v>444</v>
      </c>
      <c r="B64" s="6" t="s">
        <v>350</v>
      </c>
      <c r="C64" s="6" t="s">
        <v>1028</v>
      </c>
      <c r="D64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ฝาโดม 16 oz</v>
      </c>
      <c r="E64" s="14">
        <v>1</v>
      </c>
      <c r="F64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4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4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1</v>
      </c>
      <c r="I64" s="9">
        <f>IF(tblBOM[[#This Row],[รหัสสินค้า]]="","",tblBOM[[#This Row],[ปริมาณต่อ 1 หน่วยสูตร]]*tblBOM[[#This Row],[ต้นทุนสินค้าต่อหน่วยใช้]])</f>
        <v>1</v>
      </c>
      <c r="J64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4" s="4"/>
    </row>
    <row r="65" spans="1:11" x14ac:dyDescent="0.25">
      <c r="A65" s="4" t="s">
        <v>445</v>
      </c>
      <c r="B65" s="6" t="s">
        <v>350</v>
      </c>
      <c r="C65" s="6" t="s">
        <v>1029</v>
      </c>
      <c r="D65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หลอด</v>
      </c>
      <c r="E65" s="14">
        <v>1</v>
      </c>
      <c r="F65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5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5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65" s="9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65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5" s="4"/>
    </row>
    <row r="66" spans="1:11" x14ac:dyDescent="0.25">
      <c r="A66" s="4" t="s">
        <v>446</v>
      </c>
      <c r="B66" s="6" t="s">
        <v>350</v>
      </c>
      <c r="C66" s="6" t="s">
        <v>1030</v>
      </c>
      <c r="D66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สติกเกอร์โลโก้</v>
      </c>
      <c r="E66" s="14">
        <v>1</v>
      </c>
      <c r="F66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6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6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66" s="9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66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6" s="4"/>
    </row>
    <row r="67" spans="1:11" x14ac:dyDescent="0.25">
      <c r="A67" s="4" t="s">
        <v>447</v>
      </c>
      <c r="B67" s="6" t="s">
        <v>351</v>
      </c>
      <c r="C67" s="6" t="s">
        <v>1031</v>
      </c>
      <c r="D67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แก้ว 22 oz</v>
      </c>
      <c r="E67" s="14">
        <v>1</v>
      </c>
      <c r="F67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7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7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2.8</v>
      </c>
      <c r="I67" s="9">
        <f>IF(tblBOM[[#This Row],[รหัสสินค้า]]="","",tblBOM[[#This Row],[ปริมาณต่อ 1 หน่วยสูตร]]*tblBOM[[#This Row],[ต้นทุนสินค้าต่อหน่วยใช้]])</f>
        <v>2.8</v>
      </c>
      <c r="J67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7" s="4"/>
    </row>
    <row r="68" spans="1:11" x14ac:dyDescent="0.25">
      <c r="A68" s="4" t="s">
        <v>448</v>
      </c>
      <c r="B68" s="6" t="s">
        <v>351</v>
      </c>
      <c r="C68" s="6" t="s">
        <v>1032</v>
      </c>
      <c r="D68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ฝาโดม 22 oz</v>
      </c>
      <c r="E68" s="14">
        <v>1</v>
      </c>
      <c r="F68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8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8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1</v>
      </c>
      <c r="I68" s="9">
        <f>IF(tblBOM[[#This Row],[รหัสสินค้า]]="","",tblBOM[[#This Row],[ปริมาณต่อ 1 หน่วยสูตร]]*tblBOM[[#This Row],[ต้นทุนสินค้าต่อหน่วยใช้]])</f>
        <v>1</v>
      </c>
      <c r="J68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8" s="4"/>
    </row>
    <row r="69" spans="1:11" x14ac:dyDescent="0.25">
      <c r="A69" s="4" t="s">
        <v>449</v>
      </c>
      <c r="B69" s="6" t="s">
        <v>351</v>
      </c>
      <c r="C69" s="6" t="s">
        <v>1029</v>
      </c>
      <c r="D69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หลอด</v>
      </c>
      <c r="E69" s="14">
        <v>1</v>
      </c>
      <c r="F69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69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69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69" s="9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69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69" s="4"/>
    </row>
    <row r="70" spans="1:11" x14ac:dyDescent="0.25">
      <c r="A70" s="4" t="s">
        <v>450</v>
      </c>
      <c r="B70" s="6" t="s">
        <v>351</v>
      </c>
      <c r="C70" s="6" t="s">
        <v>1030</v>
      </c>
      <c r="D70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สติกเกอร์โลโก้</v>
      </c>
      <c r="E70" s="14">
        <v>1</v>
      </c>
      <c r="F70" s="4" t="str">
        <f>IF(tblBOM[[#This Row],[รหัสสินค้า]]="","",IFERROR(INDEX(tblItems[หน่วยใช้],MATCH(tblBOM[[#This Row],[รหัสสินค้า]],tblItems[รหัสสินค้า],0)),""))</f>
        <v>ชิ้น</v>
      </c>
      <c r="G70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0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70" s="9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70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0" s="4"/>
    </row>
    <row r="71" spans="1:11" x14ac:dyDescent="0.25">
      <c r="A71" s="4" t="s">
        <v>603</v>
      </c>
      <c r="B71" s="6" t="s">
        <v>602</v>
      </c>
      <c r="C71" s="6" t="s">
        <v>1178</v>
      </c>
      <c r="D71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ผงมัทฉะ Mizumatcha Daizu Premium (Yame Fukuoka) 30 g</v>
      </c>
      <c r="E71" s="14">
        <v>30</v>
      </c>
      <c r="F71" s="4" t="str">
        <f>IF(tblBOM[[#This Row],[รหัสสินค้า]]="","",IFERROR(INDEX(tblItems[หน่วยใช้],MATCH(tblBOM[[#This Row],[รหัสสินค้า]],tblItems[รหัสสินค้า],0)),""))</f>
        <v>g</v>
      </c>
      <c r="G71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0.1</v>
      </c>
      <c r="H71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9.5666666666666664</v>
      </c>
      <c r="I71" s="9">
        <f>IF(tblBOM[[#This Row],[รหัสสินค้า]]="","",tblBOM[[#This Row],[ปริมาณต่อ 1 หน่วยสูตร]]*tblBOM[[#This Row],[ต้นทุนสินค้าต่อหน่วยใช้]])</f>
        <v>0.95666666666666667</v>
      </c>
      <c r="J71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1" s="4" t="s">
        <v>1265</v>
      </c>
    </row>
    <row r="72" spans="1:11" x14ac:dyDescent="0.25">
      <c r="A72" s="4" t="s">
        <v>828</v>
      </c>
      <c r="B72" s="6" t="s">
        <v>824</v>
      </c>
      <c r="C72" s="6" t="s">
        <v>1033</v>
      </c>
      <c r="D72" s="4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น้ำดื่มถัง 20 ลิตร</v>
      </c>
      <c r="E72" s="14">
        <v>1000</v>
      </c>
      <c r="F72" s="4" t="str">
        <f>IF(tblBOM[[#This Row],[รหัสสินค้า]]="","",IFERROR(INDEX(tblItems[หน่วยใช้],MATCH(tblBOM[[#This Row],[รหัสสินค้า]],tblItems[รหัสสินค้า],0)),""))</f>
        <v>ml</v>
      </c>
      <c r="G72" s="15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2" s="9">
        <f>IF(tblBOM[[#This Row],[รหัสสินค้า]]="","",IFERROR(INDEX(tblItems[ต้นทุนต่อหน่วยใช้],MATCH(tblBOM[[#This Row],[รหัสสินค้า]],tblItems[รหัสสินค้า],0)),0))</f>
        <v>2E-3</v>
      </c>
      <c r="I72" s="9">
        <f>IF(tblBOM[[#This Row],[รหัสสินค้า]]="","",tblBOM[[#This Row],[ปริมาณต่อ 1 หน่วยสูตร]]*tblBOM[[#This Row],[ต้นทุนสินค้าต่อหน่วยใช้]])</f>
        <v>2E-3</v>
      </c>
      <c r="J72" s="10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2" s="4" t="s">
        <v>829</v>
      </c>
    </row>
    <row r="73" spans="1:11" x14ac:dyDescent="0.25">
      <c r="A73" s="143" t="s">
        <v>1050</v>
      </c>
      <c r="B73" s="137" t="s">
        <v>1047</v>
      </c>
      <c r="C73" s="137" t="s">
        <v>1048</v>
      </c>
      <c r="D73" s="143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แก้ว 20 oz</v>
      </c>
      <c r="E73" s="146">
        <v>1</v>
      </c>
      <c r="F73" s="143" t="s">
        <v>325</v>
      </c>
      <c r="G73" s="147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3" s="140">
        <f>IF(tblBOM[[#This Row],[รหัสสินค้า]]="","",IFERROR(INDEX(tblItems[ต้นทุนต่อหน่วยใช้],MATCH(tblBOM[[#This Row],[รหัสสินค้า]],tblItems[รหัสสินค้า],0)),0))</f>
        <v>2.6</v>
      </c>
      <c r="I73" s="140">
        <f>IF(tblBOM[[#This Row],[รหัสสินค้า]]="","",tblBOM[[#This Row],[ปริมาณต่อ 1 หน่วยสูตร]]*tblBOM[[#This Row],[ต้นทุนสินค้าต่อหน่วยใช้]])</f>
        <v>2.6</v>
      </c>
      <c r="J73" s="141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3" s="143" t="s">
        <v>829</v>
      </c>
    </row>
    <row r="74" spans="1:11" x14ac:dyDescent="0.25">
      <c r="A74" s="143" t="s">
        <v>1051</v>
      </c>
      <c r="B74" s="137" t="s">
        <v>1047</v>
      </c>
      <c r="C74" s="137" t="s">
        <v>1049</v>
      </c>
      <c r="D74" s="143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ฝาโดม 20 oz</v>
      </c>
      <c r="E74" s="146">
        <v>1</v>
      </c>
      <c r="F74" s="143" t="s">
        <v>325</v>
      </c>
      <c r="G74" s="147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4" s="140">
        <f>IF(tblBOM[[#This Row],[รหัสสินค้า]]="","",IFERROR(INDEX(tblItems[ต้นทุนต่อหน่วยใช้],MATCH(tblBOM[[#This Row],[รหัสสินค้า]],tblItems[รหัสสินค้า],0)),0))</f>
        <v>1</v>
      </c>
      <c r="I74" s="140">
        <f>IF(tblBOM[[#This Row],[รหัสสินค้า]]="","",tblBOM[[#This Row],[ปริมาณต่อ 1 หน่วยสูตร]]*tblBOM[[#This Row],[ต้นทุนสินค้าต่อหน่วยใช้]])</f>
        <v>1</v>
      </c>
      <c r="J74" s="141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4" s="143" t="s">
        <v>829</v>
      </c>
    </row>
    <row r="75" spans="1:11" x14ac:dyDescent="0.25">
      <c r="A75" s="143" t="s">
        <v>1052</v>
      </c>
      <c r="B75" s="137" t="s">
        <v>1047</v>
      </c>
      <c r="C75" s="137" t="s">
        <v>1029</v>
      </c>
      <c r="D75" s="143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หลอด</v>
      </c>
      <c r="E75" s="146">
        <v>1</v>
      </c>
      <c r="F75" s="143" t="s">
        <v>325</v>
      </c>
      <c r="G75" s="147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5" s="140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75" s="140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75" s="141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5" s="143" t="s">
        <v>829</v>
      </c>
    </row>
    <row r="76" spans="1:11" x14ac:dyDescent="0.25">
      <c r="A76" s="143" t="s">
        <v>1053</v>
      </c>
      <c r="B76" s="137" t="s">
        <v>1047</v>
      </c>
      <c r="C76" s="137" t="s">
        <v>1030</v>
      </c>
      <c r="D76" s="143" t="str">
        <f>IF(tblBOM[[#This Row],[รหัสสินค้า]]="","",IFERROR(INDEX(tblItems[ชื่อสินค้า],MATCH(tblBOM[[#This Row],[รหัสสินค้า]],tblItems[รหัสสินค้า],0)),"ไม่พบรหัส"))</f>
        <v>สติกเกอร์โลโก้</v>
      </c>
      <c r="E76" s="146">
        <v>1</v>
      </c>
      <c r="F76" s="143" t="s">
        <v>325</v>
      </c>
      <c r="G76" s="147">
        <f>IF(tblBOM[[#This Row],[รหัสสินค้า]]="","",IFERROR(tblBOM[[#This Row],[ปริมาณต่อ batch]]/INDEX(tblIng[ขนาด batch มาตรฐาน],MATCH(tblBOM[[#This Row],[วัตถุดิบในสูตร]],tblIng[วัตถุดิบในสูตร],0)),0))</f>
        <v>1</v>
      </c>
      <c r="H76" s="140">
        <f>IF(tblBOM[[#This Row],[รหัสสินค้า]]="","",IFERROR(INDEX(tblItems[ต้นทุนต่อหน่วยใช้],MATCH(tblBOM[[#This Row],[รหัสสินค้า]],tblItems[รหัสสินค้า],0)),0))</f>
        <v>0.5</v>
      </c>
      <c r="I76" s="140">
        <f>IF(tblBOM[[#This Row],[รหัสสินค้า]]="","",tblBOM[[#This Row],[ปริมาณต่อ 1 หน่วยสูตร]]*tblBOM[[#This Row],[ต้นทุนสินค้าต่อหน่วยใช้]])</f>
        <v>0.5</v>
      </c>
      <c r="J76" s="141">
        <f>IF(tblBOM[[#This Row],[รหัสสินค้า]]="","",IFERROR(tblBOM[[#This Row],[ปริมาณต่อ 1 หน่วยสูตร]]*INDEX(tblIng[ใช้ไปจากการขาย (หน่วย)],MATCH(tblBOM[[#This Row],[วัตถุดิบในสูตร]],tblIng[วัตถุดิบในสูตร],0)),0))</f>
        <v>0</v>
      </c>
      <c r="K76" s="143" t="s">
        <v>829</v>
      </c>
    </row>
  </sheetData>
  <pageMargins left="0.7" right="0.7" top="0.75" bottom="0.75" header="0.3" footer="0.3"/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E35EE4-A788-984B-AB23-8EF120683B13}">
          <x14:formula1>
            <xm:f>Lists!$N$2:$N$18</xm:f>
          </x14:formula1>
          <xm:sqref>B30:B205</xm:sqref>
        </x14:dataValidation>
        <x14:dataValidation type="list" allowBlank="1" showInputMessage="1" showErrorMessage="1" xr:uid="{18169DEE-7056-1F44-BED7-5ED1523026DB}">
          <x14:formula1>
            <xm:f>สินค้าและสต็อก!$A$6:$A$307</xm:f>
          </x14:formula1>
          <xm:sqref>C30:C205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607A-F201-2E49-B41F-80BE4E9AB7E0}">
  <sheetPr>
    <tabColor rgb="FFED7D31"/>
  </sheetPr>
  <dimension ref="A1:V40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24" sqref="L24"/>
    </sheetView>
  </sheetViews>
  <sheetFormatPr defaultColWidth="10.85546875" defaultRowHeight="15" x14ac:dyDescent="0.25"/>
  <cols>
    <col min="1" max="1" width="15.5703125" customWidth="1"/>
    <col min="2" max="2" width="51.28515625" bestFit="1" customWidth="1"/>
    <col min="3" max="3" width="14" customWidth="1"/>
    <col min="4" max="4" width="20" customWidth="1"/>
    <col min="5" max="5" width="14" customWidth="1"/>
    <col min="6" max="6" width="10.42578125" customWidth="1"/>
    <col min="7" max="8" width="16.28515625" customWidth="1"/>
    <col min="9" max="9" width="28" customWidth="1"/>
    <col min="10" max="10" width="130.28515625" bestFit="1" customWidth="1"/>
    <col min="11" max="11" width="17" customWidth="1"/>
    <col min="12" max="12" width="21.28515625" customWidth="1"/>
    <col min="13" max="13" width="16.85546875" customWidth="1"/>
    <col min="14" max="14" width="15.85546875" customWidth="1"/>
    <col min="15" max="15" width="22" customWidth="1"/>
    <col min="16" max="16" width="17.140625" customWidth="1"/>
    <col min="17" max="17" width="17.28515625" customWidth="1"/>
    <col min="18" max="18" width="17.85546875" customWidth="1"/>
    <col min="19" max="19" width="18.85546875" customWidth="1"/>
    <col min="20" max="20" width="9.140625" customWidth="1"/>
    <col min="21" max="21" width="15" customWidth="1"/>
  </cols>
  <sheetData>
    <row r="1" spans="1:22" ht="18" x14ac:dyDescent="0.25">
      <c r="A1" s="2" t="s">
        <v>352</v>
      </c>
    </row>
    <row r="2" spans="1:22" x14ac:dyDescent="0.25">
      <c r="A2" s="3" t="s">
        <v>1041</v>
      </c>
    </row>
    <row r="5" spans="1:22" ht="42" customHeight="1" x14ac:dyDescent="0.25">
      <c r="A5" s="5" t="s">
        <v>353</v>
      </c>
      <c r="B5" s="5" t="s">
        <v>354</v>
      </c>
      <c r="C5" s="5" t="s">
        <v>355</v>
      </c>
      <c r="D5" s="5" t="s">
        <v>1004</v>
      </c>
      <c r="E5" s="5" t="s">
        <v>318</v>
      </c>
      <c r="F5" s="5" t="s">
        <v>356</v>
      </c>
      <c r="G5" s="5" t="s">
        <v>317</v>
      </c>
      <c r="H5" s="5" t="s">
        <v>357</v>
      </c>
      <c r="I5" s="5" t="s">
        <v>358</v>
      </c>
      <c r="J5" s="5" t="s">
        <v>359</v>
      </c>
      <c r="K5" s="29" t="s">
        <v>360</v>
      </c>
      <c r="L5" s="29" t="s">
        <v>361</v>
      </c>
      <c r="M5" s="29" t="s">
        <v>362</v>
      </c>
      <c r="N5" s="29" t="s">
        <v>363</v>
      </c>
      <c r="O5" s="29" t="s">
        <v>364</v>
      </c>
      <c r="P5" s="29" t="s">
        <v>365</v>
      </c>
      <c r="Q5" s="29" t="s">
        <v>366</v>
      </c>
      <c r="R5" s="30" t="s">
        <v>367</v>
      </c>
      <c r="S5" s="30" t="s">
        <v>368</v>
      </c>
      <c r="T5" s="30" t="s">
        <v>369</v>
      </c>
      <c r="U5" s="30" t="s">
        <v>370</v>
      </c>
      <c r="V5" s="29" t="s">
        <v>371</v>
      </c>
    </row>
    <row r="6" spans="1:22" x14ac:dyDescent="0.25">
      <c r="A6" s="182" t="str">
        <f>IF(OR(tblItems[[#This Row],[ชื่อสินค้า]]="",tblItems[[#This Row],[หมวดย่อย]]=""),"",IFERROR(VLOOKUP(tblItems[[#This Row],[หมวดย่อย]],Lists!$P$2:$R$20,3,FALSE),"??")&amp;"-"&amp;TEXT(COUNTIF($D$6:D6,tblItems[[#This Row],[หมวดย่อย]]),"00"))</f>
        <v>RM-TEA-01</v>
      </c>
      <c r="B6" s="6" t="s">
        <v>91</v>
      </c>
      <c r="C6" s="182" t="str">
        <f>IF(tblItems[[#This Row],[หมวดย่อย]]="","",IFERROR(VLOOKUP(tblItems[[#This Row],[หมวดย่อย]],Lists!$P$2:$R$20,2,FALSE),"ไม่พบหมวด"))</f>
        <v>วัตถุดิบ</v>
      </c>
      <c r="D6" s="6" t="s">
        <v>969</v>
      </c>
      <c r="E6" s="6" t="s">
        <v>326</v>
      </c>
      <c r="F6" s="6">
        <v>400</v>
      </c>
      <c r="G6" s="6" t="s">
        <v>21</v>
      </c>
      <c r="H6" s="7">
        <v>77</v>
      </c>
      <c r="I6" s="6">
        <v>400</v>
      </c>
      <c r="J6" s="6" t="s">
        <v>869</v>
      </c>
      <c r="K6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6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6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77</v>
      </c>
      <c r="N6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0.1925</v>
      </c>
      <c r="O6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6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6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6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6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6" s="8">
        <f>IF(tblItems[[#This Row],[รหัสสินค้า]]="","",tblItems[[#This Row],[คงเหลือ (หน่วยใช้)]]*tblItems[[#This Row],[ต้นทุนต่อหน่วยใช้]])</f>
        <v>0</v>
      </c>
      <c r="U6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6" s="143">
        <f>IF(OR(U6="ใกล้หมด",U6="หมด"),COUNTIF(U$6:U6,"ใกล้หมด")+COUNTIF(U$6:U6,"หมด"),"")</f>
        <v>1</v>
      </c>
    </row>
    <row r="7" spans="1:22" x14ac:dyDescent="0.25">
      <c r="A7" s="182" t="str">
        <f>IF(OR(tblItems[[#This Row],[ชื่อสินค้า]]="",tblItems[[#This Row],[หมวดย่อย]]=""),"",IFERROR(VLOOKUP(tblItems[[#This Row],[หมวดย่อย]],Lists!$P$2:$R$20,3,FALSE),"??")&amp;"-"&amp;TEXT(COUNTIF($D$6:D7,tblItems[[#This Row],[หมวดย่อย]]),"00"))</f>
        <v>RM-TEA-02</v>
      </c>
      <c r="B7" s="6" t="s">
        <v>868</v>
      </c>
      <c r="C7" s="182" t="str">
        <f>IF(tblItems[[#This Row],[หมวดย่อย]]="","",IFERROR(VLOOKUP(tblItems[[#This Row],[หมวดย่อย]],Lists!$P$2:$R$20,2,FALSE),"ไม่พบหมวด"))</f>
        <v>วัตถุดิบ</v>
      </c>
      <c r="D7" s="6" t="s">
        <v>969</v>
      </c>
      <c r="E7" s="6" t="s">
        <v>326</v>
      </c>
      <c r="F7" s="6">
        <v>1000</v>
      </c>
      <c r="G7" s="6" t="s">
        <v>21</v>
      </c>
      <c r="H7" s="7">
        <f>ROUND(255*555/740,2)</f>
        <v>191.25</v>
      </c>
      <c r="I7" s="6">
        <v>500</v>
      </c>
      <c r="J7" s="6" t="s">
        <v>1192</v>
      </c>
      <c r="K7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7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7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191.25</v>
      </c>
      <c r="N7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0.19125</v>
      </c>
      <c r="O7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7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7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7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7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7" s="8">
        <f>IF(tblItems[[#This Row],[รหัสสินค้า]]="","",tblItems[[#This Row],[คงเหลือ (หน่วยใช้)]]*tblItems[[#This Row],[ต้นทุนต่อหน่วยใช้]])</f>
        <v>0</v>
      </c>
      <c r="U7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7" s="143">
        <f>IF(OR(U7="ใกล้หมด",U7="หมด"),COUNTIF(U$6:U7,"ใกล้หมด")+COUNTIF(U$6:U7,"หมด"),"")</f>
        <v>2</v>
      </c>
    </row>
    <row r="8" spans="1:22" x14ac:dyDescent="0.25">
      <c r="A8" s="182" t="str">
        <f>IF(OR(tblItems[[#This Row],[ชื่อสินค้า]]="",tblItems[[#This Row],[หมวดย่อย]]=""),"",IFERROR(VLOOKUP(tblItems[[#This Row],[หมวดย่อย]],Lists!$P$2:$R$20,3,FALSE),"??")&amp;"-"&amp;TEXT(COUNTIF($D$6:D8,tblItems[[#This Row],[หมวดย่อย]]),"00"))</f>
        <v>RM-TEA-03</v>
      </c>
      <c r="B8" s="6" t="s">
        <v>373</v>
      </c>
      <c r="C8" s="182" t="str">
        <f>IF(tblItems[[#This Row],[หมวดย่อย]]="","",IFERROR(VLOOKUP(tblItems[[#This Row],[หมวดย่อย]],Lists!$P$2:$R$20,2,FALSE),"ไม่พบหมวด"))</f>
        <v>วัตถุดิบ</v>
      </c>
      <c r="D8" s="6" t="s">
        <v>969</v>
      </c>
      <c r="E8" s="6" t="s">
        <v>326</v>
      </c>
      <c r="F8" s="6">
        <v>400</v>
      </c>
      <c r="G8" s="6" t="s">
        <v>21</v>
      </c>
      <c r="H8" s="7">
        <v>104</v>
      </c>
      <c r="I8" s="6">
        <v>400</v>
      </c>
      <c r="J8" s="6" t="s">
        <v>372</v>
      </c>
      <c r="K8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8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8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104</v>
      </c>
      <c r="N8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0.26</v>
      </c>
      <c r="O8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8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8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8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8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8" s="8">
        <f>IF(tblItems[[#This Row],[รหัสสินค้า]]="","",tblItems[[#This Row],[คงเหลือ (หน่วยใช้)]]*tblItems[[#This Row],[ต้นทุนต่อหน่วยใช้]])</f>
        <v>0</v>
      </c>
      <c r="U8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8" s="143">
        <f>IF(OR(U8="ใกล้หมด",U8="หมด"),COUNTIF(U$6:U8,"ใกล้หมด")+COUNTIF(U$6:U8,"หมด"),"")</f>
        <v>3</v>
      </c>
    </row>
    <row r="9" spans="1:22" x14ac:dyDescent="0.25">
      <c r="A9" s="182" t="str">
        <f>IF(OR(tblItems[[#This Row],[ชื่อสินค้า]]="",tblItems[[#This Row],[หมวดย่อย]]=""),"",IFERROR(VLOOKUP(tblItems[[#This Row],[หมวดย่อย]],Lists!$P$2:$R$20,3,FALSE),"??")&amp;"-"&amp;TEXT(COUNTIF($D$6:D9,tblItems[[#This Row],[หมวดย่อย]]),"00"))</f>
        <v>RM-TEA-04</v>
      </c>
      <c r="B9" s="6" t="s">
        <v>1191</v>
      </c>
      <c r="C9" s="182" t="str">
        <f>IF(tblItems[[#This Row],[หมวดย่อย]]="","",IFERROR(VLOOKUP(tblItems[[#This Row],[หมวดย่อย]],Lists!$P$2:$R$20,2,FALSE),"ไม่พบหมวด"))</f>
        <v>วัตถุดิบ</v>
      </c>
      <c r="D9" s="6" t="s">
        <v>969</v>
      </c>
      <c r="E9" s="6" t="s">
        <v>326</v>
      </c>
      <c r="F9" s="6">
        <v>500</v>
      </c>
      <c r="G9" s="6" t="s">
        <v>21</v>
      </c>
      <c r="H9" s="7">
        <f>ROUND(230*555/740,2)</f>
        <v>172.5</v>
      </c>
      <c r="I9" s="6">
        <v>200</v>
      </c>
      <c r="J9" s="6" t="s">
        <v>1193</v>
      </c>
      <c r="K9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9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9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172.5</v>
      </c>
      <c r="N9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0.34499999999999997</v>
      </c>
      <c r="O9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9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9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9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9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9" s="8">
        <f>IF(tblItems[[#This Row],[รหัสสินค้า]]="","",tblItems[[#This Row],[คงเหลือ (หน่วยใช้)]]*tblItems[[#This Row],[ต้นทุนต่อหน่วยใช้]])</f>
        <v>0</v>
      </c>
      <c r="U9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9" s="143">
        <f>IF(OR(U9="ใกล้หมด",U9="หมด"),COUNTIF(U$6:U9,"ใกล้หมด")+COUNTIF(U$6:U9,"หมด"),"")</f>
        <v>4</v>
      </c>
    </row>
    <row r="10" spans="1:22" x14ac:dyDescent="0.25">
      <c r="A10" s="182" t="str">
        <f>IF(OR(tblItems[[#This Row],[ชื่อสินค้า]]="",tblItems[[#This Row],[หมวดย่อย]]=""),"",IFERROR(VLOOKUP(tblItems[[#This Row],[หมวดย่อย]],Lists!$P$2:$R$20,3,FALSE),"??")&amp;"-"&amp;TEXT(COUNTIF($D$6:D10,tblItems[[#This Row],[หมวดย่อย]]),"00"))</f>
        <v>RM-SWT-01</v>
      </c>
      <c r="B10" s="6" t="s">
        <v>93</v>
      </c>
      <c r="C10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0" s="6" t="s">
        <v>977</v>
      </c>
      <c r="E10" s="6" t="s">
        <v>326</v>
      </c>
      <c r="F10" s="6">
        <v>1000</v>
      </c>
      <c r="G10" s="6" t="s">
        <v>21</v>
      </c>
      <c r="H10" s="7">
        <v>26</v>
      </c>
      <c r="I10" s="6">
        <v>2000</v>
      </c>
      <c r="J10" s="6"/>
      <c r="K10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0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0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26</v>
      </c>
      <c r="N10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2.5999999999999999E-2</v>
      </c>
      <c r="O10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0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0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0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0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0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0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0" s="143">
        <f>IF(OR(U10="ใกล้หมด",U10="หมด"),COUNTIF(U$6:U10,"ใกล้หมด")+COUNTIF(U$6:U10,"หมด"),"")</f>
        <v>5</v>
      </c>
    </row>
    <row r="11" spans="1:22" x14ac:dyDescent="0.25">
      <c r="A11" s="182" t="str">
        <f>IF(OR(tblItems[[#This Row],[ชื่อสินค้า]]="",tblItems[[#This Row],[หมวดย่อย]]=""),"",IFERROR(VLOOKUP(tblItems[[#This Row],[หมวดย่อย]],Lists!$P$2:$R$20,3,FALSE),"??")&amp;"-"&amp;TEXT(COUNTIF($D$6:D11,tblItems[[#This Row],[หมวดย่อย]]),"00"))</f>
        <v>RM-SEA-01</v>
      </c>
      <c r="B11" s="6" t="s">
        <v>94</v>
      </c>
      <c r="C11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1" s="6" t="s">
        <v>989</v>
      </c>
      <c r="E11" s="6" t="s">
        <v>326</v>
      </c>
      <c r="F11" s="6">
        <v>500</v>
      </c>
      <c r="G11" s="6" t="s">
        <v>21</v>
      </c>
      <c r="H11" s="7">
        <v>10</v>
      </c>
      <c r="I11" s="6">
        <v>100</v>
      </c>
      <c r="J11" s="6"/>
      <c r="K11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1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1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10</v>
      </c>
      <c r="N11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0.02</v>
      </c>
      <c r="O11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1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1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1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1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1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1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1" s="143">
        <f>IF(OR(U11="ใกล้หมด",U11="หมด"),COUNTIF(U$6:U11,"ใกล้หมด")+COUNTIF(U$6:U11,"หมด"),"")</f>
        <v>6</v>
      </c>
    </row>
    <row r="12" spans="1:22" x14ac:dyDescent="0.25">
      <c r="A12" s="182" t="str">
        <f>IF(OR(tblItems[[#This Row],[ชื่อสินค้า]]="",tblItems[[#This Row],[หมวดย่อย]]=""),"",IFERROR(VLOOKUP(tblItems[[#This Row],[หมวดย่อย]],Lists!$P$2:$R$20,3,FALSE),"??")&amp;"-"&amp;TEXT(COUNTIF($D$6:D12,tblItems[[#This Row],[หมวดย่อย]]),"00"))</f>
        <v>RM-MLK-01</v>
      </c>
      <c r="B12" s="6" t="s">
        <v>374</v>
      </c>
      <c r="C12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2" s="6" t="s">
        <v>973</v>
      </c>
      <c r="E12" s="6" t="s">
        <v>327</v>
      </c>
      <c r="F12" s="6">
        <v>1000</v>
      </c>
      <c r="G12" s="6" t="s">
        <v>13</v>
      </c>
      <c r="H12" s="7">
        <v>48</v>
      </c>
      <c r="I12" s="6">
        <v>3000</v>
      </c>
      <c r="J12" s="6"/>
      <c r="K12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2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2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48</v>
      </c>
      <c r="N12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4.8000000000000001E-2</v>
      </c>
      <c r="O12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2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2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2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2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2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2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2" s="143">
        <f>IF(OR(U12="ใกล้หมด",U12="หมด"),COUNTIF(U$6:U12,"ใกล้หมด")+COUNTIF(U$6:U12,"หมด"),"")</f>
        <v>7</v>
      </c>
    </row>
    <row r="13" spans="1:22" x14ac:dyDescent="0.25">
      <c r="A13" s="182" t="str">
        <f>IF(OR(tblItems[[#This Row],[ชื่อสินค้า]]="",tblItems[[#This Row],[หมวดย่อย]]=""),"",IFERROR(VLOOKUP(tblItems[[#This Row],[หมวดย่อย]],Lists!$P$2:$R$20,3,FALSE),"??")&amp;"-"&amp;TEXT(COUNTIF($D$6:D13,tblItems[[#This Row],[หมวดย่อย]]),"00"))</f>
        <v>RM-MLK-02</v>
      </c>
      <c r="B13" s="6" t="s">
        <v>16</v>
      </c>
      <c r="C13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3" s="6" t="s">
        <v>973</v>
      </c>
      <c r="E13" s="6" t="s">
        <v>328</v>
      </c>
      <c r="F13" s="6">
        <v>405</v>
      </c>
      <c r="G13" s="6" t="s">
        <v>13</v>
      </c>
      <c r="H13" s="7">
        <v>30</v>
      </c>
      <c r="I13" s="6">
        <v>1500</v>
      </c>
      <c r="J13" s="6" t="s">
        <v>110</v>
      </c>
      <c r="K13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3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3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30</v>
      </c>
      <c r="N13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7.407407407407407E-2</v>
      </c>
      <c r="O13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3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3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3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3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3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3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3" s="143">
        <f>IF(OR(U13="ใกล้หมด",U13="หมด"),COUNTIF(U$6:U13,"ใกล้หมด")+COUNTIF(U$6:U13,"หมด"),"")</f>
        <v>8</v>
      </c>
    </row>
    <row r="14" spans="1:22" x14ac:dyDescent="0.25">
      <c r="A14" s="182" t="str">
        <f>IF(OR(tblItems[[#This Row],[ชื่อสินค้า]]="",tblItems[[#This Row],[หมวดย่อย]]=""),"",IFERROR(VLOOKUP(tblItems[[#This Row],[หมวดย่อย]],Lists!$P$2:$R$20,3,FALSE),"??")&amp;"-"&amp;TEXT(COUNTIF($D$6:D14,tblItems[[#This Row],[หมวดย่อย]]),"00"))</f>
        <v>RM-MLK-03</v>
      </c>
      <c r="B14" s="6" t="s">
        <v>17</v>
      </c>
      <c r="C14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4" s="6" t="s">
        <v>973</v>
      </c>
      <c r="E14" s="6" t="s">
        <v>328</v>
      </c>
      <c r="F14" s="6">
        <v>505</v>
      </c>
      <c r="G14" s="6" t="s">
        <v>13</v>
      </c>
      <c r="H14" s="7">
        <v>35</v>
      </c>
      <c r="I14" s="6">
        <v>1500</v>
      </c>
      <c r="J14" s="6" t="s">
        <v>375</v>
      </c>
      <c r="K14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4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4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35</v>
      </c>
      <c r="N14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6.9306930693069313E-2</v>
      </c>
      <c r="O14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4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4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4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4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4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4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4" s="143">
        <f>IF(OR(U14="ใกล้หมด",U14="หมด"),COUNTIF(U$6:U14,"ใกล้หมด")+COUNTIF(U$6:U14,"หมด"),"")</f>
        <v>9</v>
      </c>
    </row>
    <row r="15" spans="1:22" x14ac:dyDescent="0.25">
      <c r="A15" s="182" t="str">
        <f>IF(OR(tblItems[[#This Row],[ชื่อสินค้า]]="",tblItems[[#This Row],[หมวดย่อย]]=""),"",IFERROR(VLOOKUP(tblItems[[#This Row],[หมวดย่อย]],Lists!$P$2:$R$20,3,FALSE),"??")&amp;"-"&amp;TEXT(COUNTIF($D$6:D15,tblItems[[#This Row],[หมวดย่อย]]),"00"))</f>
        <v>RM-SWT-02</v>
      </c>
      <c r="B15" s="6" t="s">
        <v>135</v>
      </c>
      <c r="C15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5" s="6" t="s">
        <v>977</v>
      </c>
      <c r="E15" s="6" t="s">
        <v>329</v>
      </c>
      <c r="F15" s="6">
        <v>1000</v>
      </c>
      <c r="G15" s="6" t="s">
        <v>13</v>
      </c>
      <c r="H15" s="7">
        <v>350</v>
      </c>
      <c r="I15" s="6">
        <v>500</v>
      </c>
      <c r="J15" s="6"/>
      <c r="K15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5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5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350</v>
      </c>
      <c r="N15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0.35</v>
      </c>
      <c r="O15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5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5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5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5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5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5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5" s="143">
        <f>IF(OR(U15="ใกล้หมด",U15="หมด"),COUNTIF(U$6:U15,"ใกล้หมด")+COUNTIF(U$6:U15,"หมด"),"")</f>
        <v>10</v>
      </c>
    </row>
    <row r="16" spans="1:22" x14ac:dyDescent="0.25">
      <c r="A16" s="182" t="str">
        <f>IF(OR(tblItems[[#This Row],[ชื่อสินค้า]]="",tblItems[[#This Row],[หมวดย่อย]]=""),"",IFERROR(VLOOKUP(tblItems[[#This Row],[หมวดย่อย]],Lists!$P$2:$R$20,3,FALSE),"??")&amp;"-"&amp;TEXT(COUNTIF($D$6:D16,tblItems[[#This Row],[หมวดย่อย]]),"00"))</f>
        <v>RM-POW-01</v>
      </c>
      <c r="B16" s="6" t="s">
        <v>376</v>
      </c>
      <c r="C16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6" s="6" t="s">
        <v>979</v>
      </c>
      <c r="E16" s="6" t="s">
        <v>326</v>
      </c>
      <c r="F16" s="6">
        <v>1000</v>
      </c>
      <c r="G16" s="6" t="s">
        <v>21</v>
      </c>
      <c r="H16" s="7">
        <v>600</v>
      </c>
      <c r="I16" s="6">
        <v>200</v>
      </c>
      <c r="J16" s="6"/>
      <c r="K16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6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6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600</v>
      </c>
      <c r="N16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0.6</v>
      </c>
      <c r="O16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6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6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6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6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6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6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6" s="143">
        <f>IF(OR(U16="ใกล้หมด",U16="หมด"),COUNTIF(U$6:U16,"ใกล้หมด")+COUNTIF(U$6:U16,"หมด"),"")</f>
        <v>11</v>
      </c>
    </row>
    <row r="17" spans="1:22" x14ac:dyDescent="0.25">
      <c r="A17" s="182" t="str">
        <f>IF(OR(tblItems[[#This Row],[ชื่อสินค้า]]="",tblItems[[#This Row],[หมวดย่อย]]=""),"",IFERROR(VLOOKUP(tblItems[[#This Row],[หมวดย่อย]],Lists!$P$2:$R$20,3,FALSE),"??")&amp;"-"&amp;TEXT(COUNTIF($D$6:D17,tblItems[[#This Row],[หมวดย่อย]]),"00"))</f>
        <v>RM-JUI-01</v>
      </c>
      <c r="B17" s="6" t="s">
        <v>377</v>
      </c>
      <c r="C17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7" s="6" t="s">
        <v>981</v>
      </c>
      <c r="E17" s="6" t="s">
        <v>327</v>
      </c>
      <c r="F17" s="6">
        <v>1000</v>
      </c>
      <c r="G17" s="6" t="s">
        <v>13</v>
      </c>
      <c r="H17" s="7">
        <v>55</v>
      </c>
      <c r="I17" s="6">
        <v>1000</v>
      </c>
      <c r="J17" s="6"/>
      <c r="K17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7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7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55</v>
      </c>
      <c r="N17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5.5E-2</v>
      </c>
      <c r="O17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7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7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7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7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7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7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7" s="143">
        <f>IF(OR(U17="ใกล้หมด",U17="หมด"),COUNTIF(U$6:U17,"ใกล้หมด")+COUNTIF(U$6:U17,"หมด"),"")</f>
        <v>12</v>
      </c>
    </row>
    <row r="18" spans="1:22" x14ac:dyDescent="0.25">
      <c r="A18" s="182" t="str">
        <f>IF(OR(tblItems[[#This Row],[ชื่อสินค้า]]="",tblItems[[#This Row],[หมวดย่อย]]=""),"",IFERROR(VLOOKUP(tblItems[[#This Row],[หมวดย่อย]],Lists!$P$2:$R$20,3,FALSE),"??")&amp;"-"&amp;TEXT(COUNTIF($D$6:D18,tblItems[[#This Row],[หมวดย่อย]]),"00"))</f>
        <v>RM-JUI-02</v>
      </c>
      <c r="B18" s="6" t="s">
        <v>378</v>
      </c>
      <c r="C18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8" s="6" t="s">
        <v>981</v>
      </c>
      <c r="E18" s="6" t="s">
        <v>329</v>
      </c>
      <c r="F18" s="6">
        <v>1000</v>
      </c>
      <c r="G18" s="6" t="s">
        <v>13</v>
      </c>
      <c r="H18" s="7">
        <v>60</v>
      </c>
      <c r="I18" s="6">
        <v>1500</v>
      </c>
      <c r="J18" s="6" t="s">
        <v>379</v>
      </c>
      <c r="K18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8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8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60</v>
      </c>
      <c r="N18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0.06</v>
      </c>
      <c r="O18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8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8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8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8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8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8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8" s="143">
        <f>IF(OR(U18="ใกล้หมด",U18="หมด"),COUNTIF(U$6:U18,"ใกล้หมด")+COUNTIF(U$6:U18,"หมด"),"")</f>
        <v>13</v>
      </c>
    </row>
    <row r="19" spans="1:22" x14ac:dyDescent="0.25">
      <c r="A19" s="182" t="str">
        <f>IF(OR(tblItems[[#This Row],[ชื่อสินค้า]]="",tblItems[[#This Row],[หมวดย่อย]]=""),"",IFERROR(VLOOKUP(tblItems[[#This Row],[หมวดย่อย]],Lists!$P$2:$R$20,3,FALSE),"??")&amp;"-"&amp;TEXT(COUNTIF($D$6:D19,tblItems[[#This Row],[หมวดย่อย]]),"00"))</f>
        <v>RM-MLK-04</v>
      </c>
      <c r="B19" s="6" t="s">
        <v>100</v>
      </c>
      <c r="C19" s="182" t="str">
        <f>IF(tblItems[[#This Row],[หมวดย่อย]]="","",IFERROR(VLOOKUP(tblItems[[#This Row],[หมวดย่อย]],Lists!$P$2:$R$20,2,FALSE),"ไม่พบหมวด"))</f>
        <v>วัตถุดิบ</v>
      </c>
      <c r="D19" s="6" t="s">
        <v>973</v>
      </c>
      <c r="E19" s="6" t="s">
        <v>327</v>
      </c>
      <c r="F19" s="6">
        <v>1000</v>
      </c>
      <c r="G19" s="6" t="s">
        <v>13</v>
      </c>
      <c r="H19" s="7">
        <v>65</v>
      </c>
      <c r="I19" s="6">
        <v>500</v>
      </c>
      <c r="J19" s="6" t="s">
        <v>380</v>
      </c>
      <c r="K19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19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19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65</v>
      </c>
      <c r="N19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6.5000000000000002E-2</v>
      </c>
      <c r="O19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19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19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19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19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19" s="8">
        <f>IF(tblItems[[#This Row],[รหัสสินค้า]]="","",tblItems[[#This Row],[คงเหลือ (หน่วยใช้)]]*tblItems[[#This Row],[ต้นทุนต่อหน่วยใช้]])</f>
        <v>0</v>
      </c>
      <c r="U19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19" s="143">
        <f>IF(OR(U19="ใกล้หมด",U19="หมด"),COUNTIF(U$6:U19,"ใกล้หมด")+COUNTIF(U$6:U19,"หมด"),"")</f>
        <v>14</v>
      </c>
    </row>
    <row r="20" spans="1:22" x14ac:dyDescent="0.25">
      <c r="A20" s="182" t="str">
        <f>IF(OR(tblItems[[#This Row],[ชื่อสินค้า]]="",tblItems[[#This Row],[หมวดย่อย]]=""),"",IFERROR(VLOOKUP(tblItems[[#This Row],[หมวดย่อย]],Lists!$P$2:$R$20,3,FALSE),"??")&amp;"-"&amp;TEXT(COUNTIF($D$6:D20,tblItems[[#This Row],[หมวดย่อย]]),"00"))</f>
        <v>RM-SWT-03</v>
      </c>
      <c r="B20" s="6" t="s">
        <v>102</v>
      </c>
      <c r="C20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0" s="6" t="s">
        <v>977</v>
      </c>
      <c r="E20" s="6" t="s">
        <v>329</v>
      </c>
      <c r="F20" s="6">
        <v>750</v>
      </c>
      <c r="G20" s="6" t="s">
        <v>13</v>
      </c>
      <c r="H20" s="7">
        <v>180</v>
      </c>
      <c r="I20" s="6">
        <v>300</v>
      </c>
      <c r="J20" s="6"/>
      <c r="K20" s="8">
        <f>IF(tblItems[[#This Row],[รหัสสินค้า]]="","",SUMIFS(tblPurchases[จำนวน (หน่วยซื้อ)],tblPurchases[รหัสสินค้า],tblItems[[#This Row],[รหัสสินค้า]]))</f>
        <v>2</v>
      </c>
      <c r="L20" s="8">
        <f>IF(tblItems[[#This Row],[รหัสสินค้า]]="","",SUMIFS(tblPurchases[ราคารวม (บาท)],tblPurchases[รหัสสินค้า],tblItems[[#This Row],[รหัสสินค้า]]))</f>
        <v>297</v>
      </c>
      <c r="M20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148.5</v>
      </c>
      <c r="N20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0.19800000000000001</v>
      </c>
      <c r="O20" s="10">
        <f>IF(tblItems[[#This Row],[รหัสสินค้า]]="","",tblItems[[#This Row],[ซื้อรวม (หน่วยซื้อ)]]*tblItems[[#This Row],[ปริมาณต่อหน่วยซื้อ]])</f>
        <v>1500</v>
      </c>
      <c r="P20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0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0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1500</v>
      </c>
      <c r="S20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2</v>
      </c>
      <c r="T20" s="8">
        <f>IF(tblItems[[#This Row],[รหัสสินค้า]]="","",tblItems[[#This Row],[คงเหลือ (หน่วยใช้)]]*tblItems[[#This Row],[ต้นทุนต่อหน่วยใช้]])</f>
        <v>297</v>
      </c>
      <c r="U20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ปกติ</v>
      </c>
      <c r="V20" s="143" t="str">
        <f>IF(OR(U20="ใกล้หมด",U20="หมด"),COUNTIF(U$6:U20,"ใกล้หมด")+COUNTIF(U$6:U20,"หมด"),"")</f>
        <v/>
      </c>
    </row>
    <row r="21" spans="1:22" x14ac:dyDescent="0.25">
      <c r="A21" s="182" t="str">
        <f>IF(OR(tblItems[[#This Row],[ชื่อสินค้า]]="",tblItems[[#This Row],[หมวดย่อย]]=""),"",IFERROR(VLOOKUP(tblItems[[#This Row],[หมวดย่อย]],Lists!$P$2:$R$20,3,FALSE),"??")&amp;"-"&amp;TEXT(COUNTIF($D$6:D21,tblItems[[#This Row],[หมวดย่อย]]),"00"))</f>
        <v>RM-SAU-01</v>
      </c>
      <c r="B21" s="6" t="s">
        <v>24</v>
      </c>
      <c r="C21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1" s="6" t="s">
        <v>983</v>
      </c>
      <c r="E21" s="6" t="s">
        <v>329</v>
      </c>
      <c r="F21" s="6">
        <v>1000</v>
      </c>
      <c r="G21" s="6" t="s">
        <v>21</v>
      </c>
      <c r="H21" s="7">
        <v>180</v>
      </c>
      <c r="I21" s="6">
        <v>300</v>
      </c>
      <c r="J21" s="6"/>
      <c r="K21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1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1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180</v>
      </c>
      <c r="N21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0.18</v>
      </c>
      <c r="O21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1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1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1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1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1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1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1" s="143">
        <f>IF(OR(U21="ใกล้หมด",U21="หมด"),COUNTIF(U$6:U21,"ใกล้หมด")+COUNTIF(U$6:U21,"หมด"),"")</f>
        <v>15</v>
      </c>
    </row>
    <row r="22" spans="1:22" x14ac:dyDescent="0.25">
      <c r="A22" s="182" t="str">
        <f>IF(OR(tblItems[[#This Row],[ชื่อสินค้า]]="",tblItems[[#This Row],[หมวดย่อย]]=""),"",IFERROR(VLOOKUP(tblItems[[#This Row],[หมวดย่อย]],Lists!$P$2:$R$20,3,FALSE),"??")&amp;"-"&amp;TEXT(COUNTIF($D$6:D22,tblItems[[#This Row],[หมวดย่อย]]),"00"))</f>
        <v>RM-JUI-03</v>
      </c>
      <c r="B22" s="6" t="s">
        <v>381</v>
      </c>
      <c r="C22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2" s="6" t="s">
        <v>981</v>
      </c>
      <c r="E22" s="6" t="s">
        <v>332</v>
      </c>
      <c r="F22" s="6">
        <v>250</v>
      </c>
      <c r="G22" s="6" t="s">
        <v>13</v>
      </c>
      <c r="H22" s="7">
        <v>60</v>
      </c>
      <c r="I22" s="6">
        <v>300</v>
      </c>
      <c r="J22" s="6" t="s">
        <v>382</v>
      </c>
      <c r="K22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2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2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60</v>
      </c>
      <c r="N22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0.24</v>
      </c>
      <c r="O22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2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2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2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2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2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2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2" s="143">
        <f>IF(OR(U22="ใกล้หมด",U22="หมด"),COUNTIF(U$6:U22,"ใกล้หมด")+COUNTIF(U$6:U22,"หมด"),"")</f>
        <v>16</v>
      </c>
    </row>
    <row r="23" spans="1:22" x14ac:dyDescent="0.25">
      <c r="A23" s="182" t="str">
        <f>IF(OR(tblItems[[#This Row],[ชื่อสินค้า]]="",tblItems[[#This Row],[หมวดย่อย]]=""),"",IFERROR(VLOOKUP(tblItems[[#This Row],[หมวดย่อย]],Lists!$P$2:$R$20,3,FALSE),"??")&amp;"-"&amp;TEXT(COUNTIF($D$6:D23,tblItems[[#This Row],[หมวดย่อย]]),"00"))</f>
        <v>RM-SOD-01</v>
      </c>
      <c r="B23" s="6" t="s">
        <v>26</v>
      </c>
      <c r="C23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3" s="6" t="s">
        <v>985</v>
      </c>
      <c r="E23" s="6" t="s">
        <v>329</v>
      </c>
      <c r="F23" s="6">
        <v>325</v>
      </c>
      <c r="G23" s="6" t="s">
        <v>13</v>
      </c>
      <c r="H23" s="7">
        <v>7</v>
      </c>
      <c r="I23" s="6">
        <v>1000</v>
      </c>
      <c r="J23" s="6"/>
      <c r="K23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3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3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7</v>
      </c>
      <c r="N23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2.1538461538461538E-2</v>
      </c>
      <c r="O23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3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3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3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3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3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3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3" s="143">
        <f>IF(OR(U23="ใกล้หมด",U23="หมด"),COUNTIF(U$6:U23,"ใกล้หมด")+COUNTIF(U$6:U23,"หมด"),"")</f>
        <v>17</v>
      </c>
    </row>
    <row r="24" spans="1:22" x14ac:dyDescent="0.25">
      <c r="A24" s="182" t="str">
        <f>IF(OR(tblItems[[#This Row],[ชื่อสินค้า]]="",tblItems[[#This Row],[หมวดย่อย]]=""),"",IFERROR(VLOOKUP(tblItems[[#This Row],[หมวดย่อย]],Lists!$P$2:$R$20,3,FALSE),"??")&amp;"-"&amp;TEXT(COUNTIF($D$6:D24,tblItems[[#This Row],[หมวดย่อย]]),"00"))</f>
        <v>RM-CRM-01</v>
      </c>
      <c r="B24" s="6" t="s">
        <v>118</v>
      </c>
      <c r="C24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4" s="6" t="s">
        <v>975</v>
      </c>
      <c r="E24" s="6" t="s">
        <v>327</v>
      </c>
      <c r="F24" s="6">
        <v>1000</v>
      </c>
      <c r="G24" s="6" t="s">
        <v>21</v>
      </c>
      <c r="H24" s="7">
        <v>250</v>
      </c>
      <c r="I24" s="6">
        <v>300</v>
      </c>
      <c r="J24" s="6" t="s">
        <v>383</v>
      </c>
      <c r="K24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4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4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250</v>
      </c>
      <c r="N24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0.25</v>
      </c>
      <c r="O24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4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4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4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4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4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4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4" s="143">
        <f>IF(OR(U24="ใกล้หมด",U24="หมด"),COUNTIF(U$6:U24,"ใกล้หมด")+COUNTIF(U$6:U24,"หมด"),"")</f>
        <v>18</v>
      </c>
    </row>
    <row r="25" spans="1:22" x14ac:dyDescent="0.25">
      <c r="A25" s="182" t="str">
        <f>IF(OR(tblItems[[#This Row],[ชื่อสินค้า]]="",tblItems[[#This Row],[หมวดย่อย]]=""),"",IFERROR(VLOOKUP(tblItems[[#This Row],[หมวดย่อย]],Lists!$P$2:$R$20,3,FALSE),"??")&amp;"-"&amp;TEXT(COUNTIF($D$6:D25,tblItems[[#This Row],[หมวดย่อย]]),"00"))</f>
        <v>RM-CRM-02</v>
      </c>
      <c r="B25" s="6" t="s">
        <v>120</v>
      </c>
      <c r="C25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5" s="6" t="s">
        <v>975</v>
      </c>
      <c r="E25" s="6" t="s">
        <v>327</v>
      </c>
      <c r="F25" s="6">
        <v>1000</v>
      </c>
      <c r="G25" s="6" t="s">
        <v>13</v>
      </c>
      <c r="H25" s="7">
        <v>180</v>
      </c>
      <c r="I25" s="6">
        <v>500</v>
      </c>
      <c r="J25" s="6" t="s">
        <v>384</v>
      </c>
      <c r="K25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5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5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180</v>
      </c>
      <c r="N25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0.18</v>
      </c>
      <c r="O25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5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5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5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5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5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5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5" s="143">
        <f>IF(OR(U25="ใกล้หมด",U25="หมด"),COUNTIF(U$6:U25,"ใกล้หมด")+COUNTIF(U$6:U25,"หมด"),"")</f>
        <v>19</v>
      </c>
    </row>
    <row r="26" spans="1:22" x14ac:dyDescent="0.25">
      <c r="A26" s="182" t="str">
        <f>IF(OR(tblItems[[#This Row],[ชื่อสินค้า]]="",tblItems[[#This Row],[หมวดย่อย]]=""),"",IFERROR(VLOOKUP(tblItems[[#This Row],[หมวดย่อย]],Lists!$P$2:$R$20,3,FALSE),"??")&amp;"-"&amp;TEXT(COUNTIF($D$6:D26,tblItems[[#This Row],[หมวดย่อย]]),"00"))</f>
        <v>RM-WTR-01</v>
      </c>
      <c r="B26" s="6" t="s">
        <v>385</v>
      </c>
      <c r="C26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6" s="6" t="s">
        <v>987</v>
      </c>
      <c r="E26" s="6" t="s">
        <v>331</v>
      </c>
      <c r="F26" s="6">
        <v>20000</v>
      </c>
      <c r="G26" s="6" t="s">
        <v>21</v>
      </c>
      <c r="H26" s="7">
        <v>280</v>
      </c>
      <c r="I26" s="6">
        <v>10000</v>
      </c>
      <c r="J26" s="6"/>
      <c r="K26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6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6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280</v>
      </c>
      <c r="N26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1.4E-2</v>
      </c>
      <c r="O26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6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6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6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6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6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6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6" s="143">
        <f>IF(OR(U26="ใกล้หมด",U26="หมด"),COUNTIF(U$6:U26,"ใกล้หมด")+COUNTIF(U$6:U26,"หมด"),"")</f>
        <v>20</v>
      </c>
    </row>
    <row r="27" spans="1:22" x14ac:dyDescent="0.25">
      <c r="A27" s="182" t="str">
        <f>IF(OR(tblItems[[#This Row],[ชื่อสินค้า]]="",tblItems[[#This Row],[หมวดย่อย]]=""),"",IFERROR(VLOOKUP(tblItems[[#This Row],[หมวดย่อย]],Lists!$P$2:$R$20,3,FALSE),"??")&amp;"-"&amp;TEXT(COUNTIF($D$6:D27,tblItems[[#This Row],[หมวดย่อย]]),"00"))</f>
        <v>RM-WTR-02</v>
      </c>
      <c r="B27" s="6" t="s">
        <v>386</v>
      </c>
      <c r="C27" s="182" t="str">
        <f>IF(tblItems[[#This Row],[หมวดย่อย]]="","",IFERROR(VLOOKUP(tblItems[[#This Row],[หมวดย่อย]],Lists!$P$2:$R$20,2,FALSE),"ไม่พบหมวด"))</f>
        <v>วัตถุดิบ</v>
      </c>
      <c r="D27" s="6" t="s">
        <v>987</v>
      </c>
      <c r="E27" s="6" t="s">
        <v>333</v>
      </c>
      <c r="F27" s="6">
        <v>20000</v>
      </c>
      <c r="G27" s="6" t="s">
        <v>13</v>
      </c>
      <c r="H27" s="7">
        <v>15</v>
      </c>
      <c r="I27" s="6">
        <v>10000</v>
      </c>
      <c r="J27" s="6" t="s">
        <v>387</v>
      </c>
      <c r="K27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7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7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15</v>
      </c>
      <c r="N27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7.5000000000000002E-4</v>
      </c>
      <c r="O27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7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7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7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7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7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7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7" s="143">
        <f>IF(OR(U27="ใกล้หมด",U27="หมด"),COUNTIF(U$6:U27,"ใกล้หมด")+COUNTIF(U$6:U27,"หมด"),"")</f>
        <v>21</v>
      </c>
    </row>
    <row r="28" spans="1:22" x14ac:dyDescent="0.25">
      <c r="A28" s="182" t="str">
        <f>IF(OR(tblItems[[#This Row],[ชื่อสินค้า]]="",tblItems[[#This Row],[หมวดย่อย]]=""),"",IFERROR(VLOOKUP(tblItems[[#This Row],[หมวดย่อย]],Lists!$P$2:$R$20,3,FALSE),"??")&amp;"-"&amp;TEXT(COUNTIF($D$6:D28,tblItems[[#This Row],[หมวดย่อย]]),"00"))</f>
        <v>PK-CUP-01</v>
      </c>
      <c r="B28" s="6" t="s">
        <v>388</v>
      </c>
      <c r="C28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28" s="6" t="s">
        <v>501</v>
      </c>
      <c r="E28" s="6" t="s">
        <v>330</v>
      </c>
      <c r="F28" s="6">
        <v>50</v>
      </c>
      <c r="G28" s="6" t="s">
        <v>325</v>
      </c>
      <c r="H28" s="7">
        <v>100</v>
      </c>
      <c r="I28" s="6">
        <v>100</v>
      </c>
      <c r="J28" s="6"/>
      <c r="K28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8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8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100</v>
      </c>
      <c r="N28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</v>
      </c>
      <c r="O28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8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8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8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8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8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8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8" s="143">
        <f>IF(OR(U28="ใกล้หมด",U28="หมด"),COUNTIF(U$6:U28,"ใกล้หมด")+COUNTIF(U$6:U28,"หมด"),"")</f>
        <v>22</v>
      </c>
    </row>
    <row r="29" spans="1:22" x14ac:dyDescent="0.25">
      <c r="A29" s="182" t="str">
        <f>IF(OR(tblItems[[#This Row],[ชื่อสินค้า]]="",tblItems[[#This Row],[หมวดย่อย]]=""),"",IFERROR(VLOOKUP(tblItems[[#This Row],[หมวดย่อย]],Lists!$P$2:$R$20,3,FALSE),"??")&amp;"-"&amp;TEXT(COUNTIF($D$6:D29,tblItems[[#This Row],[หมวดย่อย]]),"00"))</f>
        <v>PK-CUP-02</v>
      </c>
      <c r="B29" s="6" t="s">
        <v>389</v>
      </c>
      <c r="C29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29" s="6" t="s">
        <v>501</v>
      </c>
      <c r="E29" s="6" t="s">
        <v>330</v>
      </c>
      <c r="F29" s="6">
        <v>50</v>
      </c>
      <c r="G29" s="6" t="s">
        <v>325</v>
      </c>
      <c r="H29" s="7">
        <v>140</v>
      </c>
      <c r="I29" s="6">
        <v>100</v>
      </c>
      <c r="J29" s="6"/>
      <c r="K29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29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29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140</v>
      </c>
      <c r="N29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2.8</v>
      </c>
      <c r="O29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29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29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29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29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29" s="8">
        <f>IF(tblItems[[#This Row],[รหัสสินค้า]]="","",tblItems[[#This Row],[คงเหลือ (หน่วยใช้)]]*tblItems[[#This Row],[ต้นทุนต่อหน่วยใช้]])</f>
        <v>0</v>
      </c>
      <c r="U29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29" s="143">
        <f>IF(OR(U29="ใกล้หมด",U29="หมด"),COUNTIF(U$6:U29,"ใกล้หมด")+COUNTIF(U$6:U29,"หมด"),"")</f>
        <v>23</v>
      </c>
    </row>
    <row r="30" spans="1:22" x14ac:dyDescent="0.25">
      <c r="A30" s="182" t="str">
        <f>IF(OR(tblItems[[#This Row],[ชื่อสินค้า]]="",tblItems[[#This Row],[หมวดย่อย]]=""),"",IFERROR(VLOOKUP(tblItems[[#This Row],[หมวดย่อย]],Lists!$P$2:$R$20,3,FALSE),"??")&amp;"-"&amp;TEXT(COUNTIF($D$6:D30,tblItems[[#This Row],[หมวดย่อย]]),"00"))</f>
        <v>PK-LID-01</v>
      </c>
      <c r="B30" s="6" t="s">
        <v>390</v>
      </c>
      <c r="C30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0" s="6" t="s">
        <v>994</v>
      </c>
      <c r="E30" s="6" t="s">
        <v>330</v>
      </c>
      <c r="F30" s="6">
        <v>50</v>
      </c>
      <c r="G30" s="6" t="s">
        <v>325</v>
      </c>
      <c r="H30" s="7">
        <v>50</v>
      </c>
      <c r="I30" s="6">
        <v>100</v>
      </c>
      <c r="J30" s="6"/>
      <c r="K30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0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0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50</v>
      </c>
      <c r="N30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1</v>
      </c>
      <c r="O30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0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0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0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0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0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0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0" s="143">
        <f>IF(OR(U30="ใกล้หมด",U30="หมด"),COUNTIF(U$6:U30,"ใกล้หมด")+COUNTIF(U$6:U30,"หมด"),"")</f>
        <v>24</v>
      </c>
    </row>
    <row r="31" spans="1:22" x14ac:dyDescent="0.25">
      <c r="A31" s="182" t="str">
        <f>IF(OR(tblItems[[#This Row],[ชื่อสินค้า]]="",tblItems[[#This Row],[หมวดย่อย]]=""),"",IFERROR(VLOOKUP(tblItems[[#This Row],[หมวดย่อย]],Lists!$P$2:$R$20,3,FALSE),"??")&amp;"-"&amp;TEXT(COUNTIF($D$6:D31,tblItems[[#This Row],[หมวดย่อย]]),"00"))</f>
        <v>PK-LID-02</v>
      </c>
      <c r="B31" s="6" t="s">
        <v>391</v>
      </c>
      <c r="C31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1" s="6" t="s">
        <v>994</v>
      </c>
      <c r="E31" s="6" t="s">
        <v>330</v>
      </c>
      <c r="F31" s="6">
        <v>50</v>
      </c>
      <c r="G31" s="6" t="s">
        <v>325</v>
      </c>
      <c r="H31" s="7">
        <v>50</v>
      </c>
      <c r="I31" s="6">
        <v>100</v>
      </c>
      <c r="J31" s="6"/>
      <c r="K31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1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1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50</v>
      </c>
      <c r="N31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1</v>
      </c>
      <c r="O31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1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1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1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1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1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1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1" s="143">
        <f>IF(OR(U31="ใกล้หมด",U31="หมด"),COUNTIF(U$6:U31,"ใกล้หมด")+COUNTIF(U$6:U31,"หมด"),"")</f>
        <v>25</v>
      </c>
    </row>
    <row r="32" spans="1:22" x14ac:dyDescent="0.25">
      <c r="A32" s="182" t="str">
        <f>IF(OR(tblItems[[#This Row],[ชื่อสินค้า]]="",tblItems[[#This Row],[หมวดย่อย]]=""),"",IFERROR(VLOOKUP(tblItems[[#This Row],[หมวดย่อย]],Lists!$P$2:$R$20,3,FALSE),"??")&amp;"-"&amp;TEXT(COUNTIF($D$6:D32,tblItems[[#This Row],[หมวดย่อย]]),"00"))</f>
        <v>PK-STR-01</v>
      </c>
      <c r="B32" s="6" t="s">
        <v>392</v>
      </c>
      <c r="C32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2" s="6" t="s">
        <v>392</v>
      </c>
      <c r="E32" s="6" t="s">
        <v>330</v>
      </c>
      <c r="F32" s="6">
        <v>100</v>
      </c>
      <c r="G32" s="6" t="s">
        <v>325</v>
      </c>
      <c r="H32" s="7">
        <v>50</v>
      </c>
      <c r="I32" s="6">
        <v>200</v>
      </c>
      <c r="J32" s="6"/>
      <c r="K32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2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2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50</v>
      </c>
      <c r="N32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0.5</v>
      </c>
      <c r="O32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2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2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2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2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2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2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2" s="143">
        <f>IF(OR(U32="ใกล้หมด",U32="หมด"),COUNTIF(U$6:U32,"ใกล้หมด")+COUNTIF(U$6:U32,"หมด"),"")</f>
        <v>26</v>
      </c>
    </row>
    <row r="33" spans="1:22" x14ac:dyDescent="0.25">
      <c r="A33" s="182" t="str">
        <f>IF(OR(tblItems[[#This Row],[ชื่อสินค้า]]="",tblItems[[#This Row],[หมวดย่อย]]=""),"",IFERROR(VLOOKUP(tblItems[[#This Row],[หมวดย่อย]],Lists!$P$2:$R$20,3,FALSE),"??")&amp;"-"&amp;TEXT(COUNTIF($D$6:D33,tblItems[[#This Row],[หมวดย่อย]]),"00"))</f>
        <v>PK-LBL-01</v>
      </c>
      <c r="B33" s="6" t="s">
        <v>393</v>
      </c>
      <c r="C33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3" s="6" t="s">
        <v>997</v>
      </c>
      <c r="E33" s="6" t="s">
        <v>330</v>
      </c>
      <c r="F33" s="6">
        <v>100</v>
      </c>
      <c r="G33" s="6" t="s">
        <v>325</v>
      </c>
      <c r="H33" s="7">
        <v>50</v>
      </c>
      <c r="I33" s="6">
        <v>200</v>
      </c>
      <c r="J33" s="6"/>
      <c r="K33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3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3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50</v>
      </c>
      <c r="N33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0.5</v>
      </c>
      <c r="O33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3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3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3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3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3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3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3" s="143">
        <f>IF(OR(U33="ใกล้หมด",U33="หมด"),COUNTIF(U$6:U33,"ใกล้หมด")+COUNTIF(U$6:U33,"หมด"),"")</f>
        <v>27</v>
      </c>
    </row>
    <row r="34" spans="1:22" x14ac:dyDescent="0.25">
      <c r="A34" s="182" t="str">
        <f>IF(OR(tblItems[[#This Row],[ชื่อสินค้า]]="",tblItems[[#This Row],[หมวดย่อย]]=""),"",IFERROR(VLOOKUP(tblItems[[#This Row],[หมวดย่อย]],Lists!$P$2:$R$20,3,FALSE),"??")&amp;"-"&amp;TEXT(COUNTIF($D$6:D34,tblItems[[#This Row],[หมวดย่อย]]),"00"))</f>
        <v>RM-MAT-01</v>
      </c>
      <c r="B34" s="6" t="s">
        <v>604</v>
      </c>
      <c r="C34" s="182" t="str">
        <f>IF(tblItems[[#This Row],[หมวดย่อย]]="","",IFERROR(VLOOKUP(tblItems[[#This Row],[หมวดย่อย]],Lists!$P$2:$R$20,2,FALSE),"ไม่พบหมวด"))</f>
        <v>วัตถุดิบ</v>
      </c>
      <c r="D34" s="6" t="s">
        <v>971</v>
      </c>
      <c r="E34" s="6" t="s">
        <v>326</v>
      </c>
      <c r="F34" s="6">
        <v>500</v>
      </c>
      <c r="G34" s="6" t="s">
        <v>21</v>
      </c>
      <c r="H34" s="7">
        <v>2200</v>
      </c>
      <c r="I34" s="6">
        <v>100</v>
      </c>
      <c r="J34" s="6" t="s">
        <v>605</v>
      </c>
      <c r="K34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4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4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2200</v>
      </c>
      <c r="N34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4.4000000000000004</v>
      </c>
      <c r="O34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4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4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4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4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4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4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4" s="143">
        <f>IF(OR(U34="ใกล้หมด",U34="หมด"),COUNTIF(U$6:U34,"ใกล้หมด")+COUNTIF(U$6:U34,"หมด"),"")</f>
        <v>28</v>
      </c>
    </row>
    <row r="35" spans="1:22" x14ac:dyDescent="0.25">
      <c r="A35" s="182" t="str">
        <f>IF(OR(tblItems[[#This Row],[ชื่อสินค้า]]="",tblItems[[#This Row],[หมวดย่อย]]=""),"",IFERROR(VLOOKUP(tblItems[[#This Row],[หมวดย่อย]],Lists!$P$2:$R$20,3,FALSE),"??")&amp;"-"&amp;TEXT(COUNTIF($D$6:D35,tblItems[[#This Row],[หมวดย่อย]]),"00"))</f>
        <v>RM-WTR-03</v>
      </c>
      <c r="B35" s="6" t="s">
        <v>826</v>
      </c>
      <c r="C35" s="182" t="str">
        <f>IF(tblItems[[#This Row],[หมวดย่อย]]="","",IFERROR(VLOOKUP(tblItems[[#This Row],[หมวดย่อย]],Lists!$P$2:$R$20,2,FALSE),"ไม่พบหมวด"))</f>
        <v>วัตถุดิบ</v>
      </c>
      <c r="D35" s="6" t="s">
        <v>987</v>
      </c>
      <c r="E35" s="6" t="s">
        <v>333</v>
      </c>
      <c r="F35" s="6">
        <v>20000</v>
      </c>
      <c r="G35" s="6" t="s">
        <v>13</v>
      </c>
      <c r="H35" s="7">
        <v>40</v>
      </c>
      <c r="I35" s="6">
        <v>20000</v>
      </c>
      <c r="J35" s="6" t="s">
        <v>827</v>
      </c>
      <c r="K35" s="8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5" s="8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5" s="9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40</v>
      </c>
      <c r="N35" s="9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2E-3</v>
      </c>
      <c r="O35" s="10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5" s="10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5" s="10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5" s="10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5" s="11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5" s="8">
        <f>IF(tblItems[[#This Row],[รหัสสินค้า]]="","",tblItems[[#This Row],[คงเหลือ (หน่วยใช้)]]*tblItems[[#This Row],[ต้นทุนต่อหน่วยใช้]])</f>
        <v>0</v>
      </c>
      <c r="U35" s="4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5" s="143">
        <f>IF(OR(U35="ใกล้หมด",U35="หมด"),COUNTIF(U$6:U35,"ใกล้หมด")+COUNTIF(U$6:U35,"หมด"),"")</f>
        <v>29</v>
      </c>
    </row>
    <row r="36" spans="1:22" x14ac:dyDescent="0.25">
      <c r="A36" s="182" t="str">
        <f>IF(OR(tblItems[[#This Row],[ชื่อสินค้า]]="",tblItems[[#This Row],[หมวดย่อย]]=""),"",IFERROR(VLOOKUP(tblItems[[#This Row],[หมวดย่อย]],Lists!$P$2:$R$20,3,FALSE),"??")&amp;"-"&amp;TEXT(COUNTIF($D$6:D36,tblItems[[#This Row],[หมวดย่อย]]),"00"))</f>
        <v>PK-CUP-03</v>
      </c>
      <c r="B36" s="137" t="s">
        <v>1042</v>
      </c>
      <c r="C36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6" s="6" t="s">
        <v>501</v>
      </c>
      <c r="E36" s="137" t="s">
        <v>330</v>
      </c>
      <c r="F36" s="137">
        <v>50</v>
      </c>
      <c r="G36" s="137" t="s">
        <v>325</v>
      </c>
      <c r="H36" s="138">
        <v>130</v>
      </c>
      <c r="I36" s="137">
        <v>100</v>
      </c>
      <c r="J36" s="137" t="s">
        <v>1043</v>
      </c>
      <c r="K36" s="139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6" s="139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6" s="140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130</v>
      </c>
      <c r="N36" s="140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2.6</v>
      </c>
      <c r="O36" s="141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6" s="141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6" s="141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6" s="141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6" s="142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6" s="139">
        <f>IF(tblItems[[#This Row],[รหัสสินค้า]]="","",tblItems[[#This Row],[คงเหลือ (หน่วยใช้)]]*tblItems[[#This Row],[ต้นทุนต่อหน่วยใช้]])</f>
        <v>0</v>
      </c>
      <c r="U36" s="143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6" s="143">
        <f>IF(OR(U36="ใกล้หมด",U36="หมด"),COUNTIF(U$6:U36,"ใกล้หมด")+COUNTIF(U$6:U36,"หมด"),"")</f>
        <v>30</v>
      </c>
    </row>
    <row r="37" spans="1:22" x14ac:dyDescent="0.25">
      <c r="A37" s="182" t="str">
        <f>IF(OR(tblItems[[#This Row],[ชื่อสินค้า]]="",tblItems[[#This Row],[หมวดย่อย]]=""),"",IFERROR(VLOOKUP(tblItems[[#This Row],[หมวดย่อย]],Lists!$P$2:$R$20,3,FALSE),"??")&amp;"-"&amp;TEXT(COUNTIF($D$6:D37,tblItems[[#This Row],[หมวดย่อย]]),"00"))</f>
        <v>PK-LID-03</v>
      </c>
      <c r="B37" s="137" t="s">
        <v>1044</v>
      </c>
      <c r="C37" s="182" t="str">
        <f>IF(tblItems[[#This Row],[หมวดย่อย]]="","",IFERROR(VLOOKUP(tblItems[[#This Row],[หมวดย่อย]],Lists!$P$2:$R$20,2,FALSE),"ไม่พบหมวด"))</f>
        <v>บรรจุภัณฑ์</v>
      </c>
      <c r="D37" s="6" t="s">
        <v>994</v>
      </c>
      <c r="E37" s="137" t="s">
        <v>330</v>
      </c>
      <c r="F37" s="137">
        <v>50</v>
      </c>
      <c r="G37" s="137" t="s">
        <v>325</v>
      </c>
      <c r="H37" s="138">
        <v>50</v>
      </c>
      <c r="I37" s="137">
        <v>100</v>
      </c>
      <c r="J37" s="137" t="s">
        <v>1045</v>
      </c>
      <c r="K37" s="139">
        <f>IF(tblItems[[#This Row],[รหัสสินค้า]]="","",SUMIFS(tblPurchases[จำนวน (หน่วยซื้อ)],tblPurchases[รหัสสินค้า],tblItems[[#This Row],[รหัสสินค้า]]))</f>
        <v>0</v>
      </c>
      <c r="L37" s="139">
        <f>IF(tblItems[[#This Row],[รหัสสินค้า]]="","",SUMIFS(tblPurchases[ราคารวม (บาท)],tblPurchases[รหัสสินค้า],tblItems[[#This Row],[รหัสสินค้า]]))</f>
        <v>0</v>
      </c>
      <c r="M37" s="140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50</v>
      </c>
      <c r="N37" s="140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1</v>
      </c>
      <c r="O37" s="141">
        <f>IF(tblItems[[#This Row],[รหัสสินค้า]]="","",tblItems[[#This Row],[ซื้อรวม (หน่วยซื้อ)]]*tblItems[[#This Row],[ปริมาณต่อหน่วยซื้อ]])</f>
        <v>0</v>
      </c>
      <c r="P37" s="141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7" s="141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7" s="141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0</v>
      </c>
      <c r="S37" s="142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0</v>
      </c>
      <c r="T37" s="139">
        <f>IF(tblItems[[#This Row],[รหัสสินค้า]]="","",tblItems[[#This Row],[คงเหลือ (หน่วยใช้)]]*tblItems[[#This Row],[ต้นทุนต่อหน่วยใช้]])</f>
        <v>0</v>
      </c>
      <c r="U37" s="143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หมด</v>
      </c>
      <c r="V37" s="143">
        <f>IF(OR(U37="ใกล้หมด",U37="หมด"),COUNTIF(U$6:U37,"ใกล้หมด")+COUNTIF(U$6:U37,"หมด"),"")</f>
        <v>31</v>
      </c>
    </row>
    <row r="38" spans="1:22" x14ac:dyDescent="0.25">
      <c r="A38" s="182" t="str">
        <f>IF(OR(tblItems[[#This Row],[ชื่อสินค้า]]="",tblItems[[#This Row],[หมวดย่อย]]=""),"",IFERROR(VLOOKUP(tblItems[[#This Row],[หมวดย่อย]],Lists!$P$2:$R$20,3,FALSE),"??")&amp;"-"&amp;TEXT(COUNTIF($D$6:D38,tblItems[[#This Row],[หมวดย่อย]]),"00"))</f>
        <v>RM-MAT-02</v>
      </c>
      <c r="B38" s="137" t="s">
        <v>1174</v>
      </c>
      <c r="C38" s="182" t="str">
        <f>IF(tblItems[[#This Row],[หมวดย่อย]]="","",IFERROR(VLOOKUP(tblItems[[#This Row],[หมวดย่อย]],Lists!$P$2:$R$20,2,FALSE),"ไม่พบหมวด"))</f>
        <v>วัตถุดิบ</v>
      </c>
      <c r="D38" s="6" t="s">
        <v>971</v>
      </c>
      <c r="E38" s="137" t="s">
        <v>326</v>
      </c>
      <c r="F38" s="137">
        <v>30</v>
      </c>
      <c r="G38" s="137" t="s">
        <v>21</v>
      </c>
      <c r="H38" s="138">
        <f>ROUND(410*ทะเบียนอุปกรณ์!$E$64,2)</f>
        <v>287</v>
      </c>
      <c r="I38" s="137">
        <v>10</v>
      </c>
      <c r="J38" s="137" t="s">
        <v>1175</v>
      </c>
      <c r="K38" s="139">
        <f>IF(tblItems[[#This Row],[รหัสสินค้า]]="","",SUMIFS(tblPurchases[จำนวน (หน่วยซื้อ)],tblPurchases[รหัสสินค้า],tblItems[[#This Row],[รหัสสินค้า]]))</f>
        <v>1</v>
      </c>
      <c r="L38" s="139">
        <f>IF(tblItems[[#This Row],[รหัสสินค้า]]="","",SUMIFS(tblPurchases[ราคารวม (บาท)],tblPurchases[รหัสสินค้า],tblItems[[#This Row],[รหัสสินค้า]]))</f>
        <v>287</v>
      </c>
      <c r="M38" s="140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287</v>
      </c>
      <c r="N38" s="140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9.5666666666666664</v>
      </c>
      <c r="O38" s="141">
        <f>IF(tblItems[[#This Row],[รหัสสินค้า]]="","",tblItems[[#This Row],[ซื้อรวม (หน่วยซื้อ)]]*tblItems[[#This Row],[ปริมาณต่อหน่วยซื้อ]])</f>
        <v>30</v>
      </c>
      <c r="P38" s="141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8" s="141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8" s="141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30</v>
      </c>
      <c r="S38" s="142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1</v>
      </c>
      <c r="T38" s="139">
        <f>IF(tblItems[[#This Row],[รหัสสินค้า]]="","",tblItems[[#This Row],[คงเหลือ (หน่วยใช้)]]*tblItems[[#This Row],[ต้นทุนต่อหน่วยใช้]])</f>
        <v>287</v>
      </c>
      <c r="U38" s="143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ปกติ</v>
      </c>
      <c r="V38" s="143" t="str">
        <f>IF(OR(U38="ใกล้หมด",U38="หมด"),COUNTIF(U$6:U38,"ใกล้หมด")+COUNTIF(U$6:U38,"หมด"),"")</f>
        <v/>
      </c>
    </row>
    <row r="39" spans="1:22" x14ac:dyDescent="0.25">
      <c r="A39" s="182" t="str">
        <f>IF(OR(tblItems[[#This Row],[ชื่อสินค้า]]="",tblItems[[#This Row],[หมวดย่อย]]=""),"",IFERROR(VLOOKUP(tblItems[[#This Row],[หมวดย่อย]],Lists!$P$2:$R$20,3,FALSE),"??")&amp;"-"&amp;TEXT(COUNTIF($D$6:D39,tblItems[[#This Row],[หมวดย่อย]]),"00"))</f>
        <v>OT-SUP-01</v>
      </c>
      <c r="B39" s="137" t="s">
        <v>1176</v>
      </c>
      <c r="C39" s="182" t="str">
        <f>IF(tblItems[[#This Row],[หมวดย่อย]]="","",IFERROR(VLOOKUP(tblItems[[#This Row],[หมวดย่อย]],Lists!$P$2:$R$20,2,FALSE),"ไม่พบหมวด"))</f>
        <v>วัสดุสิ้นเปลือง</v>
      </c>
      <c r="D39" s="6" t="s">
        <v>324</v>
      </c>
      <c r="E39" s="137" t="s">
        <v>327</v>
      </c>
      <c r="F39" s="137">
        <v>100</v>
      </c>
      <c r="G39" s="137" t="s">
        <v>325</v>
      </c>
      <c r="H39" s="138">
        <f>ROUND(83*ทะเบียนอุปกรณ์!$E$61,2)</f>
        <v>63.74</v>
      </c>
      <c r="I39" s="137">
        <v>20</v>
      </c>
      <c r="J39" s="137" t="s">
        <v>1177</v>
      </c>
      <c r="K39" s="139">
        <f>IF(tblItems[[#This Row],[รหัสสินค้า]]="","",SUMIFS(tblPurchases[จำนวน (หน่วยซื้อ)],tblPurchases[รหัสสินค้า],tblItems[[#This Row],[รหัสสินค้า]]))</f>
        <v>1</v>
      </c>
      <c r="L39" s="139">
        <f>IF(tblItems[[#This Row],[รหัสสินค้า]]="","",SUMIFS(tblPurchases[ราคารวม (บาท)],tblPurchases[รหัสสินค้า],tblItems[[#This Row],[รหัสสินค้า]]))</f>
        <v>63.74</v>
      </c>
      <c r="M39" s="140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63.74</v>
      </c>
      <c r="N39" s="140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0.63739999999999997</v>
      </c>
      <c r="O39" s="141">
        <f>IF(tblItems[[#This Row],[รหัสสินค้า]]="","",tblItems[[#This Row],[ซื้อรวม (หน่วยซื้อ)]]*tblItems[[#This Row],[ปริมาณต่อหน่วยซื้อ]])</f>
        <v>100</v>
      </c>
      <c r="P39" s="141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39" s="141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39" s="141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100</v>
      </c>
      <c r="S39" s="142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1</v>
      </c>
      <c r="T39" s="139">
        <f>IF(tblItems[[#This Row],[รหัสสินค้า]]="","",tblItems[[#This Row],[คงเหลือ (หน่วยใช้)]]*tblItems[[#This Row],[ต้นทุนต่อหน่วยใช้]])</f>
        <v>63.739999999999995</v>
      </c>
      <c r="U39" s="143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ปกติ</v>
      </c>
      <c r="V39" s="143" t="str">
        <f>IF(OR(U39="ใกล้หมด",U39="หมด"),COUNTIF(U$6:U39,"ใกล้หมด")+COUNTIF(U$6:U39,"หมด"),"")</f>
        <v/>
      </c>
    </row>
    <row r="40" spans="1:22" x14ac:dyDescent="0.25">
      <c r="A40" s="182" t="str">
        <f>IF(OR(tblItems[[#This Row],[ชื่อสินค้า]]="",tblItems[[#This Row],[หมวดย่อย]]=""),"",IFERROR(VLOOKUP(tblItems[[#This Row],[หมวดย่อย]],Lists!$P$2:$R$20,3,FALSE),"??")&amp;"-"&amp;TEXT(COUNTIF($D$6:D40,tblItems[[#This Row],[หมวดย่อย]]),"00"))</f>
        <v>OT-SUP-02</v>
      </c>
      <c r="B40" s="137" t="s">
        <v>1188</v>
      </c>
      <c r="C40" s="182" t="str">
        <f>IF(tblItems[[#This Row],[หมวดย่อย]]="","",IFERROR(VLOOKUP(tblItems[[#This Row],[หมวดย่อย]],Lists!$P$2:$R$20,2,FALSE),"ไม่พบหมวด"))</f>
        <v>วัสดุสิ้นเปลือง</v>
      </c>
      <c r="D40" s="6" t="s">
        <v>324</v>
      </c>
      <c r="E40" s="137" t="s">
        <v>325</v>
      </c>
      <c r="F40" s="137">
        <v>1</v>
      </c>
      <c r="G40" s="137" t="s">
        <v>325</v>
      </c>
      <c r="H40" s="138">
        <v>24.99</v>
      </c>
      <c r="I40" s="137">
        <v>2</v>
      </c>
      <c r="J40" s="137" t="s">
        <v>1189</v>
      </c>
      <c r="K40" s="139">
        <f>IF(tblItems[[#This Row],[รหัสสินค้า]]="","",SUMIFS(tblPurchases[จำนวน (หน่วยซื้อ)],tblPurchases[รหัสสินค้า],tblItems[[#This Row],[รหัสสินค้า]]))</f>
        <v>6</v>
      </c>
      <c r="L40" s="139">
        <f>IF(tblItems[[#This Row],[รหัสสินค้า]]="","",SUMIFS(tblPurchases[ราคารวม (บาท)],tblPurchases[รหัสสินค้า],tblItems[[#This Row],[รหัสสินค้า]]))</f>
        <v>149.94</v>
      </c>
      <c r="M40" s="140">
        <f>IF(tblItems[[#This Row],[รหัสสินค้า]]="","",IF(N(tblItems[[#This Row],[ซื้อรวม (หน่วยซื้อ)]])&gt;0,tblItems[[#This Row],[ยอดซื้อรวม (บาท)]]/tblItems[[#This Row],[ซื้อรวม (หน่วยซื้อ)]],tblItems[[#This Row],[ราคาตั้งต้นต่อหน่วยซื้อ]]))</f>
        <v>24.99</v>
      </c>
      <c r="N40" s="140">
        <f>IF(tblItems[[#This Row],[รหัสสินค้า]]="","",IF(N(tblItems[[#This Row],[ปริมาณต่อหน่วยซื้อ]])&gt;0,tblItems[[#This Row],[ต้นทุนเฉลี่ยต่อหน่วยซื้อ]]/tblItems[[#This Row],[ปริมาณต่อหน่วยซื้อ]],0))</f>
        <v>24.99</v>
      </c>
      <c r="O40" s="141">
        <f>IF(tblItems[[#This Row],[รหัสสินค้า]]="","",tblItems[[#This Row],[ซื้อรวม (หน่วยซื้อ)]]*tblItems[[#This Row],[ปริมาณต่อหน่วยซื้อ]])</f>
        <v>6</v>
      </c>
      <c r="P40" s="141">
        <f>IF(tblItems[[#This Row],[รหัสสินค้า]]="","",SUMIFS(tblBOM[ใช้ไปจากการขาย (หน่วยใช้)],tblBOM[รหัสสินค้า],tblItems[[#This Row],[รหัสสินค้า]]))</f>
        <v>0</v>
      </c>
      <c r="Q40" s="141">
        <f>IF(tblItems[[#This Row],[รหัสสินค้า]]="","",SUMIFS(tblAdjust[จำนวน (+เพิ่ม / -ลด)],tblAdjust[รหัสสินค้า],tblItems[[#This Row],[รหัสสินค้า]]))</f>
        <v>0</v>
      </c>
      <c r="R40" s="141">
        <f>IF(tblItems[[#This Row],[รหัสสินค้า]]="","",tblItems[[#This Row],[รับเข้า (หน่วยใช้)]]-tblItems[[#This Row],[ใช้จากการขาย (หน่วยใช้)]]+tblItems[[#This Row],[ปรับปรุง (หน่วยใช้)]])</f>
        <v>6</v>
      </c>
      <c r="S40" s="142">
        <f>IF(tblItems[[#This Row],[รหัสสินค้า]]="","",IF(N(tblItems[[#This Row],[ปริมาณต่อหน่วยซื้อ]])&gt;0,tblItems[[#This Row],[คงเหลือ (หน่วยใช้)]]/tblItems[[#This Row],[ปริมาณต่อหน่วยซื้อ]],0))</f>
        <v>6</v>
      </c>
      <c r="T40" s="139">
        <f>IF(tblItems[[#This Row],[รหัสสินค้า]]="","",tblItems[[#This Row],[คงเหลือ (หน่วยใช้)]]*tblItems[[#This Row],[ต้นทุนต่อหน่วยใช้]])</f>
        <v>149.94</v>
      </c>
      <c r="U40" s="143" t="str">
        <f>IF(tblItems[[#This Row],[รหัสสินค้า]]="","",IF(tblItems[[#This Row],[คงเหลือ (หน่วยใช้)]]&lt;=0,"หมด",IF(tblItems[[#This Row],[คงเหลือ (หน่วยใช้)]]&lt;=tblItems[[#This Row],[จุดสั่งซื้อ (หน่วยใช้)]],"ใกล้หมด","ปกติ")))</f>
        <v>ปกติ</v>
      </c>
      <c r="V40" s="143" t="str">
        <f>IF(OR(U40="ใกล้หมด",U40="หมด"),COUNTIF(U$6:U40,"ใกล้หมด")+COUNTIF(U$6:U40,"หมด"),"")</f>
        <v/>
      </c>
    </row>
  </sheetData>
  <conditionalFormatting sqref="T41:T307 U6:U40">
    <cfRule type="containsText" dxfId="6" priority="1" operator="containsText" text="หมด">
      <formula>NOT(ISERROR(SEARCH("หมด",T6)))</formula>
    </cfRule>
    <cfRule type="containsText" dxfId="5" priority="2" operator="containsText" text="ใกล้หมด">
      <formula>NOT(ISERROR(SEARCH("ใกล้หมด",T6)))</formula>
    </cfRule>
    <cfRule type="containsText" dxfId="4" priority="3" operator="containsText" text="ปกติ">
      <formula>NOT(ISERROR(SEARCH("ปกติ",T6)))</formula>
    </cfRule>
  </conditionalFormatting>
  <dataValidations count="1">
    <dataValidation type="decimal" operator="greaterThanOrEqual" allowBlank="1" showInputMessage="1" showErrorMessage="1" errorTitle="ค่าไม่ถูกต้อง" error="กรอกตัวเลข ≥ 0" prompt="ตัวเลขเท่านั้น" sqref="G41:H306 E41:E306 F6:F40 H6:I40" xr:uid="{8D2AC9B6-A38E-9942-B1A2-1F326CE38AB6}">
      <formula1>0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68104A4-C2CB-C147-BB0D-ADF68FDE8C3B}">
          <x14:formula1>
            <xm:f>Lists!$H$2:$H$4</xm:f>
          </x14:formula1>
          <xm:sqref>C66:C307</xm:sqref>
        </x14:dataValidation>
        <x14:dataValidation type="list" allowBlank="1" showInputMessage="1" showErrorMessage="1" xr:uid="{119A69A0-5BAE-9547-B395-12A10EFE9696}">
          <x14:formula1>
            <xm:f>Lists!$J$2:$J$11</xm:f>
          </x14:formula1>
          <xm:sqref>D66:D307 E6:E40</xm:sqref>
        </x14:dataValidation>
        <x14:dataValidation type="list" allowBlank="1" showInputMessage="1" showErrorMessage="1" xr:uid="{4F2EE8FC-DFD5-BA49-A629-8FDA03ED5EBC}">
          <x14:formula1>
            <xm:f>Lists!$I$2:$I$4</xm:f>
          </x14:formula1>
          <xm:sqref>F41:F307 G6:G40</xm:sqref>
        </x14:dataValidation>
        <x14:dataValidation type="list" allowBlank="1" showInputMessage="1" showErrorMessage="1" errorTitle="หมวดย่อยไม่ถูกต้อง" error="เลือกหมวดย่อยจากรายการใน Lists!P เท่านั้น" xr:uid="{77E85920-AF19-42B2-B250-EF259AB864DF}">
          <x14:formula1>
            <xm:f>Lists!$P$2:$P$20</xm:f>
          </x14:formula1>
          <xm:sqref>D6:D65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75BB-2283-E94C-B7C7-C7A5BFBA19FE}">
  <sheetPr>
    <tabColor rgb="FFED7D31"/>
  </sheetPr>
  <dimension ref="A1:K305"/>
  <sheetViews>
    <sheetView showGridLines="0" workbookViewId="0">
      <pane ySplit="5" topLeftCell="A6" activePane="bottomLeft" state="frozen"/>
      <selection pane="bottomLeft" activeCell="D17" sqref="D17"/>
    </sheetView>
  </sheetViews>
  <sheetFormatPr defaultColWidth="10.85546875" defaultRowHeight="15" x14ac:dyDescent="0.25"/>
  <cols>
    <col min="1" max="1" width="15.140625" customWidth="1"/>
    <col min="2" max="3" width="12.85546875" customWidth="1"/>
    <col min="4" max="4" width="51.28515625" bestFit="1" customWidth="1"/>
    <col min="5" max="5" width="12.85546875" customWidth="1"/>
    <col min="6" max="7" width="14" customWidth="1"/>
    <col min="8" max="8" width="16.28515625" customWidth="1"/>
    <col min="9" max="9" width="23.42578125" bestFit="1" customWidth="1"/>
    <col min="10" max="10" width="14" customWidth="1"/>
    <col min="11" max="11" width="114" bestFit="1" customWidth="1"/>
  </cols>
  <sheetData>
    <row r="1" spans="1:11" ht="18" x14ac:dyDescent="0.25">
      <c r="A1" s="2" t="s">
        <v>451</v>
      </c>
    </row>
    <row r="2" spans="1:11" x14ac:dyDescent="0.25">
      <c r="A2" s="3" t="s">
        <v>452</v>
      </c>
    </row>
    <row r="5" spans="1:11" ht="33.950000000000003" customHeight="1" x14ac:dyDescent="0.25">
      <c r="A5" s="5" t="s">
        <v>453</v>
      </c>
      <c r="B5" s="5" t="s">
        <v>192</v>
      </c>
      <c r="C5" s="5" t="s">
        <v>353</v>
      </c>
      <c r="D5" s="5" t="s">
        <v>354</v>
      </c>
      <c r="E5" s="5" t="s">
        <v>454</v>
      </c>
      <c r="F5" s="5" t="s">
        <v>455</v>
      </c>
      <c r="G5" s="5" t="s">
        <v>456</v>
      </c>
      <c r="H5" s="5" t="s">
        <v>457</v>
      </c>
      <c r="I5" s="5" t="s">
        <v>458</v>
      </c>
      <c r="J5" s="5" t="s">
        <v>459</v>
      </c>
      <c r="K5" s="5" t="s">
        <v>59</v>
      </c>
    </row>
    <row r="6" spans="1:11" x14ac:dyDescent="0.25">
      <c r="A6" s="4" t="str">
        <f>IF(tblPurchases[[#This Row],[วันที่]]="","","P"&amp;TEXT(tblPurchases[[#This Row],[วันที่]],"yymmdd")&amp;"-"&amp;TEXT(ROW()-5,"000"))</f>
        <v>P260917-001</v>
      </c>
      <c r="B6" s="16">
        <v>46282</v>
      </c>
      <c r="C6" s="6" t="s">
        <v>1178</v>
      </c>
      <c r="D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>ผงมัทฉะ Mizumatcha Daizu Premium (Yame Fukuoka) 30 g</v>
      </c>
      <c r="E6" s="6">
        <v>1</v>
      </c>
      <c r="F6" s="7">
        <v>287</v>
      </c>
      <c r="G6" s="8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>287</v>
      </c>
      <c r="H6" s="17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>30</v>
      </c>
      <c r="I6" s="6" t="s">
        <v>1179</v>
      </c>
      <c r="J6" s="6" t="s">
        <v>861</v>
      </c>
      <c r="K6" s="6" t="s">
        <v>1180</v>
      </c>
    </row>
    <row r="7" spans="1:11" x14ac:dyDescent="0.25">
      <c r="A7" s="4" t="str">
        <f>IF(tblPurchases[[#This Row],[วันที่]]="","","P"&amp;TEXT(tblPurchases[[#This Row],[วันที่]],"yymmdd")&amp;"-"&amp;TEXT(ROW()-5,"000"))</f>
        <v>P260917-002</v>
      </c>
      <c r="B7" s="16">
        <v>46282</v>
      </c>
      <c r="C7" s="6" t="s">
        <v>1020</v>
      </c>
      <c r="D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>ไซรัปมะพร้าว</v>
      </c>
      <c r="E7" s="6">
        <v>2</v>
      </c>
      <c r="F7" s="7">
        <v>297</v>
      </c>
      <c r="G7" s="8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>148.5</v>
      </c>
      <c r="H7" s="17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>1500</v>
      </c>
      <c r="I7" s="6" t="s">
        <v>1181</v>
      </c>
      <c r="J7" s="6" t="s">
        <v>861</v>
      </c>
      <c r="K7" s="6" t="s">
        <v>1182</v>
      </c>
    </row>
    <row r="8" spans="1:11" x14ac:dyDescent="0.25">
      <c r="A8" s="4" t="str">
        <f>IF(tblPurchases[[#This Row],[วันที่]]="","","P"&amp;TEXT(tblPurchases[[#This Row],[วันที่]],"yymmdd")&amp;"-"&amp;TEXT(ROW()-5,"000"))</f>
        <v>P260917-003</v>
      </c>
      <c r="B8" s="16">
        <v>46282</v>
      </c>
      <c r="C8" s="6" t="s">
        <v>1183</v>
      </c>
      <c r="D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>ถุงมือไนไตร ไม่มีแป้ง Black L (100 ชิ้น/กล่อง)</v>
      </c>
      <c r="E8" s="6">
        <v>1</v>
      </c>
      <c r="F8" s="7">
        <f>ROUND(83*ทะเบียนอุปกรณ์!$E$61,2)</f>
        <v>63.74</v>
      </c>
      <c r="G8" s="8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>63.74</v>
      </c>
      <c r="H8" s="17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>100</v>
      </c>
      <c r="I8" s="6" t="s">
        <v>1147</v>
      </c>
      <c r="J8" s="6" t="s">
        <v>861</v>
      </c>
      <c r="K8" s="6" t="s">
        <v>1184</v>
      </c>
    </row>
    <row r="9" spans="1:11" x14ac:dyDescent="0.25">
      <c r="A9" s="4" t="str">
        <f>IF(tblPurchases[[#This Row],[วันที่]]="","","P"&amp;TEXT(tblPurchases[[#This Row],[วันที่]],"yymmdd")&amp;"-"&amp;TEXT(ROW()-5,"000"))</f>
        <v>P260917-004</v>
      </c>
      <c r="B9" s="16">
        <v>46282</v>
      </c>
      <c r="C9" s="6" t="s">
        <v>1185</v>
      </c>
      <c r="D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>ปากกาแต้มสี TOYO กันน้ำ (ชุด 6 สี)</v>
      </c>
      <c r="E9" s="6">
        <v>6</v>
      </c>
      <c r="F9" s="7">
        <v>149.94</v>
      </c>
      <c r="G9" s="8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>24.99</v>
      </c>
      <c r="H9" s="17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>6</v>
      </c>
      <c r="I9" s="6" t="s">
        <v>1186</v>
      </c>
      <c r="J9" s="6" t="s">
        <v>861</v>
      </c>
      <c r="K9" s="6" t="s">
        <v>1190</v>
      </c>
    </row>
    <row r="10" spans="1:11" x14ac:dyDescent="0.25">
      <c r="A10" s="4" t="str">
        <f>IF(tblPurchases[[#This Row],[วันที่]]="","","P"&amp;TEXT(tblPurchases[[#This Row],[วันที่]],"yymmdd")&amp;"-"&amp;TEXT(ROW()-5,"000"))</f>
        <v/>
      </c>
      <c r="B10" s="16"/>
      <c r="C10" s="6"/>
      <c r="D1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" s="6"/>
      <c r="F10" s="7"/>
      <c r="G1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" s="6"/>
      <c r="J10" s="6"/>
      <c r="K10" s="6"/>
    </row>
    <row r="11" spans="1:11" x14ac:dyDescent="0.25">
      <c r="A11" s="4" t="str">
        <f>IF(tblPurchases[[#This Row],[วันที่]]="","","P"&amp;TEXT(tblPurchases[[#This Row],[วันที่]],"yymmdd")&amp;"-"&amp;TEXT(ROW()-5,"000"))</f>
        <v/>
      </c>
      <c r="B11" s="16"/>
      <c r="C11" s="6"/>
      <c r="D1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" s="6"/>
      <c r="F11" s="7"/>
      <c r="G1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" s="6"/>
      <c r="J11" s="6"/>
      <c r="K11" s="6"/>
    </row>
    <row r="12" spans="1:11" x14ac:dyDescent="0.25">
      <c r="A12" s="4" t="str">
        <f>IF(tblPurchases[[#This Row],[วันที่]]="","","P"&amp;TEXT(tblPurchases[[#This Row],[วันที่]],"yymmdd")&amp;"-"&amp;TEXT(ROW()-5,"000"))</f>
        <v/>
      </c>
      <c r="B12" s="16"/>
      <c r="C12" s="6"/>
      <c r="D1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" s="6"/>
      <c r="F12" s="7"/>
      <c r="G1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" s="6"/>
      <c r="J12" s="6"/>
      <c r="K12" s="6"/>
    </row>
    <row r="13" spans="1:11" x14ac:dyDescent="0.25">
      <c r="A13" s="4" t="str">
        <f>IF(tblPurchases[[#This Row],[วันที่]]="","","P"&amp;TEXT(tblPurchases[[#This Row],[วันที่]],"yymmdd")&amp;"-"&amp;TEXT(ROW()-5,"000"))</f>
        <v/>
      </c>
      <c r="B13" s="16"/>
      <c r="C13" s="6"/>
      <c r="D1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" s="6"/>
      <c r="F13" s="7"/>
      <c r="G1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" s="6"/>
      <c r="J13" s="6"/>
      <c r="K13" s="6"/>
    </row>
    <row r="14" spans="1:11" x14ac:dyDescent="0.25">
      <c r="A14" s="4" t="str">
        <f>IF(tblPurchases[[#This Row],[วันที่]]="","","P"&amp;TEXT(tblPurchases[[#This Row],[วันที่]],"yymmdd")&amp;"-"&amp;TEXT(ROW()-5,"000"))</f>
        <v/>
      </c>
      <c r="B14" s="16"/>
      <c r="C14" s="6"/>
      <c r="D1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" s="6"/>
      <c r="F14" s="7"/>
      <c r="G1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" s="6"/>
      <c r="J14" s="6"/>
      <c r="K14" s="6"/>
    </row>
    <row r="15" spans="1:11" x14ac:dyDescent="0.25">
      <c r="A15" s="4" t="str">
        <f>IF(tblPurchases[[#This Row],[วันที่]]="","","P"&amp;TEXT(tblPurchases[[#This Row],[วันที่]],"yymmdd")&amp;"-"&amp;TEXT(ROW()-5,"000"))</f>
        <v/>
      </c>
      <c r="B15" s="16"/>
      <c r="C15" s="6"/>
      <c r="D1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" s="6"/>
      <c r="F15" s="7"/>
      <c r="G1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" s="6"/>
      <c r="J15" s="6"/>
      <c r="K15" s="6"/>
    </row>
    <row r="16" spans="1:11" x14ac:dyDescent="0.25">
      <c r="A16" s="4" t="str">
        <f>IF(tblPurchases[[#This Row],[วันที่]]="","","P"&amp;TEXT(tblPurchases[[#This Row],[วันที่]],"yymmdd")&amp;"-"&amp;TEXT(ROW()-5,"000"))</f>
        <v/>
      </c>
      <c r="B16" s="16"/>
      <c r="C16" s="6"/>
      <c r="D1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" s="6"/>
      <c r="F16" s="7"/>
      <c r="G1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" s="6"/>
      <c r="J16" s="6"/>
      <c r="K16" s="6"/>
    </row>
    <row r="17" spans="1:11" x14ac:dyDescent="0.25">
      <c r="A17" s="4" t="str">
        <f>IF(tblPurchases[[#This Row],[วันที่]]="","","P"&amp;TEXT(tblPurchases[[#This Row],[วันที่]],"yymmdd")&amp;"-"&amp;TEXT(ROW()-5,"000"))</f>
        <v/>
      </c>
      <c r="B17" s="16"/>
      <c r="C17" s="6"/>
      <c r="D1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" s="6"/>
      <c r="F17" s="7"/>
      <c r="G1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" s="6"/>
      <c r="J17" s="6"/>
      <c r="K17" s="6"/>
    </row>
    <row r="18" spans="1:11" x14ac:dyDescent="0.25">
      <c r="A18" s="4" t="str">
        <f>IF(tblPurchases[[#This Row],[วันที่]]="","","P"&amp;TEXT(tblPurchases[[#This Row],[วันที่]],"yymmdd")&amp;"-"&amp;TEXT(ROW()-5,"000"))</f>
        <v/>
      </c>
      <c r="B18" s="16"/>
      <c r="C18" s="6"/>
      <c r="D1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" s="6"/>
      <c r="F18" s="7"/>
      <c r="G1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" s="6"/>
      <c r="J18" s="6"/>
      <c r="K18" s="6"/>
    </row>
    <row r="19" spans="1:11" x14ac:dyDescent="0.25">
      <c r="A19" s="4" t="str">
        <f>IF(tblPurchases[[#This Row],[วันที่]]="","","P"&amp;TEXT(tblPurchases[[#This Row],[วันที่]],"yymmdd")&amp;"-"&amp;TEXT(ROW()-5,"000"))</f>
        <v/>
      </c>
      <c r="B19" s="16"/>
      <c r="C19" s="6"/>
      <c r="D1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" s="6"/>
      <c r="F19" s="7"/>
      <c r="G1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" s="6"/>
      <c r="J19" s="6"/>
      <c r="K19" s="6"/>
    </row>
    <row r="20" spans="1:11" x14ac:dyDescent="0.25">
      <c r="A20" s="4" t="str">
        <f>IF(tblPurchases[[#This Row],[วันที่]]="","","P"&amp;TEXT(tblPurchases[[#This Row],[วันที่]],"yymmdd")&amp;"-"&amp;TEXT(ROW()-5,"000"))</f>
        <v/>
      </c>
      <c r="B20" s="16"/>
      <c r="C20" s="6"/>
      <c r="D2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" s="6"/>
      <c r="F20" s="7"/>
      <c r="G2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" s="6"/>
      <c r="J20" s="6"/>
      <c r="K20" s="6"/>
    </row>
    <row r="21" spans="1:11" x14ac:dyDescent="0.25">
      <c r="A21" s="4" t="str">
        <f>IF(tblPurchases[[#This Row],[วันที่]]="","","P"&amp;TEXT(tblPurchases[[#This Row],[วันที่]],"yymmdd")&amp;"-"&amp;TEXT(ROW()-5,"000"))</f>
        <v/>
      </c>
      <c r="B21" s="16"/>
      <c r="C21" s="6"/>
      <c r="D2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" s="6"/>
      <c r="F21" s="7"/>
      <c r="G2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" s="6"/>
      <c r="J21" s="6"/>
      <c r="K21" s="6"/>
    </row>
    <row r="22" spans="1:11" x14ac:dyDescent="0.25">
      <c r="A22" s="4" t="str">
        <f>IF(tblPurchases[[#This Row],[วันที่]]="","","P"&amp;TEXT(tblPurchases[[#This Row],[วันที่]],"yymmdd")&amp;"-"&amp;TEXT(ROW()-5,"000"))</f>
        <v/>
      </c>
      <c r="B22" s="16"/>
      <c r="C22" s="6"/>
      <c r="D2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" s="6"/>
      <c r="F22" s="7"/>
      <c r="G2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" s="6"/>
      <c r="J22" s="6"/>
      <c r="K22" s="6"/>
    </row>
    <row r="23" spans="1:11" x14ac:dyDescent="0.25">
      <c r="A23" s="4" t="str">
        <f>IF(tblPurchases[[#This Row],[วันที่]]="","","P"&amp;TEXT(tblPurchases[[#This Row],[วันที่]],"yymmdd")&amp;"-"&amp;TEXT(ROW()-5,"000"))</f>
        <v/>
      </c>
      <c r="B23" s="16"/>
      <c r="C23" s="6"/>
      <c r="D2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" s="6"/>
      <c r="F23" s="7"/>
      <c r="G2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" s="6"/>
      <c r="J23" s="6"/>
      <c r="K23" s="6"/>
    </row>
    <row r="24" spans="1:11" x14ac:dyDescent="0.25">
      <c r="A24" s="4" t="str">
        <f>IF(tblPurchases[[#This Row],[วันที่]]="","","P"&amp;TEXT(tblPurchases[[#This Row],[วันที่]],"yymmdd")&amp;"-"&amp;TEXT(ROW()-5,"000"))</f>
        <v/>
      </c>
      <c r="B24" s="16"/>
      <c r="C24" s="6"/>
      <c r="D2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" s="6"/>
      <c r="F24" s="7"/>
      <c r="G2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" s="6"/>
      <c r="J24" s="6"/>
      <c r="K24" s="6"/>
    </row>
    <row r="25" spans="1:11" x14ac:dyDescent="0.25">
      <c r="A25" s="4" t="str">
        <f>IF(tblPurchases[[#This Row],[วันที่]]="","","P"&amp;TEXT(tblPurchases[[#This Row],[วันที่]],"yymmdd")&amp;"-"&amp;TEXT(ROW()-5,"000"))</f>
        <v/>
      </c>
      <c r="B25" s="16"/>
      <c r="C25" s="6"/>
      <c r="D2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" s="6"/>
      <c r="F25" s="7"/>
      <c r="G2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" s="6"/>
      <c r="J25" s="6"/>
      <c r="K25" s="6"/>
    </row>
    <row r="26" spans="1:11" x14ac:dyDescent="0.25">
      <c r="A26" s="4" t="str">
        <f>IF(tblPurchases[[#This Row],[วันที่]]="","","P"&amp;TEXT(tblPurchases[[#This Row],[วันที่]],"yymmdd")&amp;"-"&amp;TEXT(ROW()-5,"000"))</f>
        <v/>
      </c>
      <c r="B26" s="16"/>
      <c r="C26" s="6"/>
      <c r="D2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" s="6"/>
      <c r="F26" s="7"/>
      <c r="G2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" s="6"/>
      <c r="J26" s="6"/>
      <c r="K26" s="6"/>
    </row>
    <row r="27" spans="1:11" x14ac:dyDescent="0.25">
      <c r="A27" s="4" t="str">
        <f>IF(tblPurchases[[#This Row],[วันที่]]="","","P"&amp;TEXT(tblPurchases[[#This Row],[วันที่]],"yymmdd")&amp;"-"&amp;TEXT(ROW()-5,"000"))</f>
        <v/>
      </c>
      <c r="B27" s="16"/>
      <c r="C27" s="6"/>
      <c r="D2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" s="6"/>
      <c r="F27" s="7"/>
      <c r="G2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" s="6"/>
      <c r="J27" s="6"/>
      <c r="K27" s="6"/>
    </row>
    <row r="28" spans="1:11" x14ac:dyDescent="0.25">
      <c r="A28" s="4" t="str">
        <f>IF(tblPurchases[[#This Row],[วันที่]]="","","P"&amp;TEXT(tblPurchases[[#This Row],[วันที่]],"yymmdd")&amp;"-"&amp;TEXT(ROW()-5,"000"))</f>
        <v/>
      </c>
      <c r="B28" s="16"/>
      <c r="C28" s="6"/>
      <c r="D2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" s="6"/>
      <c r="F28" s="7"/>
      <c r="G2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" s="6"/>
      <c r="J28" s="6"/>
      <c r="K28" s="6"/>
    </row>
    <row r="29" spans="1:11" x14ac:dyDescent="0.25">
      <c r="A29" s="4" t="str">
        <f>IF(tblPurchases[[#This Row],[วันที่]]="","","P"&amp;TEXT(tblPurchases[[#This Row],[วันที่]],"yymmdd")&amp;"-"&amp;TEXT(ROW()-5,"000"))</f>
        <v/>
      </c>
      <c r="B29" s="16"/>
      <c r="C29" s="6"/>
      <c r="D2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" s="6"/>
      <c r="F29" s="7"/>
      <c r="G2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" s="6"/>
      <c r="J29" s="6"/>
      <c r="K29" s="6"/>
    </row>
    <row r="30" spans="1:11" x14ac:dyDescent="0.25">
      <c r="A30" s="4" t="str">
        <f>IF(tblPurchases[[#This Row],[วันที่]]="","","P"&amp;TEXT(tblPurchases[[#This Row],[วันที่]],"yymmdd")&amp;"-"&amp;TEXT(ROW()-5,"000"))</f>
        <v/>
      </c>
      <c r="B30" s="16"/>
      <c r="C30" s="6"/>
      <c r="D3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" s="6"/>
      <c r="F30" s="7"/>
      <c r="G3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" s="6"/>
      <c r="J30" s="6"/>
      <c r="K30" s="6"/>
    </row>
    <row r="31" spans="1:11" x14ac:dyDescent="0.25">
      <c r="A31" s="4" t="str">
        <f>IF(tblPurchases[[#This Row],[วันที่]]="","","P"&amp;TEXT(tblPurchases[[#This Row],[วันที่]],"yymmdd")&amp;"-"&amp;TEXT(ROW()-5,"000"))</f>
        <v/>
      </c>
      <c r="B31" s="16"/>
      <c r="C31" s="6"/>
      <c r="D3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1" s="6"/>
      <c r="F31" s="7"/>
      <c r="G3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1" s="6"/>
      <c r="J31" s="6"/>
      <c r="K31" s="6"/>
    </row>
    <row r="32" spans="1:11" x14ac:dyDescent="0.25">
      <c r="A32" s="4" t="str">
        <f>IF(tblPurchases[[#This Row],[วันที่]]="","","P"&amp;TEXT(tblPurchases[[#This Row],[วันที่]],"yymmdd")&amp;"-"&amp;TEXT(ROW()-5,"000"))</f>
        <v/>
      </c>
      <c r="B32" s="16"/>
      <c r="C32" s="6"/>
      <c r="D3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2" s="6"/>
      <c r="F32" s="7"/>
      <c r="G3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2" s="6"/>
      <c r="J32" s="6"/>
      <c r="K32" s="6"/>
    </row>
    <row r="33" spans="1:11" x14ac:dyDescent="0.25">
      <c r="A33" s="4" t="str">
        <f>IF(tblPurchases[[#This Row],[วันที่]]="","","P"&amp;TEXT(tblPurchases[[#This Row],[วันที่]],"yymmdd")&amp;"-"&amp;TEXT(ROW()-5,"000"))</f>
        <v/>
      </c>
      <c r="B33" s="16"/>
      <c r="C33" s="6"/>
      <c r="D3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3" s="6"/>
      <c r="F33" s="7"/>
      <c r="G3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3" s="6"/>
      <c r="J33" s="6"/>
      <c r="K33" s="6"/>
    </row>
    <row r="34" spans="1:11" x14ac:dyDescent="0.25">
      <c r="A34" s="4" t="str">
        <f>IF(tblPurchases[[#This Row],[วันที่]]="","","P"&amp;TEXT(tblPurchases[[#This Row],[วันที่]],"yymmdd")&amp;"-"&amp;TEXT(ROW()-5,"000"))</f>
        <v/>
      </c>
      <c r="B34" s="16"/>
      <c r="C34" s="6"/>
      <c r="D3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4" s="6"/>
      <c r="F34" s="7"/>
      <c r="G3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4" s="6"/>
      <c r="J34" s="6"/>
      <c r="K34" s="6"/>
    </row>
    <row r="35" spans="1:11" x14ac:dyDescent="0.25">
      <c r="A35" s="4" t="str">
        <f>IF(tblPurchases[[#This Row],[วันที่]]="","","P"&amp;TEXT(tblPurchases[[#This Row],[วันที่]],"yymmdd")&amp;"-"&amp;TEXT(ROW()-5,"000"))</f>
        <v/>
      </c>
      <c r="B35" s="16"/>
      <c r="C35" s="6"/>
      <c r="D3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5" s="6"/>
      <c r="F35" s="7"/>
      <c r="G3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5" s="6"/>
      <c r="J35" s="6"/>
      <c r="K35" s="6"/>
    </row>
    <row r="36" spans="1:11" x14ac:dyDescent="0.25">
      <c r="A36" s="4" t="str">
        <f>IF(tblPurchases[[#This Row],[วันที่]]="","","P"&amp;TEXT(tblPurchases[[#This Row],[วันที่]],"yymmdd")&amp;"-"&amp;TEXT(ROW()-5,"000"))</f>
        <v/>
      </c>
      <c r="B36" s="16"/>
      <c r="C36" s="6"/>
      <c r="D3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6" s="6"/>
      <c r="F36" s="7"/>
      <c r="G3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6" s="6"/>
      <c r="J36" s="6"/>
      <c r="K36" s="6"/>
    </row>
    <row r="37" spans="1:11" x14ac:dyDescent="0.25">
      <c r="A37" s="4" t="str">
        <f>IF(tblPurchases[[#This Row],[วันที่]]="","","P"&amp;TEXT(tblPurchases[[#This Row],[วันที่]],"yymmdd")&amp;"-"&amp;TEXT(ROW()-5,"000"))</f>
        <v/>
      </c>
      <c r="B37" s="16"/>
      <c r="C37" s="6"/>
      <c r="D3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7" s="6"/>
      <c r="F37" s="7"/>
      <c r="G3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7" s="6"/>
      <c r="J37" s="6"/>
      <c r="K37" s="6"/>
    </row>
    <row r="38" spans="1:11" x14ac:dyDescent="0.25">
      <c r="A38" s="4" t="str">
        <f>IF(tblPurchases[[#This Row],[วันที่]]="","","P"&amp;TEXT(tblPurchases[[#This Row],[วันที่]],"yymmdd")&amp;"-"&amp;TEXT(ROW()-5,"000"))</f>
        <v/>
      </c>
      <c r="B38" s="16"/>
      <c r="C38" s="6"/>
      <c r="D3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8" s="6"/>
      <c r="F38" s="7"/>
      <c r="G3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8" s="6"/>
      <c r="J38" s="6"/>
      <c r="K38" s="6"/>
    </row>
    <row r="39" spans="1:11" x14ac:dyDescent="0.25">
      <c r="A39" s="4" t="str">
        <f>IF(tblPurchases[[#This Row],[วันที่]]="","","P"&amp;TEXT(tblPurchases[[#This Row],[วันที่]],"yymmdd")&amp;"-"&amp;TEXT(ROW()-5,"000"))</f>
        <v/>
      </c>
      <c r="B39" s="16"/>
      <c r="C39" s="6"/>
      <c r="D3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9" s="6"/>
      <c r="F39" s="7"/>
      <c r="G3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9" s="6"/>
      <c r="J39" s="6"/>
      <c r="K39" s="6"/>
    </row>
    <row r="40" spans="1:11" x14ac:dyDescent="0.25">
      <c r="A40" s="4" t="str">
        <f>IF(tblPurchases[[#This Row],[วันที่]]="","","P"&amp;TEXT(tblPurchases[[#This Row],[วันที่]],"yymmdd")&amp;"-"&amp;TEXT(ROW()-5,"000"))</f>
        <v/>
      </c>
      <c r="B40" s="16"/>
      <c r="C40" s="6"/>
      <c r="D4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0" s="6"/>
      <c r="F40" s="7"/>
      <c r="G4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0" s="6"/>
      <c r="J40" s="6"/>
      <c r="K40" s="6"/>
    </row>
    <row r="41" spans="1:11" x14ac:dyDescent="0.25">
      <c r="A41" s="4" t="str">
        <f>IF(tblPurchases[[#This Row],[วันที่]]="","","P"&amp;TEXT(tblPurchases[[#This Row],[วันที่]],"yymmdd")&amp;"-"&amp;TEXT(ROW()-5,"000"))</f>
        <v/>
      </c>
      <c r="B41" s="16"/>
      <c r="C41" s="6"/>
      <c r="D4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1" s="6"/>
      <c r="F41" s="7"/>
      <c r="G4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1" s="6"/>
      <c r="J41" s="6"/>
      <c r="K41" s="6"/>
    </row>
    <row r="42" spans="1:11" x14ac:dyDescent="0.25">
      <c r="A42" s="4" t="str">
        <f>IF(tblPurchases[[#This Row],[วันที่]]="","","P"&amp;TEXT(tblPurchases[[#This Row],[วันที่]],"yymmdd")&amp;"-"&amp;TEXT(ROW()-5,"000"))</f>
        <v/>
      </c>
      <c r="B42" s="16"/>
      <c r="C42" s="6"/>
      <c r="D4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2" s="6"/>
      <c r="F42" s="7"/>
      <c r="G4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2" s="6"/>
      <c r="J42" s="6"/>
      <c r="K42" s="6"/>
    </row>
    <row r="43" spans="1:11" x14ac:dyDescent="0.25">
      <c r="A43" s="4" t="str">
        <f>IF(tblPurchases[[#This Row],[วันที่]]="","","P"&amp;TEXT(tblPurchases[[#This Row],[วันที่]],"yymmdd")&amp;"-"&amp;TEXT(ROW()-5,"000"))</f>
        <v/>
      </c>
      <c r="B43" s="16"/>
      <c r="C43" s="6"/>
      <c r="D4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3" s="6"/>
      <c r="F43" s="7"/>
      <c r="G4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3" s="6"/>
      <c r="J43" s="6"/>
      <c r="K43" s="6"/>
    </row>
    <row r="44" spans="1:11" x14ac:dyDescent="0.25">
      <c r="A44" s="4" t="str">
        <f>IF(tblPurchases[[#This Row],[วันที่]]="","","P"&amp;TEXT(tblPurchases[[#This Row],[วันที่]],"yymmdd")&amp;"-"&amp;TEXT(ROW()-5,"000"))</f>
        <v/>
      </c>
      <c r="B44" s="16"/>
      <c r="C44" s="6"/>
      <c r="D4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4" s="6"/>
      <c r="F44" s="7"/>
      <c r="G4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4" s="6"/>
      <c r="J44" s="6"/>
      <c r="K44" s="6"/>
    </row>
    <row r="45" spans="1:11" x14ac:dyDescent="0.25">
      <c r="A45" s="4" t="str">
        <f>IF(tblPurchases[[#This Row],[วันที่]]="","","P"&amp;TEXT(tblPurchases[[#This Row],[วันที่]],"yymmdd")&amp;"-"&amp;TEXT(ROW()-5,"000"))</f>
        <v/>
      </c>
      <c r="B45" s="16"/>
      <c r="C45" s="6"/>
      <c r="D4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5" s="6"/>
      <c r="F45" s="7"/>
      <c r="G4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5" s="6"/>
      <c r="J45" s="6"/>
      <c r="K45" s="6"/>
    </row>
    <row r="46" spans="1:11" x14ac:dyDescent="0.25">
      <c r="A46" s="4" t="str">
        <f>IF(tblPurchases[[#This Row],[วันที่]]="","","P"&amp;TEXT(tblPurchases[[#This Row],[วันที่]],"yymmdd")&amp;"-"&amp;TEXT(ROW()-5,"000"))</f>
        <v/>
      </c>
      <c r="B46" s="16"/>
      <c r="C46" s="6"/>
      <c r="D4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6" s="6"/>
      <c r="F46" s="7"/>
      <c r="G4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6" s="6"/>
      <c r="J46" s="6"/>
      <c r="K46" s="6"/>
    </row>
    <row r="47" spans="1:11" x14ac:dyDescent="0.25">
      <c r="A47" s="4" t="str">
        <f>IF(tblPurchases[[#This Row],[วันที่]]="","","P"&amp;TEXT(tblPurchases[[#This Row],[วันที่]],"yymmdd")&amp;"-"&amp;TEXT(ROW()-5,"000"))</f>
        <v/>
      </c>
      <c r="B47" s="16"/>
      <c r="C47" s="6"/>
      <c r="D4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7" s="6"/>
      <c r="F47" s="7"/>
      <c r="G4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7" s="6"/>
      <c r="J47" s="6"/>
      <c r="K47" s="6"/>
    </row>
    <row r="48" spans="1:11" x14ac:dyDescent="0.25">
      <c r="A48" s="4" t="str">
        <f>IF(tblPurchases[[#This Row],[วันที่]]="","","P"&amp;TEXT(tblPurchases[[#This Row],[วันที่]],"yymmdd")&amp;"-"&amp;TEXT(ROW()-5,"000"))</f>
        <v/>
      </c>
      <c r="B48" s="16"/>
      <c r="C48" s="6"/>
      <c r="D4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8" s="6"/>
      <c r="F48" s="7"/>
      <c r="G4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8" s="6"/>
      <c r="J48" s="6"/>
      <c r="K48" s="6"/>
    </row>
    <row r="49" spans="1:11" x14ac:dyDescent="0.25">
      <c r="A49" s="4" t="str">
        <f>IF(tblPurchases[[#This Row],[วันที่]]="","","P"&amp;TEXT(tblPurchases[[#This Row],[วันที่]],"yymmdd")&amp;"-"&amp;TEXT(ROW()-5,"000"))</f>
        <v/>
      </c>
      <c r="B49" s="16"/>
      <c r="C49" s="6"/>
      <c r="D4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49" s="6"/>
      <c r="F49" s="7"/>
      <c r="G4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4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49" s="6"/>
      <c r="J49" s="6"/>
      <c r="K49" s="6"/>
    </row>
    <row r="50" spans="1:11" x14ac:dyDescent="0.25">
      <c r="A50" s="4" t="str">
        <f>IF(tblPurchases[[#This Row],[วันที่]]="","","P"&amp;TEXT(tblPurchases[[#This Row],[วันที่]],"yymmdd")&amp;"-"&amp;TEXT(ROW()-5,"000"))</f>
        <v/>
      </c>
      <c r="B50" s="16"/>
      <c r="C50" s="6"/>
      <c r="D5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0" s="6"/>
      <c r="F50" s="7"/>
      <c r="G5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0" s="6"/>
      <c r="J50" s="6"/>
      <c r="K50" s="6"/>
    </row>
    <row r="51" spans="1:11" x14ac:dyDescent="0.25">
      <c r="A51" s="4" t="str">
        <f>IF(tblPurchases[[#This Row],[วันที่]]="","","P"&amp;TEXT(tblPurchases[[#This Row],[วันที่]],"yymmdd")&amp;"-"&amp;TEXT(ROW()-5,"000"))</f>
        <v/>
      </c>
      <c r="B51" s="16"/>
      <c r="C51" s="6"/>
      <c r="D5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1" s="6"/>
      <c r="F51" s="7"/>
      <c r="G5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1" s="6"/>
      <c r="J51" s="6"/>
      <c r="K51" s="6"/>
    </row>
    <row r="52" spans="1:11" x14ac:dyDescent="0.25">
      <c r="A52" s="4" t="str">
        <f>IF(tblPurchases[[#This Row],[วันที่]]="","","P"&amp;TEXT(tblPurchases[[#This Row],[วันที่]],"yymmdd")&amp;"-"&amp;TEXT(ROW()-5,"000"))</f>
        <v/>
      </c>
      <c r="B52" s="16"/>
      <c r="C52" s="6"/>
      <c r="D5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2" s="6"/>
      <c r="F52" s="7"/>
      <c r="G5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2" s="6"/>
      <c r="J52" s="6"/>
      <c r="K52" s="6"/>
    </row>
    <row r="53" spans="1:11" x14ac:dyDescent="0.25">
      <c r="A53" s="4" t="str">
        <f>IF(tblPurchases[[#This Row],[วันที่]]="","","P"&amp;TEXT(tblPurchases[[#This Row],[วันที่]],"yymmdd")&amp;"-"&amp;TEXT(ROW()-5,"000"))</f>
        <v/>
      </c>
      <c r="B53" s="16"/>
      <c r="C53" s="6"/>
      <c r="D5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3" s="6"/>
      <c r="F53" s="7"/>
      <c r="G5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3" s="6"/>
      <c r="J53" s="6"/>
      <c r="K53" s="6"/>
    </row>
    <row r="54" spans="1:11" x14ac:dyDescent="0.25">
      <c r="A54" s="4" t="str">
        <f>IF(tblPurchases[[#This Row],[วันที่]]="","","P"&amp;TEXT(tblPurchases[[#This Row],[วันที่]],"yymmdd")&amp;"-"&amp;TEXT(ROW()-5,"000"))</f>
        <v/>
      </c>
      <c r="B54" s="16"/>
      <c r="C54" s="6"/>
      <c r="D5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4" s="6"/>
      <c r="F54" s="7"/>
      <c r="G5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4" s="6"/>
      <c r="J54" s="6"/>
      <c r="K54" s="6"/>
    </row>
    <row r="55" spans="1:11" x14ac:dyDescent="0.25">
      <c r="A55" s="4" t="str">
        <f>IF(tblPurchases[[#This Row],[วันที่]]="","","P"&amp;TEXT(tblPurchases[[#This Row],[วันที่]],"yymmdd")&amp;"-"&amp;TEXT(ROW()-5,"000"))</f>
        <v/>
      </c>
      <c r="B55" s="16"/>
      <c r="C55" s="6"/>
      <c r="D5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5" s="6"/>
      <c r="F55" s="7"/>
      <c r="G5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5" s="6"/>
      <c r="J55" s="6"/>
      <c r="K55" s="6"/>
    </row>
    <row r="56" spans="1:11" x14ac:dyDescent="0.25">
      <c r="A56" s="4" t="str">
        <f>IF(tblPurchases[[#This Row],[วันที่]]="","","P"&amp;TEXT(tblPurchases[[#This Row],[วันที่]],"yymmdd")&amp;"-"&amp;TEXT(ROW()-5,"000"))</f>
        <v/>
      </c>
      <c r="B56" s="16"/>
      <c r="C56" s="6"/>
      <c r="D5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6" s="6"/>
      <c r="F56" s="7"/>
      <c r="G5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6" s="6"/>
      <c r="J56" s="6"/>
      <c r="K56" s="6"/>
    </row>
    <row r="57" spans="1:11" x14ac:dyDescent="0.25">
      <c r="A57" s="4" t="str">
        <f>IF(tblPurchases[[#This Row],[วันที่]]="","","P"&amp;TEXT(tblPurchases[[#This Row],[วันที่]],"yymmdd")&amp;"-"&amp;TEXT(ROW()-5,"000"))</f>
        <v/>
      </c>
      <c r="B57" s="16"/>
      <c r="C57" s="6"/>
      <c r="D5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7" s="6"/>
      <c r="F57" s="7"/>
      <c r="G5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7" s="6"/>
      <c r="J57" s="6"/>
      <c r="K57" s="6"/>
    </row>
    <row r="58" spans="1:11" x14ac:dyDescent="0.25">
      <c r="A58" s="4" t="str">
        <f>IF(tblPurchases[[#This Row],[วันที่]]="","","P"&amp;TEXT(tblPurchases[[#This Row],[วันที่]],"yymmdd")&amp;"-"&amp;TEXT(ROW()-5,"000"))</f>
        <v/>
      </c>
      <c r="B58" s="16"/>
      <c r="C58" s="6"/>
      <c r="D5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8" s="6"/>
      <c r="F58" s="7"/>
      <c r="G5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8" s="6"/>
      <c r="J58" s="6"/>
      <c r="K58" s="6"/>
    </row>
    <row r="59" spans="1:11" x14ac:dyDescent="0.25">
      <c r="A59" s="4" t="str">
        <f>IF(tblPurchases[[#This Row],[วันที่]]="","","P"&amp;TEXT(tblPurchases[[#This Row],[วันที่]],"yymmdd")&amp;"-"&amp;TEXT(ROW()-5,"000"))</f>
        <v/>
      </c>
      <c r="B59" s="16"/>
      <c r="C59" s="6"/>
      <c r="D5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59" s="6"/>
      <c r="F59" s="7"/>
      <c r="G5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5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59" s="6"/>
      <c r="J59" s="6"/>
      <c r="K59" s="6"/>
    </row>
    <row r="60" spans="1:11" x14ac:dyDescent="0.25">
      <c r="A60" s="4" t="str">
        <f>IF(tblPurchases[[#This Row],[วันที่]]="","","P"&amp;TEXT(tblPurchases[[#This Row],[วันที่]],"yymmdd")&amp;"-"&amp;TEXT(ROW()-5,"000"))</f>
        <v/>
      </c>
      <c r="B60" s="16"/>
      <c r="C60" s="6"/>
      <c r="D6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0" s="6"/>
      <c r="F60" s="7"/>
      <c r="G6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0" s="6"/>
      <c r="J60" s="6"/>
      <c r="K60" s="6"/>
    </row>
    <row r="61" spans="1:11" x14ac:dyDescent="0.25">
      <c r="A61" s="4" t="str">
        <f>IF(tblPurchases[[#This Row],[วันที่]]="","","P"&amp;TEXT(tblPurchases[[#This Row],[วันที่]],"yymmdd")&amp;"-"&amp;TEXT(ROW()-5,"000"))</f>
        <v/>
      </c>
      <c r="B61" s="16"/>
      <c r="C61" s="6"/>
      <c r="D6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1" s="6"/>
      <c r="F61" s="7"/>
      <c r="G6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1" s="6"/>
      <c r="J61" s="6"/>
      <c r="K61" s="6"/>
    </row>
    <row r="62" spans="1:11" x14ac:dyDescent="0.25">
      <c r="A62" s="4" t="str">
        <f>IF(tblPurchases[[#This Row],[วันที่]]="","","P"&amp;TEXT(tblPurchases[[#This Row],[วันที่]],"yymmdd")&amp;"-"&amp;TEXT(ROW()-5,"000"))</f>
        <v/>
      </c>
      <c r="B62" s="16"/>
      <c r="C62" s="6"/>
      <c r="D6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2" s="6"/>
      <c r="F62" s="7"/>
      <c r="G6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2" s="6"/>
      <c r="J62" s="6"/>
      <c r="K62" s="6"/>
    </row>
    <row r="63" spans="1:11" x14ac:dyDescent="0.25">
      <c r="A63" s="4" t="str">
        <f>IF(tblPurchases[[#This Row],[วันที่]]="","","P"&amp;TEXT(tblPurchases[[#This Row],[วันที่]],"yymmdd")&amp;"-"&amp;TEXT(ROW()-5,"000"))</f>
        <v/>
      </c>
      <c r="B63" s="16"/>
      <c r="C63" s="6"/>
      <c r="D6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3" s="6"/>
      <c r="F63" s="7"/>
      <c r="G6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3" s="6"/>
      <c r="J63" s="6"/>
      <c r="K63" s="6"/>
    </row>
    <row r="64" spans="1:11" x14ac:dyDescent="0.25">
      <c r="A64" s="4" t="str">
        <f>IF(tblPurchases[[#This Row],[วันที่]]="","","P"&amp;TEXT(tblPurchases[[#This Row],[วันที่]],"yymmdd")&amp;"-"&amp;TEXT(ROW()-5,"000"))</f>
        <v/>
      </c>
      <c r="B64" s="16"/>
      <c r="C64" s="6"/>
      <c r="D6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4" s="6"/>
      <c r="F64" s="7"/>
      <c r="G6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4" s="6"/>
      <c r="J64" s="6"/>
      <c r="K64" s="6"/>
    </row>
    <row r="65" spans="1:11" x14ac:dyDescent="0.25">
      <c r="A65" s="4" t="str">
        <f>IF(tblPurchases[[#This Row],[วันที่]]="","","P"&amp;TEXT(tblPurchases[[#This Row],[วันที่]],"yymmdd")&amp;"-"&amp;TEXT(ROW()-5,"000"))</f>
        <v/>
      </c>
      <c r="B65" s="16"/>
      <c r="C65" s="6"/>
      <c r="D6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5" s="6"/>
      <c r="F65" s="7"/>
      <c r="G6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5" s="6"/>
      <c r="J65" s="6"/>
      <c r="K65" s="6"/>
    </row>
    <row r="66" spans="1:11" x14ac:dyDescent="0.25">
      <c r="A66" s="4" t="str">
        <f>IF(tblPurchases[[#This Row],[วันที่]]="","","P"&amp;TEXT(tblPurchases[[#This Row],[วันที่]],"yymmdd")&amp;"-"&amp;TEXT(ROW()-5,"000"))</f>
        <v/>
      </c>
      <c r="B66" s="16"/>
      <c r="C66" s="6"/>
      <c r="D6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6" s="6"/>
      <c r="F66" s="7"/>
      <c r="G6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6" s="6"/>
      <c r="J66" s="6"/>
      <c r="K66" s="6"/>
    </row>
    <row r="67" spans="1:11" x14ac:dyDescent="0.25">
      <c r="A67" s="4" t="str">
        <f>IF(tblPurchases[[#This Row],[วันที่]]="","","P"&amp;TEXT(tblPurchases[[#This Row],[วันที่]],"yymmdd")&amp;"-"&amp;TEXT(ROW()-5,"000"))</f>
        <v/>
      </c>
      <c r="B67" s="16"/>
      <c r="C67" s="6"/>
      <c r="D6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7" s="6"/>
      <c r="F67" s="7"/>
      <c r="G6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7" s="6"/>
      <c r="J67" s="6"/>
      <c r="K67" s="6"/>
    </row>
    <row r="68" spans="1:11" x14ac:dyDescent="0.25">
      <c r="A68" s="4" t="str">
        <f>IF(tblPurchases[[#This Row],[วันที่]]="","","P"&amp;TEXT(tblPurchases[[#This Row],[วันที่]],"yymmdd")&amp;"-"&amp;TEXT(ROW()-5,"000"))</f>
        <v/>
      </c>
      <c r="B68" s="16"/>
      <c r="C68" s="6"/>
      <c r="D6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8" s="6"/>
      <c r="F68" s="7"/>
      <c r="G6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8" s="6"/>
      <c r="J68" s="6"/>
      <c r="K68" s="6"/>
    </row>
    <row r="69" spans="1:11" x14ac:dyDescent="0.25">
      <c r="A69" s="4" t="str">
        <f>IF(tblPurchases[[#This Row],[วันที่]]="","","P"&amp;TEXT(tblPurchases[[#This Row],[วันที่]],"yymmdd")&amp;"-"&amp;TEXT(ROW()-5,"000"))</f>
        <v/>
      </c>
      <c r="B69" s="16"/>
      <c r="C69" s="6"/>
      <c r="D6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69" s="6"/>
      <c r="F69" s="7"/>
      <c r="G6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6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69" s="6"/>
      <c r="J69" s="6"/>
      <c r="K69" s="6"/>
    </row>
    <row r="70" spans="1:11" x14ac:dyDescent="0.25">
      <c r="A70" s="4" t="str">
        <f>IF(tblPurchases[[#This Row],[วันที่]]="","","P"&amp;TEXT(tblPurchases[[#This Row],[วันที่]],"yymmdd")&amp;"-"&amp;TEXT(ROW()-5,"000"))</f>
        <v/>
      </c>
      <c r="B70" s="16"/>
      <c r="C70" s="6"/>
      <c r="D7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0" s="6"/>
      <c r="F70" s="7"/>
      <c r="G7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0" s="6"/>
      <c r="J70" s="6"/>
      <c r="K70" s="6"/>
    </row>
    <row r="71" spans="1:11" x14ac:dyDescent="0.25">
      <c r="A71" s="4" t="str">
        <f>IF(tblPurchases[[#This Row],[วันที่]]="","","P"&amp;TEXT(tblPurchases[[#This Row],[วันที่]],"yymmdd")&amp;"-"&amp;TEXT(ROW()-5,"000"))</f>
        <v/>
      </c>
      <c r="B71" s="16"/>
      <c r="C71" s="6"/>
      <c r="D7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1" s="6"/>
      <c r="F71" s="7"/>
      <c r="G7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1" s="6"/>
      <c r="J71" s="6"/>
      <c r="K71" s="6"/>
    </row>
    <row r="72" spans="1:11" x14ac:dyDescent="0.25">
      <c r="A72" s="4" t="str">
        <f>IF(tblPurchases[[#This Row],[วันที่]]="","","P"&amp;TEXT(tblPurchases[[#This Row],[วันที่]],"yymmdd")&amp;"-"&amp;TEXT(ROW()-5,"000"))</f>
        <v/>
      </c>
      <c r="B72" s="16"/>
      <c r="C72" s="6"/>
      <c r="D7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2" s="6"/>
      <c r="F72" s="7"/>
      <c r="G7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2" s="6"/>
      <c r="J72" s="6"/>
      <c r="K72" s="6"/>
    </row>
    <row r="73" spans="1:11" x14ac:dyDescent="0.25">
      <c r="A73" s="4" t="str">
        <f>IF(tblPurchases[[#This Row],[วันที่]]="","","P"&amp;TEXT(tblPurchases[[#This Row],[วันที่]],"yymmdd")&amp;"-"&amp;TEXT(ROW()-5,"000"))</f>
        <v/>
      </c>
      <c r="B73" s="16"/>
      <c r="C73" s="6"/>
      <c r="D7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3" s="6"/>
      <c r="F73" s="7"/>
      <c r="G7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3" s="6"/>
      <c r="J73" s="6"/>
      <c r="K73" s="6"/>
    </row>
    <row r="74" spans="1:11" x14ac:dyDescent="0.25">
      <c r="A74" s="4" t="str">
        <f>IF(tblPurchases[[#This Row],[วันที่]]="","","P"&amp;TEXT(tblPurchases[[#This Row],[วันที่]],"yymmdd")&amp;"-"&amp;TEXT(ROW()-5,"000"))</f>
        <v/>
      </c>
      <c r="B74" s="16"/>
      <c r="C74" s="6"/>
      <c r="D7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4" s="6"/>
      <c r="F74" s="7"/>
      <c r="G7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4" s="6"/>
      <c r="J74" s="6"/>
      <c r="K74" s="6"/>
    </row>
    <row r="75" spans="1:11" x14ac:dyDescent="0.25">
      <c r="A75" s="4" t="str">
        <f>IF(tblPurchases[[#This Row],[วันที่]]="","","P"&amp;TEXT(tblPurchases[[#This Row],[วันที่]],"yymmdd")&amp;"-"&amp;TEXT(ROW()-5,"000"))</f>
        <v/>
      </c>
      <c r="B75" s="16"/>
      <c r="C75" s="6"/>
      <c r="D7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5" s="6"/>
      <c r="F75" s="7"/>
      <c r="G7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5" s="6"/>
      <c r="J75" s="6"/>
      <c r="K75" s="6"/>
    </row>
    <row r="76" spans="1:11" x14ac:dyDescent="0.25">
      <c r="A76" s="4" t="str">
        <f>IF(tblPurchases[[#This Row],[วันที่]]="","","P"&amp;TEXT(tblPurchases[[#This Row],[วันที่]],"yymmdd")&amp;"-"&amp;TEXT(ROW()-5,"000"))</f>
        <v/>
      </c>
      <c r="B76" s="16"/>
      <c r="C76" s="6"/>
      <c r="D7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6" s="6"/>
      <c r="F76" s="7"/>
      <c r="G7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6" s="6"/>
      <c r="J76" s="6"/>
      <c r="K76" s="6"/>
    </row>
    <row r="77" spans="1:11" x14ac:dyDescent="0.25">
      <c r="A77" s="4" t="str">
        <f>IF(tblPurchases[[#This Row],[วันที่]]="","","P"&amp;TEXT(tblPurchases[[#This Row],[วันที่]],"yymmdd")&amp;"-"&amp;TEXT(ROW()-5,"000"))</f>
        <v/>
      </c>
      <c r="B77" s="16"/>
      <c r="C77" s="6"/>
      <c r="D7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7" s="6"/>
      <c r="F77" s="7"/>
      <c r="G7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7" s="6"/>
      <c r="J77" s="6"/>
      <c r="K77" s="6"/>
    </row>
    <row r="78" spans="1:11" x14ac:dyDescent="0.25">
      <c r="A78" s="4" t="str">
        <f>IF(tblPurchases[[#This Row],[วันที่]]="","","P"&amp;TEXT(tblPurchases[[#This Row],[วันที่]],"yymmdd")&amp;"-"&amp;TEXT(ROW()-5,"000"))</f>
        <v/>
      </c>
      <c r="B78" s="16"/>
      <c r="C78" s="6"/>
      <c r="D7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8" s="6"/>
      <c r="F78" s="7"/>
      <c r="G7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8" s="6"/>
      <c r="J78" s="6"/>
      <c r="K78" s="6"/>
    </row>
    <row r="79" spans="1:11" x14ac:dyDescent="0.25">
      <c r="A79" s="4" t="str">
        <f>IF(tblPurchases[[#This Row],[วันที่]]="","","P"&amp;TEXT(tblPurchases[[#This Row],[วันที่]],"yymmdd")&amp;"-"&amp;TEXT(ROW()-5,"000"))</f>
        <v/>
      </c>
      <c r="B79" s="16"/>
      <c r="C79" s="6"/>
      <c r="D7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79" s="6"/>
      <c r="F79" s="7"/>
      <c r="G7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7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79" s="6"/>
      <c r="J79" s="6"/>
      <c r="K79" s="6"/>
    </row>
    <row r="80" spans="1:11" x14ac:dyDescent="0.25">
      <c r="A80" s="4" t="str">
        <f>IF(tblPurchases[[#This Row],[วันที่]]="","","P"&amp;TEXT(tblPurchases[[#This Row],[วันที่]],"yymmdd")&amp;"-"&amp;TEXT(ROW()-5,"000"))</f>
        <v/>
      </c>
      <c r="B80" s="16"/>
      <c r="C80" s="6"/>
      <c r="D8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0" s="6"/>
      <c r="F80" s="7"/>
      <c r="G8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0" s="6"/>
      <c r="J80" s="6"/>
      <c r="K80" s="6"/>
    </row>
    <row r="81" spans="1:11" x14ac:dyDescent="0.25">
      <c r="A81" s="4" t="str">
        <f>IF(tblPurchases[[#This Row],[วันที่]]="","","P"&amp;TEXT(tblPurchases[[#This Row],[วันที่]],"yymmdd")&amp;"-"&amp;TEXT(ROW()-5,"000"))</f>
        <v/>
      </c>
      <c r="B81" s="16"/>
      <c r="C81" s="6"/>
      <c r="D8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1" s="6"/>
      <c r="F81" s="7"/>
      <c r="G8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1" s="6"/>
      <c r="J81" s="6"/>
      <c r="K81" s="6"/>
    </row>
    <row r="82" spans="1:11" x14ac:dyDescent="0.25">
      <c r="A82" s="4" t="str">
        <f>IF(tblPurchases[[#This Row],[วันที่]]="","","P"&amp;TEXT(tblPurchases[[#This Row],[วันที่]],"yymmdd")&amp;"-"&amp;TEXT(ROW()-5,"000"))</f>
        <v/>
      </c>
      <c r="B82" s="16"/>
      <c r="C82" s="6"/>
      <c r="D8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2" s="6"/>
      <c r="F82" s="7"/>
      <c r="G8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2" s="6"/>
      <c r="J82" s="6"/>
      <c r="K82" s="6"/>
    </row>
    <row r="83" spans="1:11" x14ac:dyDescent="0.25">
      <c r="A83" s="4" t="str">
        <f>IF(tblPurchases[[#This Row],[วันที่]]="","","P"&amp;TEXT(tblPurchases[[#This Row],[วันที่]],"yymmdd")&amp;"-"&amp;TEXT(ROW()-5,"000"))</f>
        <v/>
      </c>
      <c r="B83" s="16"/>
      <c r="C83" s="6"/>
      <c r="D8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3" s="6"/>
      <c r="F83" s="7"/>
      <c r="G8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3" s="6"/>
      <c r="J83" s="6"/>
      <c r="K83" s="6"/>
    </row>
    <row r="84" spans="1:11" x14ac:dyDescent="0.25">
      <c r="A84" s="4" t="str">
        <f>IF(tblPurchases[[#This Row],[วันที่]]="","","P"&amp;TEXT(tblPurchases[[#This Row],[วันที่]],"yymmdd")&amp;"-"&amp;TEXT(ROW()-5,"000"))</f>
        <v/>
      </c>
      <c r="B84" s="16"/>
      <c r="C84" s="6"/>
      <c r="D8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4" s="6"/>
      <c r="F84" s="7"/>
      <c r="G8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4" s="6"/>
      <c r="J84" s="6"/>
      <c r="K84" s="6"/>
    </row>
    <row r="85" spans="1:11" x14ac:dyDescent="0.25">
      <c r="A85" s="4" t="str">
        <f>IF(tblPurchases[[#This Row],[วันที่]]="","","P"&amp;TEXT(tblPurchases[[#This Row],[วันที่]],"yymmdd")&amp;"-"&amp;TEXT(ROW()-5,"000"))</f>
        <v/>
      </c>
      <c r="B85" s="16"/>
      <c r="C85" s="6"/>
      <c r="D8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5" s="6"/>
      <c r="F85" s="7"/>
      <c r="G8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5" s="6"/>
      <c r="J85" s="6"/>
      <c r="K85" s="6"/>
    </row>
    <row r="86" spans="1:11" x14ac:dyDescent="0.25">
      <c r="A86" s="4" t="str">
        <f>IF(tblPurchases[[#This Row],[วันที่]]="","","P"&amp;TEXT(tblPurchases[[#This Row],[วันที่]],"yymmdd")&amp;"-"&amp;TEXT(ROW()-5,"000"))</f>
        <v/>
      </c>
      <c r="B86" s="16"/>
      <c r="C86" s="6"/>
      <c r="D8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6" s="6"/>
      <c r="F86" s="7"/>
      <c r="G8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6" s="6"/>
      <c r="J86" s="6"/>
      <c r="K86" s="6"/>
    </row>
    <row r="87" spans="1:11" x14ac:dyDescent="0.25">
      <c r="A87" s="4" t="str">
        <f>IF(tblPurchases[[#This Row],[วันที่]]="","","P"&amp;TEXT(tblPurchases[[#This Row],[วันที่]],"yymmdd")&amp;"-"&amp;TEXT(ROW()-5,"000"))</f>
        <v/>
      </c>
      <c r="B87" s="16"/>
      <c r="C87" s="6"/>
      <c r="D8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7" s="6"/>
      <c r="F87" s="7"/>
      <c r="G8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7" s="6"/>
      <c r="J87" s="6"/>
      <c r="K87" s="6"/>
    </row>
    <row r="88" spans="1:11" x14ac:dyDescent="0.25">
      <c r="A88" s="4" t="str">
        <f>IF(tblPurchases[[#This Row],[วันที่]]="","","P"&amp;TEXT(tblPurchases[[#This Row],[วันที่]],"yymmdd")&amp;"-"&amp;TEXT(ROW()-5,"000"))</f>
        <v/>
      </c>
      <c r="B88" s="16"/>
      <c r="C88" s="6"/>
      <c r="D8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8" s="6"/>
      <c r="F88" s="7"/>
      <c r="G8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8" s="6"/>
      <c r="J88" s="6"/>
      <c r="K88" s="6"/>
    </row>
    <row r="89" spans="1:11" x14ac:dyDescent="0.25">
      <c r="A89" s="4" t="str">
        <f>IF(tblPurchases[[#This Row],[วันที่]]="","","P"&amp;TEXT(tblPurchases[[#This Row],[วันที่]],"yymmdd")&amp;"-"&amp;TEXT(ROW()-5,"000"))</f>
        <v/>
      </c>
      <c r="B89" s="16"/>
      <c r="C89" s="6"/>
      <c r="D8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89" s="6"/>
      <c r="F89" s="7"/>
      <c r="G8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8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89" s="6"/>
      <c r="J89" s="6"/>
      <c r="K89" s="6"/>
    </row>
    <row r="90" spans="1:11" x14ac:dyDescent="0.25">
      <c r="A90" s="4" t="str">
        <f>IF(tblPurchases[[#This Row],[วันที่]]="","","P"&amp;TEXT(tblPurchases[[#This Row],[วันที่]],"yymmdd")&amp;"-"&amp;TEXT(ROW()-5,"000"))</f>
        <v/>
      </c>
      <c r="B90" s="16"/>
      <c r="C90" s="6"/>
      <c r="D9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0" s="6"/>
      <c r="F90" s="7"/>
      <c r="G9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0" s="6"/>
      <c r="J90" s="6"/>
      <c r="K90" s="6"/>
    </row>
    <row r="91" spans="1:11" x14ac:dyDescent="0.25">
      <c r="A91" s="4" t="str">
        <f>IF(tblPurchases[[#This Row],[วันที่]]="","","P"&amp;TEXT(tblPurchases[[#This Row],[วันที่]],"yymmdd")&amp;"-"&amp;TEXT(ROW()-5,"000"))</f>
        <v/>
      </c>
      <c r="B91" s="16"/>
      <c r="C91" s="6"/>
      <c r="D9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1" s="6"/>
      <c r="F91" s="7"/>
      <c r="G9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1" s="6"/>
      <c r="J91" s="6"/>
      <c r="K91" s="6"/>
    </row>
    <row r="92" spans="1:11" x14ac:dyDescent="0.25">
      <c r="A92" s="4" t="str">
        <f>IF(tblPurchases[[#This Row],[วันที่]]="","","P"&amp;TEXT(tblPurchases[[#This Row],[วันที่]],"yymmdd")&amp;"-"&amp;TEXT(ROW()-5,"000"))</f>
        <v/>
      </c>
      <c r="B92" s="16"/>
      <c r="C92" s="6"/>
      <c r="D9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2" s="6"/>
      <c r="F92" s="7"/>
      <c r="G9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2" s="6"/>
      <c r="J92" s="6"/>
      <c r="K92" s="6"/>
    </row>
    <row r="93" spans="1:11" x14ac:dyDescent="0.25">
      <c r="A93" s="4" t="str">
        <f>IF(tblPurchases[[#This Row],[วันที่]]="","","P"&amp;TEXT(tblPurchases[[#This Row],[วันที่]],"yymmdd")&amp;"-"&amp;TEXT(ROW()-5,"000"))</f>
        <v/>
      </c>
      <c r="B93" s="16"/>
      <c r="C93" s="6"/>
      <c r="D9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3" s="6"/>
      <c r="F93" s="7"/>
      <c r="G9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3" s="6"/>
      <c r="J93" s="6"/>
      <c r="K93" s="6"/>
    </row>
    <row r="94" spans="1:11" x14ac:dyDescent="0.25">
      <c r="A94" s="4" t="str">
        <f>IF(tblPurchases[[#This Row],[วันที่]]="","","P"&amp;TEXT(tblPurchases[[#This Row],[วันที่]],"yymmdd")&amp;"-"&amp;TEXT(ROW()-5,"000"))</f>
        <v/>
      </c>
      <c r="B94" s="16"/>
      <c r="C94" s="6"/>
      <c r="D9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4" s="6"/>
      <c r="F94" s="7"/>
      <c r="G9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4" s="6"/>
      <c r="J94" s="6"/>
      <c r="K94" s="6"/>
    </row>
    <row r="95" spans="1:11" x14ac:dyDescent="0.25">
      <c r="A95" s="4" t="str">
        <f>IF(tblPurchases[[#This Row],[วันที่]]="","","P"&amp;TEXT(tblPurchases[[#This Row],[วันที่]],"yymmdd")&amp;"-"&amp;TEXT(ROW()-5,"000"))</f>
        <v/>
      </c>
      <c r="B95" s="16"/>
      <c r="C95" s="6"/>
      <c r="D9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5" s="6"/>
      <c r="F95" s="7"/>
      <c r="G9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5" s="6"/>
      <c r="J95" s="6"/>
      <c r="K95" s="6"/>
    </row>
    <row r="96" spans="1:11" x14ac:dyDescent="0.25">
      <c r="A96" s="4" t="str">
        <f>IF(tblPurchases[[#This Row],[วันที่]]="","","P"&amp;TEXT(tblPurchases[[#This Row],[วันที่]],"yymmdd")&amp;"-"&amp;TEXT(ROW()-5,"000"))</f>
        <v/>
      </c>
      <c r="B96" s="16"/>
      <c r="C96" s="6"/>
      <c r="D9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6" s="6"/>
      <c r="F96" s="7"/>
      <c r="G9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6" s="6"/>
      <c r="J96" s="6"/>
      <c r="K96" s="6"/>
    </row>
    <row r="97" spans="1:11" x14ac:dyDescent="0.25">
      <c r="A97" s="4" t="str">
        <f>IF(tblPurchases[[#This Row],[วันที่]]="","","P"&amp;TEXT(tblPurchases[[#This Row],[วันที่]],"yymmdd")&amp;"-"&amp;TEXT(ROW()-5,"000"))</f>
        <v/>
      </c>
      <c r="B97" s="16"/>
      <c r="C97" s="6"/>
      <c r="D9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7" s="6"/>
      <c r="F97" s="7"/>
      <c r="G9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7" s="6"/>
      <c r="J97" s="6"/>
      <c r="K97" s="6"/>
    </row>
    <row r="98" spans="1:11" x14ac:dyDescent="0.25">
      <c r="A98" s="4" t="str">
        <f>IF(tblPurchases[[#This Row],[วันที่]]="","","P"&amp;TEXT(tblPurchases[[#This Row],[วันที่]],"yymmdd")&amp;"-"&amp;TEXT(ROW()-5,"000"))</f>
        <v/>
      </c>
      <c r="B98" s="16"/>
      <c r="C98" s="6"/>
      <c r="D9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8" s="6"/>
      <c r="F98" s="7"/>
      <c r="G9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8" s="6"/>
      <c r="J98" s="6"/>
      <c r="K98" s="6"/>
    </row>
    <row r="99" spans="1:11" x14ac:dyDescent="0.25">
      <c r="A99" s="4" t="str">
        <f>IF(tblPurchases[[#This Row],[วันที่]]="","","P"&amp;TEXT(tblPurchases[[#This Row],[วันที่]],"yymmdd")&amp;"-"&amp;TEXT(ROW()-5,"000"))</f>
        <v/>
      </c>
      <c r="B99" s="16"/>
      <c r="C99" s="6"/>
      <c r="D9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99" s="6"/>
      <c r="F99" s="7"/>
      <c r="G9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9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99" s="6"/>
      <c r="J99" s="6"/>
      <c r="K99" s="6"/>
    </row>
    <row r="100" spans="1:11" x14ac:dyDescent="0.25">
      <c r="A100" s="4" t="str">
        <f>IF(tblPurchases[[#This Row],[วันที่]]="","","P"&amp;TEXT(tblPurchases[[#This Row],[วันที่]],"yymmdd")&amp;"-"&amp;TEXT(ROW()-5,"000"))</f>
        <v/>
      </c>
      <c r="B100" s="16"/>
      <c r="C100" s="6"/>
      <c r="D10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0" s="6"/>
      <c r="F100" s="7"/>
      <c r="G10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0" s="6"/>
      <c r="J100" s="6"/>
      <c r="K100" s="6"/>
    </row>
    <row r="101" spans="1:11" x14ac:dyDescent="0.25">
      <c r="A101" s="4" t="str">
        <f>IF(tblPurchases[[#This Row],[วันที่]]="","","P"&amp;TEXT(tblPurchases[[#This Row],[วันที่]],"yymmdd")&amp;"-"&amp;TEXT(ROW()-5,"000"))</f>
        <v/>
      </c>
      <c r="B101" s="16"/>
      <c r="C101" s="6"/>
      <c r="D10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1" s="6"/>
      <c r="F101" s="7"/>
      <c r="G10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1" s="6"/>
      <c r="J101" s="6"/>
      <c r="K101" s="6"/>
    </row>
    <row r="102" spans="1:11" x14ac:dyDescent="0.25">
      <c r="A102" s="4" t="str">
        <f>IF(tblPurchases[[#This Row],[วันที่]]="","","P"&amp;TEXT(tblPurchases[[#This Row],[วันที่]],"yymmdd")&amp;"-"&amp;TEXT(ROW()-5,"000"))</f>
        <v/>
      </c>
      <c r="B102" s="16"/>
      <c r="C102" s="6"/>
      <c r="D10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2" s="6"/>
      <c r="F102" s="7"/>
      <c r="G10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2" s="6"/>
      <c r="J102" s="6"/>
      <c r="K102" s="6"/>
    </row>
    <row r="103" spans="1:11" x14ac:dyDescent="0.25">
      <c r="A103" s="4" t="str">
        <f>IF(tblPurchases[[#This Row],[วันที่]]="","","P"&amp;TEXT(tblPurchases[[#This Row],[วันที่]],"yymmdd")&amp;"-"&amp;TEXT(ROW()-5,"000"))</f>
        <v/>
      </c>
      <c r="B103" s="16"/>
      <c r="C103" s="6"/>
      <c r="D10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3" s="6"/>
      <c r="F103" s="7"/>
      <c r="G10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3" s="6"/>
      <c r="J103" s="6"/>
      <c r="K103" s="6"/>
    </row>
    <row r="104" spans="1:11" x14ac:dyDescent="0.25">
      <c r="A104" s="4" t="str">
        <f>IF(tblPurchases[[#This Row],[วันที่]]="","","P"&amp;TEXT(tblPurchases[[#This Row],[วันที่]],"yymmdd")&amp;"-"&amp;TEXT(ROW()-5,"000"))</f>
        <v/>
      </c>
      <c r="B104" s="16"/>
      <c r="C104" s="6"/>
      <c r="D10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4" s="6"/>
      <c r="F104" s="7"/>
      <c r="G10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4" s="6"/>
      <c r="J104" s="6"/>
      <c r="K104" s="6"/>
    </row>
    <row r="105" spans="1:11" x14ac:dyDescent="0.25">
      <c r="A105" s="4" t="str">
        <f>IF(tblPurchases[[#This Row],[วันที่]]="","","P"&amp;TEXT(tblPurchases[[#This Row],[วันที่]],"yymmdd")&amp;"-"&amp;TEXT(ROW()-5,"000"))</f>
        <v/>
      </c>
      <c r="B105" s="16"/>
      <c r="C105" s="6"/>
      <c r="D10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5" s="6"/>
      <c r="F105" s="7"/>
      <c r="G10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5" s="6"/>
      <c r="J105" s="6"/>
      <c r="K105" s="6"/>
    </row>
    <row r="106" spans="1:11" x14ac:dyDescent="0.25">
      <c r="A106" s="4" t="str">
        <f>IF(tblPurchases[[#This Row],[วันที่]]="","","P"&amp;TEXT(tblPurchases[[#This Row],[วันที่]],"yymmdd")&amp;"-"&amp;TEXT(ROW()-5,"000"))</f>
        <v/>
      </c>
      <c r="B106" s="16"/>
      <c r="C106" s="6"/>
      <c r="D10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6" s="6"/>
      <c r="F106" s="7"/>
      <c r="G10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6" s="6"/>
      <c r="J106" s="6"/>
      <c r="K106" s="6"/>
    </row>
    <row r="107" spans="1:11" x14ac:dyDescent="0.25">
      <c r="A107" s="4" t="str">
        <f>IF(tblPurchases[[#This Row],[วันที่]]="","","P"&amp;TEXT(tblPurchases[[#This Row],[วันที่]],"yymmdd")&amp;"-"&amp;TEXT(ROW()-5,"000"))</f>
        <v/>
      </c>
      <c r="B107" s="16"/>
      <c r="C107" s="6"/>
      <c r="D10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7" s="6"/>
      <c r="F107" s="7"/>
      <c r="G10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7" s="6"/>
      <c r="J107" s="6"/>
      <c r="K107" s="6"/>
    </row>
    <row r="108" spans="1:11" x14ac:dyDescent="0.25">
      <c r="A108" s="4" t="str">
        <f>IF(tblPurchases[[#This Row],[วันที่]]="","","P"&amp;TEXT(tblPurchases[[#This Row],[วันที่]],"yymmdd")&amp;"-"&amp;TEXT(ROW()-5,"000"))</f>
        <v/>
      </c>
      <c r="B108" s="16"/>
      <c r="C108" s="6"/>
      <c r="D10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8" s="6"/>
      <c r="F108" s="7"/>
      <c r="G10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8" s="6"/>
      <c r="J108" s="6"/>
      <c r="K108" s="6"/>
    </row>
    <row r="109" spans="1:11" x14ac:dyDescent="0.25">
      <c r="A109" s="4" t="str">
        <f>IF(tblPurchases[[#This Row],[วันที่]]="","","P"&amp;TEXT(tblPurchases[[#This Row],[วันที่]],"yymmdd")&amp;"-"&amp;TEXT(ROW()-5,"000"))</f>
        <v/>
      </c>
      <c r="B109" s="16"/>
      <c r="C109" s="6"/>
      <c r="D10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09" s="6"/>
      <c r="F109" s="7"/>
      <c r="G10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0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09" s="6"/>
      <c r="J109" s="6"/>
      <c r="K109" s="6"/>
    </row>
    <row r="110" spans="1:11" x14ac:dyDescent="0.25">
      <c r="A110" s="4" t="str">
        <f>IF(tblPurchases[[#This Row],[วันที่]]="","","P"&amp;TEXT(tblPurchases[[#This Row],[วันที่]],"yymmdd")&amp;"-"&amp;TEXT(ROW()-5,"000"))</f>
        <v/>
      </c>
      <c r="B110" s="16"/>
      <c r="C110" s="6"/>
      <c r="D11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0" s="6"/>
      <c r="F110" s="7"/>
      <c r="G11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0" s="6"/>
      <c r="J110" s="6"/>
      <c r="K110" s="6"/>
    </row>
    <row r="111" spans="1:11" x14ac:dyDescent="0.25">
      <c r="A111" s="4" t="str">
        <f>IF(tblPurchases[[#This Row],[วันที่]]="","","P"&amp;TEXT(tblPurchases[[#This Row],[วันที่]],"yymmdd")&amp;"-"&amp;TEXT(ROW()-5,"000"))</f>
        <v/>
      </c>
      <c r="B111" s="16"/>
      <c r="C111" s="6"/>
      <c r="D11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1" s="6"/>
      <c r="F111" s="7"/>
      <c r="G11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1" s="6"/>
      <c r="J111" s="6"/>
      <c r="K111" s="6"/>
    </row>
    <row r="112" spans="1:11" x14ac:dyDescent="0.25">
      <c r="A112" s="4" t="str">
        <f>IF(tblPurchases[[#This Row],[วันที่]]="","","P"&amp;TEXT(tblPurchases[[#This Row],[วันที่]],"yymmdd")&amp;"-"&amp;TEXT(ROW()-5,"000"))</f>
        <v/>
      </c>
      <c r="B112" s="16"/>
      <c r="C112" s="6"/>
      <c r="D11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2" s="6"/>
      <c r="F112" s="7"/>
      <c r="G11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2" s="6"/>
      <c r="J112" s="6"/>
      <c r="K112" s="6"/>
    </row>
    <row r="113" spans="1:11" x14ac:dyDescent="0.25">
      <c r="A113" s="4" t="str">
        <f>IF(tblPurchases[[#This Row],[วันที่]]="","","P"&amp;TEXT(tblPurchases[[#This Row],[วันที่]],"yymmdd")&amp;"-"&amp;TEXT(ROW()-5,"000"))</f>
        <v/>
      </c>
      <c r="B113" s="16"/>
      <c r="C113" s="6"/>
      <c r="D11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3" s="6"/>
      <c r="F113" s="7"/>
      <c r="G11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3" s="6"/>
      <c r="J113" s="6"/>
      <c r="K113" s="6"/>
    </row>
    <row r="114" spans="1:11" x14ac:dyDescent="0.25">
      <c r="A114" s="4" t="str">
        <f>IF(tblPurchases[[#This Row],[วันที่]]="","","P"&amp;TEXT(tblPurchases[[#This Row],[วันที่]],"yymmdd")&amp;"-"&amp;TEXT(ROW()-5,"000"))</f>
        <v/>
      </c>
      <c r="B114" s="16"/>
      <c r="C114" s="6"/>
      <c r="D11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4" s="6"/>
      <c r="F114" s="7"/>
      <c r="G11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4" s="6"/>
      <c r="J114" s="6"/>
      <c r="K114" s="6"/>
    </row>
    <row r="115" spans="1:11" x14ac:dyDescent="0.25">
      <c r="A115" s="4" t="str">
        <f>IF(tblPurchases[[#This Row],[วันที่]]="","","P"&amp;TEXT(tblPurchases[[#This Row],[วันที่]],"yymmdd")&amp;"-"&amp;TEXT(ROW()-5,"000"))</f>
        <v/>
      </c>
      <c r="B115" s="16"/>
      <c r="C115" s="6"/>
      <c r="D11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5" s="6"/>
      <c r="F115" s="7"/>
      <c r="G11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5" s="6"/>
      <c r="J115" s="6"/>
      <c r="K115" s="6"/>
    </row>
    <row r="116" spans="1:11" x14ac:dyDescent="0.25">
      <c r="A116" s="4" t="str">
        <f>IF(tblPurchases[[#This Row],[วันที่]]="","","P"&amp;TEXT(tblPurchases[[#This Row],[วันที่]],"yymmdd")&amp;"-"&amp;TEXT(ROW()-5,"000"))</f>
        <v/>
      </c>
      <c r="B116" s="16"/>
      <c r="C116" s="6"/>
      <c r="D11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6" s="6"/>
      <c r="F116" s="7"/>
      <c r="G11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6" s="6"/>
      <c r="J116" s="6"/>
      <c r="K116" s="6"/>
    </row>
    <row r="117" spans="1:11" x14ac:dyDescent="0.25">
      <c r="A117" s="4" t="str">
        <f>IF(tblPurchases[[#This Row],[วันที่]]="","","P"&amp;TEXT(tblPurchases[[#This Row],[วันที่]],"yymmdd")&amp;"-"&amp;TEXT(ROW()-5,"000"))</f>
        <v/>
      </c>
      <c r="B117" s="16"/>
      <c r="C117" s="6"/>
      <c r="D11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7" s="6"/>
      <c r="F117" s="7"/>
      <c r="G11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7" s="6"/>
      <c r="J117" s="6"/>
      <c r="K117" s="6"/>
    </row>
    <row r="118" spans="1:11" x14ac:dyDescent="0.25">
      <c r="A118" s="4" t="str">
        <f>IF(tblPurchases[[#This Row],[วันที่]]="","","P"&amp;TEXT(tblPurchases[[#This Row],[วันที่]],"yymmdd")&amp;"-"&amp;TEXT(ROW()-5,"000"))</f>
        <v/>
      </c>
      <c r="B118" s="16"/>
      <c r="C118" s="6"/>
      <c r="D11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8" s="6"/>
      <c r="F118" s="7"/>
      <c r="G11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8" s="6"/>
      <c r="J118" s="6"/>
      <c r="K118" s="6"/>
    </row>
    <row r="119" spans="1:11" x14ac:dyDescent="0.25">
      <c r="A119" s="4" t="str">
        <f>IF(tblPurchases[[#This Row],[วันที่]]="","","P"&amp;TEXT(tblPurchases[[#This Row],[วันที่]],"yymmdd")&amp;"-"&amp;TEXT(ROW()-5,"000"))</f>
        <v/>
      </c>
      <c r="B119" s="16"/>
      <c r="C119" s="6"/>
      <c r="D11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19" s="6"/>
      <c r="F119" s="7"/>
      <c r="G11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1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19" s="6"/>
      <c r="J119" s="6"/>
      <c r="K119" s="6"/>
    </row>
    <row r="120" spans="1:11" x14ac:dyDescent="0.25">
      <c r="A120" s="4" t="str">
        <f>IF(tblPurchases[[#This Row],[วันที่]]="","","P"&amp;TEXT(tblPurchases[[#This Row],[วันที่]],"yymmdd")&amp;"-"&amp;TEXT(ROW()-5,"000"))</f>
        <v/>
      </c>
      <c r="B120" s="16"/>
      <c r="C120" s="6"/>
      <c r="D12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0" s="6"/>
      <c r="F120" s="7"/>
      <c r="G12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0" s="6"/>
      <c r="J120" s="6"/>
      <c r="K120" s="6"/>
    </row>
    <row r="121" spans="1:11" x14ac:dyDescent="0.25">
      <c r="A121" s="4" t="str">
        <f>IF(tblPurchases[[#This Row],[วันที่]]="","","P"&amp;TEXT(tblPurchases[[#This Row],[วันที่]],"yymmdd")&amp;"-"&amp;TEXT(ROW()-5,"000"))</f>
        <v/>
      </c>
      <c r="B121" s="16"/>
      <c r="C121" s="6"/>
      <c r="D12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1" s="6"/>
      <c r="F121" s="7"/>
      <c r="G12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1" s="6"/>
      <c r="J121" s="6"/>
      <c r="K121" s="6"/>
    </row>
    <row r="122" spans="1:11" x14ac:dyDescent="0.25">
      <c r="A122" s="4" t="str">
        <f>IF(tblPurchases[[#This Row],[วันที่]]="","","P"&amp;TEXT(tblPurchases[[#This Row],[วันที่]],"yymmdd")&amp;"-"&amp;TEXT(ROW()-5,"000"))</f>
        <v/>
      </c>
      <c r="B122" s="16"/>
      <c r="C122" s="6"/>
      <c r="D12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2" s="6"/>
      <c r="F122" s="7"/>
      <c r="G12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2" s="6"/>
      <c r="J122" s="6"/>
      <c r="K122" s="6"/>
    </row>
    <row r="123" spans="1:11" x14ac:dyDescent="0.25">
      <c r="A123" s="4" t="str">
        <f>IF(tblPurchases[[#This Row],[วันที่]]="","","P"&amp;TEXT(tblPurchases[[#This Row],[วันที่]],"yymmdd")&amp;"-"&amp;TEXT(ROW()-5,"000"))</f>
        <v/>
      </c>
      <c r="B123" s="16"/>
      <c r="C123" s="6"/>
      <c r="D12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3" s="6"/>
      <c r="F123" s="7"/>
      <c r="G12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3" s="6"/>
      <c r="J123" s="6"/>
      <c r="K123" s="6"/>
    </row>
    <row r="124" spans="1:11" x14ac:dyDescent="0.25">
      <c r="A124" s="4" t="str">
        <f>IF(tblPurchases[[#This Row],[วันที่]]="","","P"&amp;TEXT(tblPurchases[[#This Row],[วันที่]],"yymmdd")&amp;"-"&amp;TEXT(ROW()-5,"000"))</f>
        <v/>
      </c>
      <c r="B124" s="16"/>
      <c r="C124" s="6"/>
      <c r="D12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4" s="6"/>
      <c r="F124" s="7"/>
      <c r="G12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4" s="6"/>
      <c r="J124" s="6"/>
      <c r="K124" s="6"/>
    </row>
    <row r="125" spans="1:11" x14ac:dyDescent="0.25">
      <c r="A125" s="4" t="str">
        <f>IF(tblPurchases[[#This Row],[วันที่]]="","","P"&amp;TEXT(tblPurchases[[#This Row],[วันที่]],"yymmdd")&amp;"-"&amp;TEXT(ROW()-5,"000"))</f>
        <v/>
      </c>
      <c r="B125" s="16"/>
      <c r="C125" s="6"/>
      <c r="D12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5" s="6"/>
      <c r="F125" s="7"/>
      <c r="G12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5" s="6"/>
      <c r="J125" s="6"/>
      <c r="K125" s="6"/>
    </row>
    <row r="126" spans="1:11" x14ac:dyDescent="0.25">
      <c r="A126" s="4" t="str">
        <f>IF(tblPurchases[[#This Row],[วันที่]]="","","P"&amp;TEXT(tblPurchases[[#This Row],[วันที่]],"yymmdd")&amp;"-"&amp;TEXT(ROW()-5,"000"))</f>
        <v/>
      </c>
      <c r="B126" s="16"/>
      <c r="C126" s="6"/>
      <c r="D12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6" s="6"/>
      <c r="F126" s="7"/>
      <c r="G12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6" s="6"/>
      <c r="J126" s="6"/>
      <c r="K126" s="6"/>
    </row>
    <row r="127" spans="1:11" x14ac:dyDescent="0.25">
      <c r="A127" s="4" t="str">
        <f>IF(tblPurchases[[#This Row],[วันที่]]="","","P"&amp;TEXT(tblPurchases[[#This Row],[วันที่]],"yymmdd")&amp;"-"&amp;TEXT(ROW()-5,"000"))</f>
        <v/>
      </c>
      <c r="B127" s="16"/>
      <c r="C127" s="6"/>
      <c r="D12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7" s="6"/>
      <c r="F127" s="7"/>
      <c r="G12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7" s="6"/>
      <c r="J127" s="6"/>
      <c r="K127" s="6"/>
    </row>
    <row r="128" spans="1:11" x14ac:dyDescent="0.25">
      <c r="A128" s="4" t="str">
        <f>IF(tblPurchases[[#This Row],[วันที่]]="","","P"&amp;TEXT(tblPurchases[[#This Row],[วันที่]],"yymmdd")&amp;"-"&amp;TEXT(ROW()-5,"000"))</f>
        <v/>
      </c>
      <c r="B128" s="16"/>
      <c r="C128" s="6"/>
      <c r="D12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8" s="6"/>
      <c r="F128" s="7"/>
      <c r="G12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8" s="6"/>
      <c r="J128" s="6"/>
      <c r="K128" s="6"/>
    </row>
    <row r="129" spans="1:11" x14ac:dyDescent="0.25">
      <c r="A129" s="4" t="str">
        <f>IF(tblPurchases[[#This Row],[วันที่]]="","","P"&amp;TEXT(tblPurchases[[#This Row],[วันที่]],"yymmdd")&amp;"-"&amp;TEXT(ROW()-5,"000"))</f>
        <v/>
      </c>
      <c r="B129" s="16"/>
      <c r="C129" s="6"/>
      <c r="D12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29" s="6"/>
      <c r="F129" s="7"/>
      <c r="G12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2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29" s="6"/>
      <c r="J129" s="6"/>
      <c r="K129" s="6"/>
    </row>
    <row r="130" spans="1:11" x14ac:dyDescent="0.25">
      <c r="A130" s="4" t="str">
        <f>IF(tblPurchases[[#This Row],[วันที่]]="","","P"&amp;TEXT(tblPurchases[[#This Row],[วันที่]],"yymmdd")&amp;"-"&amp;TEXT(ROW()-5,"000"))</f>
        <v/>
      </c>
      <c r="B130" s="16"/>
      <c r="C130" s="6"/>
      <c r="D13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0" s="6"/>
      <c r="F130" s="7"/>
      <c r="G13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0" s="6"/>
      <c r="J130" s="6"/>
      <c r="K130" s="6"/>
    </row>
    <row r="131" spans="1:11" x14ac:dyDescent="0.25">
      <c r="A131" s="4" t="str">
        <f>IF(tblPurchases[[#This Row],[วันที่]]="","","P"&amp;TEXT(tblPurchases[[#This Row],[วันที่]],"yymmdd")&amp;"-"&amp;TEXT(ROW()-5,"000"))</f>
        <v/>
      </c>
      <c r="B131" s="16"/>
      <c r="C131" s="6"/>
      <c r="D13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1" s="6"/>
      <c r="F131" s="7"/>
      <c r="G13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1" s="6"/>
      <c r="J131" s="6"/>
      <c r="K131" s="6"/>
    </row>
    <row r="132" spans="1:11" x14ac:dyDescent="0.25">
      <c r="A132" s="4" t="str">
        <f>IF(tblPurchases[[#This Row],[วันที่]]="","","P"&amp;TEXT(tblPurchases[[#This Row],[วันที่]],"yymmdd")&amp;"-"&amp;TEXT(ROW()-5,"000"))</f>
        <v/>
      </c>
      <c r="B132" s="16"/>
      <c r="C132" s="6"/>
      <c r="D13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2" s="6"/>
      <c r="F132" s="7"/>
      <c r="G13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2" s="6"/>
      <c r="J132" s="6"/>
      <c r="K132" s="6"/>
    </row>
    <row r="133" spans="1:11" x14ac:dyDescent="0.25">
      <c r="A133" s="4" t="str">
        <f>IF(tblPurchases[[#This Row],[วันที่]]="","","P"&amp;TEXT(tblPurchases[[#This Row],[วันที่]],"yymmdd")&amp;"-"&amp;TEXT(ROW()-5,"000"))</f>
        <v/>
      </c>
      <c r="B133" s="16"/>
      <c r="C133" s="6"/>
      <c r="D13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3" s="6"/>
      <c r="F133" s="7"/>
      <c r="G13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3" s="6"/>
      <c r="J133" s="6"/>
      <c r="K133" s="6"/>
    </row>
    <row r="134" spans="1:11" x14ac:dyDescent="0.25">
      <c r="A134" s="4" t="str">
        <f>IF(tblPurchases[[#This Row],[วันที่]]="","","P"&amp;TEXT(tblPurchases[[#This Row],[วันที่]],"yymmdd")&amp;"-"&amp;TEXT(ROW()-5,"000"))</f>
        <v/>
      </c>
      <c r="B134" s="16"/>
      <c r="C134" s="6"/>
      <c r="D13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4" s="6"/>
      <c r="F134" s="7"/>
      <c r="G13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4" s="6"/>
      <c r="J134" s="6"/>
      <c r="K134" s="6"/>
    </row>
    <row r="135" spans="1:11" x14ac:dyDescent="0.25">
      <c r="A135" s="4" t="str">
        <f>IF(tblPurchases[[#This Row],[วันที่]]="","","P"&amp;TEXT(tblPurchases[[#This Row],[วันที่]],"yymmdd")&amp;"-"&amp;TEXT(ROW()-5,"000"))</f>
        <v/>
      </c>
      <c r="B135" s="16"/>
      <c r="C135" s="6"/>
      <c r="D13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5" s="6"/>
      <c r="F135" s="7"/>
      <c r="G13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5" s="6"/>
      <c r="J135" s="6"/>
      <c r="K135" s="6"/>
    </row>
    <row r="136" spans="1:11" x14ac:dyDescent="0.25">
      <c r="A136" s="4" t="str">
        <f>IF(tblPurchases[[#This Row],[วันที่]]="","","P"&amp;TEXT(tblPurchases[[#This Row],[วันที่]],"yymmdd")&amp;"-"&amp;TEXT(ROW()-5,"000"))</f>
        <v/>
      </c>
      <c r="B136" s="16"/>
      <c r="C136" s="6"/>
      <c r="D13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6" s="6"/>
      <c r="F136" s="7"/>
      <c r="G13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6" s="6"/>
      <c r="J136" s="6"/>
      <c r="K136" s="6"/>
    </row>
    <row r="137" spans="1:11" x14ac:dyDescent="0.25">
      <c r="A137" s="4" t="str">
        <f>IF(tblPurchases[[#This Row],[วันที่]]="","","P"&amp;TEXT(tblPurchases[[#This Row],[วันที่]],"yymmdd")&amp;"-"&amp;TEXT(ROW()-5,"000"))</f>
        <v/>
      </c>
      <c r="B137" s="16"/>
      <c r="C137" s="6"/>
      <c r="D13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7" s="6"/>
      <c r="F137" s="7"/>
      <c r="G13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7" s="6"/>
      <c r="J137" s="6"/>
      <c r="K137" s="6"/>
    </row>
    <row r="138" spans="1:11" x14ac:dyDescent="0.25">
      <c r="A138" s="4" t="str">
        <f>IF(tblPurchases[[#This Row],[วันที่]]="","","P"&amp;TEXT(tblPurchases[[#This Row],[วันที่]],"yymmdd")&amp;"-"&amp;TEXT(ROW()-5,"000"))</f>
        <v/>
      </c>
      <c r="B138" s="16"/>
      <c r="C138" s="6"/>
      <c r="D13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8" s="6"/>
      <c r="F138" s="7"/>
      <c r="G13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8" s="6"/>
      <c r="J138" s="6"/>
      <c r="K138" s="6"/>
    </row>
    <row r="139" spans="1:11" x14ac:dyDescent="0.25">
      <c r="A139" s="4" t="str">
        <f>IF(tblPurchases[[#This Row],[วันที่]]="","","P"&amp;TEXT(tblPurchases[[#This Row],[วันที่]],"yymmdd")&amp;"-"&amp;TEXT(ROW()-5,"000"))</f>
        <v/>
      </c>
      <c r="B139" s="16"/>
      <c r="C139" s="6"/>
      <c r="D13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39" s="6"/>
      <c r="F139" s="7"/>
      <c r="G13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3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39" s="6"/>
      <c r="J139" s="6"/>
      <c r="K139" s="6"/>
    </row>
    <row r="140" spans="1:11" x14ac:dyDescent="0.25">
      <c r="A140" s="4" t="str">
        <f>IF(tblPurchases[[#This Row],[วันที่]]="","","P"&amp;TEXT(tblPurchases[[#This Row],[วันที่]],"yymmdd")&amp;"-"&amp;TEXT(ROW()-5,"000"))</f>
        <v/>
      </c>
      <c r="B140" s="16"/>
      <c r="C140" s="6"/>
      <c r="D14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0" s="6"/>
      <c r="F140" s="7"/>
      <c r="G14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0" s="6"/>
      <c r="J140" s="6"/>
      <c r="K140" s="6"/>
    </row>
    <row r="141" spans="1:11" x14ac:dyDescent="0.25">
      <c r="A141" s="4" t="str">
        <f>IF(tblPurchases[[#This Row],[วันที่]]="","","P"&amp;TEXT(tblPurchases[[#This Row],[วันที่]],"yymmdd")&amp;"-"&amp;TEXT(ROW()-5,"000"))</f>
        <v/>
      </c>
      <c r="B141" s="16"/>
      <c r="C141" s="6"/>
      <c r="D14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1" s="6"/>
      <c r="F141" s="7"/>
      <c r="G14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1" s="6"/>
      <c r="J141" s="6"/>
      <c r="K141" s="6"/>
    </row>
    <row r="142" spans="1:11" x14ac:dyDescent="0.25">
      <c r="A142" s="4" t="str">
        <f>IF(tblPurchases[[#This Row],[วันที่]]="","","P"&amp;TEXT(tblPurchases[[#This Row],[วันที่]],"yymmdd")&amp;"-"&amp;TEXT(ROW()-5,"000"))</f>
        <v/>
      </c>
      <c r="B142" s="16"/>
      <c r="C142" s="6"/>
      <c r="D14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2" s="6"/>
      <c r="F142" s="7"/>
      <c r="G14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2" s="6"/>
      <c r="J142" s="6"/>
      <c r="K142" s="6"/>
    </row>
    <row r="143" spans="1:11" x14ac:dyDescent="0.25">
      <c r="A143" s="4" t="str">
        <f>IF(tblPurchases[[#This Row],[วันที่]]="","","P"&amp;TEXT(tblPurchases[[#This Row],[วันที่]],"yymmdd")&amp;"-"&amp;TEXT(ROW()-5,"000"))</f>
        <v/>
      </c>
      <c r="B143" s="16"/>
      <c r="C143" s="6"/>
      <c r="D14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3" s="6"/>
      <c r="F143" s="7"/>
      <c r="G14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3" s="6"/>
      <c r="J143" s="6"/>
      <c r="K143" s="6"/>
    </row>
    <row r="144" spans="1:11" x14ac:dyDescent="0.25">
      <c r="A144" s="4" t="str">
        <f>IF(tblPurchases[[#This Row],[วันที่]]="","","P"&amp;TEXT(tblPurchases[[#This Row],[วันที่]],"yymmdd")&amp;"-"&amp;TEXT(ROW()-5,"000"))</f>
        <v/>
      </c>
      <c r="B144" s="16"/>
      <c r="C144" s="6"/>
      <c r="D14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4" s="6"/>
      <c r="F144" s="7"/>
      <c r="G14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4" s="6"/>
      <c r="J144" s="6"/>
      <c r="K144" s="6"/>
    </row>
    <row r="145" spans="1:11" x14ac:dyDescent="0.25">
      <c r="A145" s="4" t="str">
        <f>IF(tblPurchases[[#This Row],[วันที่]]="","","P"&amp;TEXT(tblPurchases[[#This Row],[วันที่]],"yymmdd")&amp;"-"&amp;TEXT(ROW()-5,"000"))</f>
        <v/>
      </c>
      <c r="B145" s="16"/>
      <c r="C145" s="6"/>
      <c r="D14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5" s="6"/>
      <c r="F145" s="7"/>
      <c r="G14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5" s="6"/>
      <c r="J145" s="6"/>
      <c r="K145" s="6"/>
    </row>
    <row r="146" spans="1:11" x14ac:dyDescent="0.25">
      <c r="A146" s="4" t="str">
        <f>IF(tblPurchases[[#This Row],[วันที่]]="","","P"&amp;TEXT(tblPurchases[[#This Row],[วันที่]],"yymmdd")&amp;"-"&amp;TEXT(ROW()-5,"000"))</f>
        <v/>
      </c>
      <c r="B146" s="16"/>
      <c r="C146" s="6"/>
      <c r="D14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6" s="6"/>
      <c r="F146" s="7"/>
      <c r="G14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6" s="6"/>
      <c r="J146" s="6"/>
      <c r="K146" s="6"/>
    </row>
    <row r="147" spans="1:11" x14ac:dyDescent="0.25">
      <c r="A147" s="4" t="str">
        <f>IF(tblPurchases[[#This Row],[วันที่]]="","","P"&amp;TEXT(tblPurchases[[#This Row],[วันที่]],"yymmdd")&amp;"-"&amp;TEXT(ROW()-5,"000"))</f>
        <v/>
      </c>
      <c r="B147" s="16"/>
      <c r="C147" s="6"/>
      <c r="D14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7" s="6"/>
      <c r="F147" s="7"/>
      <c r="G14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7" s="6"/>
      <c r="J147" s="6"/>
      <c r="K147" s="6"/>
    </row>
    <row r="148" spans="1:11" x14ac:dyDescent="0.25">
      <c r="A148" s="4" t="str">
        <f>IF(tblPurchases[[#This Row],[วันที่]]="","","P"&amp;TEXT(tblPurchases[[#This Row],[วันที่]],"yymmdd")&amp;"-"&amp;TEXT(ROW()-5,"000"))</f>
        <v/>
      </c>
      <c r="B148" s="16"/>
      <c r="C148" s="6"/>
      <c r="D14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8" s="6"/>
      <c r="F148" s="7"/>
      <c r="G14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8" s="6"/>
      <c r="J148" s="6"/>
      <c r="K148" s="6"/>
    </row>
    <row r="149" spans="1:11" x14ac:dyDescent="0.25">
      <c r="A149" s="4" t="str">
        <f>IF(tblPurchases[[#This Row],[วันที่]]="","","P"&amp;TEXT(tblPurchases[[#This Row],[วันที่]],"yymmdd")&amp;"-"&amp;TEXT(ROW()-5,"000"))</f>
        <v/>
      </c>
      <c r="B149" s="16"/>
      <c r="C149" s="6"/>
      <c r="D14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49" s="6"/>
      <c r="F149" s="7"/>
      <c r="G14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4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49" s="6"/>
      <c r="J149" s="6"/>
      <c r="K149" s="6"/>
    </row>
    <row r="150" spans="1:11" x14ac:dyDescent="0.25">
      <c r="A150" s="4" t="str">
        <f>IF(tblPurchases[[#This Row],[วันที่]]="","","P"&amp;TEXT(tblPurchases[[#This Row],[วันที่]],"yymmdd")&amp;"-"&amp;TEXT(ROW()-5,"000"))</f>
        <v/>
      </c>
      <c r="B150" s="16"/>
      <c r="C150" s="6"/>
      <c r="D15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0" s="6"/>
      <c r="F150" s="7"/>
      <c r="G15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0" s="6"/>
      <c r="J150" s="6"/>
      <c r="K150" s="6"/>
    </row>
    <row r="151" spans="1:11" x14ac:dyDescent="0.25">
      <c r="A151" s="4" t="str">
        <f>IF(tblPurchases[[#This Row],[วันที่]]="","","P"&amp;TEXT(tblPurchases[[#This Row],[วันที่]],"yymmdd")&amp;"-"&amp;TEXT(ROW()-5,"000"))</f>
        <v/>
      </c>
      <c r="B151" s="16"/>
      <c r="C151" s="6"/>
      <c r="D15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1" s="6"/>
      <c r="F151" s="7"/>
      <c r="G15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1" s="6"/>
      <c r="J151" s="6"/>
      <c r="K151" s="6"/>
    </row>
    <row r="152" spans="1:11" x14ac:dyDescent="0.25">
      <c r="A152" s="4" t="str">
        <f>IF(tblPurchases[[#This Row],[วันที่]]="","","P"&amp;TEXT(tblPurchases[[#This Row],[วันที่]],"yymmdd")&amp;"-"&amp;TEXT(ROW()-5,"000"))</f>
        <v/>
      </c>
      <c r="B152" s="16"/>
      <c r="C152" s="6"/>
      <c r="D15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2" s="6"/>
      <c r="F152" s="7"/>
      <c r="G15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2" s="6"/>
      <c r="J152" s="6"/>
      <c r="K152" s="6"/>
    </row>
    <row r="153" spans="1:11" x14ac:dyDescent="0.25">
      <c r="A153" s="4" t="str">
        <f>IF(tblPurchases[[#This Row],[วันที่]]="","","P"&amp;TEXT(tblPurchases[[#This Row],[วันที่]],"yymmdd")&amp;"-"&amp;TEXT(ROW()-5,"000"))</f>
        <v/>
      </c>
      <c r="B153" s="16"/>
      <c r="C153" s="6"/>
      <c r="D15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3" s="6"/>
      <c r="F153" s="7"/>
      <c r="G15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3" s="6"/>
      <c r="J153" s="6"/>
      <c r="K153" s="6"/>
    </row>
    <row r="154" spans="1:11" x14ac:dyDescent="0.25">
      <c r="A154" s="4" t="str">
        <f>IF(tblPurchases[[#This Row],[วันที่]]="","","P"&amp;TEXT(tblPurchases[[#This Row],[วันที่]],"yymmdd")&amp;"-"&amp;TEXT(ROW()-5,"000"))</f>
        <v/>
      </c>
      <c r="B154" s="16"/>
      <c r="C154" s="6"/>
      <c r="D15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4" s="6"/>
      <c r="F154" s="7"/>
      <c r="G15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4" s="6"/>
      <c r="J154" s="6"/>
      <c r="K154" s="6"/>
    </row>
    <row r="155" spans="1:11" x14ac:dyDescent="0.25">
      <c r="A155" s="4" t="str">
        <f>IF(tblPurchases[[#This Row],[วันที่]]="","","P"&amp;TEXT(tblPurchases[[#This Row],[วันที่]],"yymmdd")&amp;"-"&amp;TEXT(ROW()-5,"000"))</f>
        <v/>
      </c>
      <c r="B155" s="16"/>
      <c r="C155" s="6"/>
      <c r="D15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5" s="6"/>
      <c r="F155" s="7"/>
      <c r="G15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5" s="6"/>
      <c r="J155" s="6"/>
      <c r="K155" s="6"/>
    </row>
    <row r="156" spans="1:11" x14ac:dyDescent="0.25">
      <c r="A156" s="4" t="str">
        <f>IF(tblPurchases[[#This Row],[วันที่]]="","","P"&amp;TEXT(tblPurchases[[#This Row],[วันที่]],"yymmdd")&amp;"-"&amp;TEXT(ROW()-5,"000"))</f>
        <v/>
      </c>
      <c r="B156" s="16"/>
      <c r="C156" s="6"/>
      <c r="D15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6" s="6"/>
      <c r="F156" s="7"/>
      <c r="G15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6" s="6"/>
      <c r="J156" s="6"/>
      <c r="K156" s="6"/>
    </row>
    <row r="157" spans="1:11" x14ac:dyDescent="0.25">
      <c r="A157" s="4" t="str">
        <f>IF(tblPurchases[[#This Row],[วันที่]]="","","P"&amp;TEXT(tblPurchases[[#This Row],[วันที่]],"yymmdd")&amp;"-"&amp;TEXT(ROW()-5,"000"))</f>
        <v/>
      </c>
      <c r="B157" s="16"/>
      <c r="C157" s="6"/>
      <c r="D15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7" s="6"/>
      <c r="F157" s="7"/>
      <c r="G15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7" s="6"/>
      <c r="J157" s="6"/>
      <c r="K157" s="6"/>
    </row>
    <row r="158" spans="1:11" x14ac:dyDescent="0.25">
      <c r="A158" s="4" t="str">
        <f>IF(tblPurchases[[#This Row],[วันที่]]="","","P"&amp;TEXT(tblPurchases[[#This Row],[วันที่]],"yymmdd")&amp;"-"&amp;TEXT(ROW()-5,"000"))</f>
        <v/>
      </c>
      <c r="B158" s="16"/>
      <c r="C158" s="6"/>
      <c r="D15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8" s="6"/>
      <c r="F158" s="7"/>
      <c r="G15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8" s="6"/>
      <c r="J158" s="6"/>
      <c r="K158" s="6"/>
    </row>
    <row r="159" spans="1:11" x14ac:dyDescent="0.25">
      <c r="A159" s="4" t="str">
        <f>IF(tblPurchases[[#This Row],[วันที่]]="","","P"&amp;TEXT(tblPurchases[[#This Row],[วันที่]],"yymmdd")&amp;"-"&amp;TEXT(ROW()-5,"000"))</f>
        <v/>
      </c>
      <c r="B159" s="16"/>
      <c r="C159" s="6"/>
      <c r="D15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59" s="6"/>
      <c r="F159" s="7"/>
      <c r="G15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5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59" s="6"/>
      <c r="J159" s="6"/>
      <c r="K159" s="6"/>
    </row>
    <row r="160" spans="1:11" x14ac:dyDescent="0.25">
      <c r="A160" s="4" t="str">
        <f>IF(tblPurchases[[#This Row],[วันที่]]="","","P"&amp;TEXT(tblPurchases[[#This Row],[วันที่]],"yymmdd")&amp;"-"&amp;TEXT(ROW()-5,"000"))</f>
        <v/>
      </c>
      <c r="B160" s="16"/>
      <c r="C160" s="6"/>
      <c r="D16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0" s="6"/>
      <c r="F160" s="7"/>
      <c r="G16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0" s="6"/>
      <c r="J160" s="6"/>
      <c r="K160" s="6"/>
    </row>
    <row r="161" spans="1:11" x14ac:dyDescent="0.25">
      <c r="A161" s="4" t="str">
        <f>IF(tblPurchases[[#This Row],[วันที่]]="","","P"&amp;TEXT(tblPurchases[[#This Row],[วันที่]],"yymmdd")&amp;"-"&amp;TEXT(ROW()-5,"000"))</f>
        <v/>
      </c>
      <c r="B161" s="16"/>
      <c r="C161" s="6"/>
      <c r="D16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1" s="6"/>
      <c r="F161" s="7"/>
      <c r="G16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1" s="6"/>
      <c r="J161" s="6"/>
      <c r="K161" s="6"/>
    </row>
    <row r="162" spans="1:11" x14ac:dyDescent="0.25">
      <c r="A162" s="4" t="str">
        <f>IF(tblPurchases[[#This Row],[วันที่]]="","","P"&amp;TEXT(tblPurchases[[#This Row],[วันที่]],"yymmdd")&amp;"-"&amp;TEXT(ROW()-5,"000"))</f>
        <v/>
      </c>
      <c r="B162" s="16"/>
      <c r="C162" s="6"/>
      <c r="D16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2" s="6"/>
      <c r="F162" s="7"/>
      <c r="G16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2" s="6"/>
      <c r="J162" s="6"/>
      <c r="K162" s="6"/>
    </row>
    <row r="163" spans="1:11" x14ac:dyDescent="0.25">
      <c r="A163" s="4" t="str">
        <f>IF(tblPurchases[[#This Row],[วันที่]]="","","P"&amp;TEXT(tblPurchases[[#This Row],[วันที่]],"yymmdd")&amp;"-"&amp;TEXT(ROW()-5,"000"))</f>
        <v/>
      </c>
      <c r="B163" s="16"/>
      <c r="C163" s="6"/>
      <c r="D16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3" s="6"/>
      <c r="F163" s="7"/>
      <c r="G16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3" s="6"/>
      <c r="J163" s="6"/>
      <c r="K163" s="6"/>
    </row>
    <row r="164" spans="1:11" x14ac:dyDescent="0.25">
      <c r="A164" s="4" t="str">
        <f>IF(tblPurchases[[#This Row],[วันที่]]="","","P"&amp;TEXT(tblPurchases[[#This Row],[วันที่]],"yymmdd")&amp;"-"&amp;TEXT(ROW()-5,"000"))</f>
        <v/>
      </c>
      <c r="B164" s="16"/>
      <c r="C164" s="6"/>
      <c r="D16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4" s="6"/>
      <c r="F164" s="7"/>
      <c r="G16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4" s="6"/>
      <c r="J164" s="6"/>
      <c r="K164" s="6"/>
    </row>
    <row r="165" spans="1:11" x14ac:dyDescent="0.25">
      <c r="A165" s="4" t="str">
        <f>IF(tblPurchases[[#This Row],[วันที่]]="","","P"&amp;TEXT(tblPurchases[[#This Row],[วันที่]],"yymmdd")&amp;"-"&amp;TEXT(ROW()-5,"000"))</f>
        <v/>
      </c>
      <c r="B165" s="16"/>
      <c r="C165" s="6"/>
      <c r="D16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5" s="6"/>
      <c r="F165" s="7"/>
      <c r="G16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5" s="6"/>
      <c r="J165" s="6"/>
      <c r="K165" s="6"/>
    </row>
    <row r="166" spans="1:11" x14ac:dyDescent="0.25">
      <c r="A166" s="4" t="str">
        <f>IF(tblPurchases[[#This Row],[วันที่]]="","","P"&amp;TEXT(tblPurchases[[#This Row],[วันที่]],"yymmdd")&amp;"-"&amp;TEXT(ROW()-5,"000"))</f>
        <v/>
      </c>
      <c r="B166" s="16"/>
      <c r="C166" s="6"/>
      <c r="D16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6" s="6"/>
      <c r="F166" s="7"/>
      <c r="G16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6" s="6"/>
      <c r="J166" s="6"/>
      <c r="K166" s="6"/>
    </row>
    <row r="167" spans="1:11" x14ac:dyDescent="0.25">
      <c r="A167" s="4" t="str">
        <f>IF(tblPurchases[[#This Row],[วันที่]]="","","P"&amp;TEXT(tblPurchases[[#This Row],[วันที่]],"yymmdd")&amp;"-"&amp;TEXT(ROW()-5,"000"))</f>
        <v/>
      </c>
      <c r="B167" s="16"/>
      <c r="C167" s="6"/>
      <c r="D16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7" s="6"/>
      <c r="F167" s="7"/>
      <c r="G16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7" s="6"/>
      <c r="J167" s="6"/>
      <c r="K167" s="6"/>
    </row>
    <row r="168" spans="1:11" x14ac:dyDescent="0.25">
      <c r="A168" s="4" t="str">
        <f>IF(tblPurchases[[#This Row],[วันที่]]="","","P"&amp;TEXT(tblPurchases[[#This Row],[วันที่]],"yymmdd")&amp;"-"&amp;TEXT(ROW()-5,"000"))</f>
        <v/>
      </c>
      <c r="B168" s="16"/>
      <c r="C168" s="6"/>
      <c r="D16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8" s="6"/>
      <c r="F168" s="7"/>
      <c r="G16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8" s="6"/>
      <c r="J168" s="6"/>
      <c r="K168" s="6"/>
    </row>
    <row r="169" spans="1:11" x14ac:dyDescent="0.25">
      <c r="A169" s="4" t="str">
        <f>IF(tblPurchases[[#This Row],[วันที่]]="","","P"&amp;TEXT(tblPurchases[[#This Row],[วันที่]],"yymmdd")&amp;"-"&amp;TEXT(ROW()-5,"000"))</f>
        <v/>
      </c>
      <c r="B169" s="16"/>
      <c r="C169" s="6"/>
      <c r="D16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69" s="6"/>
      <c r="F169" s="7"/>
      <c r="G16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6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69" s="6"/>
      <c r="J169" s="6"/>
      <c r="K169" s="6"/>
    </row>
    <row r="170" spans="1:11" x14ac:dyDescent="0.25">
      <c r="A170" s="4" t="str">
        <f>IF(tblPurchases[[#This Row],[วันที่]]="","","P"&amp;TEXT(tblPurchases[[#This Row],[วันที่]],"yymmdd")&amp;"-"&amp;TEXT(ROW()-5,"000"))</f>
        <v/>
      </c>
      <c r="B170" s="16"/>
      <c r="C170" s="6"/>
      <c r="D17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0" s="6"/>
      <c r="F170" s="7"/>
      <c r="G17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0" s="6"/>
      <c r="J170" s="6"/>
      <c r="K170" s="6"/>
    </row>
    <row r="171" spans="1:11" x14ac:dyDescent="0.25">
      <c r="A171" s="4" t="str">
        <f>IF(tblPurchases[[#This Row],[วันที่]]="","","P"&amp;TEXT(tblPurchases[[#This Row],[วันที่]],"yymmdd")&amp;"-"&amp;TEXT(ROW()-5,"000"))</f>
        <v/>
      </c>
      <c r="B171" s="16"/>
      <c r="C171" s="6"/>
      <c r="D17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1" s="6"/>
      <c r="F171" s="7"/>
      <c r="G17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1" s="6"/>
      <c r="J171" s="6"/>
      <c r="K171" s="6"/>
    </row>
    <row r="172" spans="1:11" x14ac:dyDescent="0.25">
      <c r="A172" s="4" t="str">
        <f>IF(tblPurchases[[#This Row],[วันที่]]="","","P"&amp;TEXT(tblPurchases[[#This Row],[วันที่]],"yymmdd")&amp;"-"&amp;TEXT(ROW()-5,"000"))</f>
        <v/>
      </c>
      <c r="B172" s="16"/>
      <c r="C172" s="6"/>
      <c r="D17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2" s="6"/>
      <c r="F172" s="7"/>
      <c r="G17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2" s="6"/>
      <c r="J172" s="6"/>
      <c r="K172" s="6"/>
    </row>
    <row r="173" spans="1:11" x14ac:dyDescent="0.25">
      <c r="A173" s="4" t="str">
        <f>IF(tblPurchases[[#This Row],[วันที่]]="","","P"&amp;TEXT(tblPurchases[[#This Row],[วันที่]],"yymmdd")&amp;"-"&amp;TEXT(ROW()-5,"000"))</f>
        <v/>
      </c>
      <c r="B173" s="16"/>
      <c r="C173" s="6"/>
      <c r="D17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3" s="6"/>
      <c r="F173" s="7"/>
      <c r="G17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3" s="6"/>
      <c r="J173" s="6"/>
      <c r="K173" s="6"/>
    </row>
    <row r="174" spans="1:11" x14ac:dyDescent="0.25">
      <c r="A174" s="4" t="str">
        <f>IF(tblPurchases[[#This Row],[วันที่]]="","","P"&amp;TEXT(tblPurchases[[#This Row],[วันที่]],"yymmdd")&amp;"-"&amp;TEXT(ROW()-5,"000"))</f>
        <v/>
      </c>
      <c r="B174" s="16"/>
      <c r="C174" s="6"/>
      <c r="D17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4" s="6"/>
      <c r="F174" s="7"/>
      <c r="G17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4" s="6"/>
      <c r="J174" s="6"/>
      <c r="K174" s="6"/>
    </row>
    <row r="175" spans="1:11" x14ac:dyDescent="0.25">
      <c r="A175" s="4" t="str">
        <f>IF(tblPurchases[[#This Row],[วันที่]]="","","P"&amp;TEXT(tblPurchases[[#This Row],[วันที่]],"yymmdd")&amp;"-"&amp;TEXT(ROW()-5,"000"))</f>
        <v/>
      </c>
      <c r="B175" s="16"/>
      <c r="C175" s="6"/>
      <c r="D17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5" s="6"/>
      <c r="F175" s="7"/>
      <c r="G17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5" s="6"/>
      <c r="J175" s="6"/>
      <c r="K175" s="6"/>
    </row>
    <row r="176" spans="1:11" x14ac:dyDescent="0.25">
      <c r="A176" s="4" t="str">
        <f>IF(tblPurchases[[#This Row],[วันที่]]="","","P"&amp;TEXT(tblPurchases[[#This Row],[วันที่]],"yymmdd")&amp;"-"&amp;TEXT(ROW()-5,"000"))</f>
        <v/>
      </c>
      <c r="B176" s="16"/>
      <c r="C176" s="6"/>
      <c r="D17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6" s="6"/>
      <c r="F176" s="7"/>
      <c r="G17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6" s="6"/>
      <c r="J176" s="6"/>
      <c r="K176" s="6"/>
    </row>
    <row r="177" spans="1:11" x14ac:dyDescent="0.25">
      <c r="A177" s="4" t="str">
        <f>IF(tblPurchases[[#This Row],[วันที่]]="","","P"&amp;TEXT(tblPurchases[[#This Row],[วันที่]],"yymmdd")&amp;"-"&amp;TEXT(ROW()-5,"000"))</f>
        <v/>
      </c>
      <c r="B177" s="16"/>
      <c r="C177" s="6"/>
      <c r="D17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7" s="6"/>
      <c r="F177" s="7"/>
      <c r="G17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7" s="6"/>
      <c r="J177" s="6"/>
      <c r="K177" s="6"/>
    </row>
    <row r="178" spans="1:11" x14ac:dyDescent="0.25">
      <c r="A178" s="4" t="str">
        <f>IF(tblPurchases[[#This Row],[วันที่]]="","","P"&amp;TEXT(tblPurchases[[#This Row],[วันที่]],"yymmdd")&amp;"-"&amp;TEXT(ROW()-5,"000"))</f>
        <v/>
      </c>
      <c r="B178" s="16"/>
      <c r="C178" s="6"/>
      <c r="D17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8" s="6"/>
      <c r="F178" s="7"/>
      <c r="G17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8" s="6"/>
      <c r="J178" s="6"/>
      <c r="K178" s="6"/>
    </row>
    <row r="179" spans="1:11" x14ac:dyDescent="0.25">
      <c r="A179" s="4" t="str">
        <f>IF(tblPurchases[[#This Row],[วันที่]]="","","P"&amp;TEXT(tblPurchases[[#This Row],[วันที่]],"yymmdd")&amp;"-"&amp;TEXT(ROW()-5,"000"))</f>
        <v/>
      </c>
      <c r="B179" s="16"/>
      <c r="C179" s="6"/>
      <c r="D17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79" s="6"/>
      <c r="F179" s="7"/>
      <c r="G17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7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79" s="6"/>
      <c r="J179" s="6"/>
      <c r="K179" s="6"/>
    </row>
    <row r="180" spans="1:11" x14ac:dyDescent="0.25">
      <c r="A180" s="4" t="str">
        <f>IF(tblPurchases[[#This Row],[วันที่]]="","","P"&amp;TEXT(tblPurchases[[#This Row],[วันที่]],"yymmdd")&amp;"-"&amp;TEXT(ROW()-5,"000"))</f>
        <v/>
      </c>
      <c r="B180" s="16"/>
      <c r="C180" s="6"/>
      <c r="D18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0" s="6"/>
      <c r="F180" s="7"/>
      <c r="G18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0" s="6"/>
      <c r="J180" s="6"/>
      <c r="K180" s="6"/>
    </row>
    <row r="181" spans="1:11" x14ac:dyDescent="0.25">
      <c r="A181" s="4" t="str">
        <f>IF(tblPurchases[[#This Row],[วันที่]]="","","P"&amp;TEXT(tblPurchases[[#This Row],[วันที่]],"yymmdd")&amp;"-"&amp;TEXT(ROW()-5,"000"))</f>
        <v/>
      </c>
      <c r="B181" s="16"/>
      <c r="C181" s="6"/>
      <c r="D18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1" s="6"/>
      <c r="F181" s="7"/>
      <c r="G18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1" s="6"/>
      <c r="J181" s="6"/>
      <c r="K181" s="6"/>
    </row>
    <row r="182" spans="1:11" x14ac:dyDescent="0.25">
      <c r="A182" s="4" t="str">
        <f>IF(tblPurchases[[#This Row],[วันที่]]="","","P"&amp;TEXT(tblPurchases[[#This Row],[วันที่]],"yymmdd")&amp;"-"&amp;TEXT(ROW()-5,"000"))</f>
        <v/>
      </c>
      <c r="B182" s="16"/>
      <c r="C182" s="6"/>
      <c r="D18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2" s="6"/>
      <c r="F182" s="7"/>
      <c r="G18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2" s="6"/>
      <c r="J182" s="6"/>
      <c r="K182" s="6"/>
    </row>
    <row r="183" spans="1:11" x14ac:dyDescent="0.25">
      <c r="A183" s="4" t="str">
        <f>IF(tblPurchases[[#This Row],[วันที่]]="","","P"&amp;TEXT(tblPurchases[[#This Row],[วันที่]],"yymmdd")&amp;"-"&amp;TEXT(ROW()-5,"000"))</f>
        <v/>
      </c>
      <c r="B183" s="16"/>
      <c r="C183" s="6"/>
      <c r="D18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3" s="6"/>
      <c r="F183" s="7"/>
      <c r="G18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3" s="6"/>
      <c r="J183" s="6"/>
      <c r="K183" s="6"/>
    </row>
    <row r="184" spans="1:11" x14ac:dyDescent="0.25">
      <c r="A184" s="4" t="str">
        <f>IF(tblPurchases[[#This Row],[วันที่]]="","","P"&amp;TEXT(tblPurchases[[#This Row],[วันที่]],"yymmdd")&amp;"-"&amp;TEXT(ROW()-5,"000"))</f>
        <v/>
      </c>
      <c r="B184" s="16"/>
      <c r="C184" s="6"/>
      <c r="D18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4" s="6"/>
      <c r="F184" s="7"/>
      <c r="G18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4" s="6"/>
      <c r="J184" s="6"/>
      <c r="K184" s="6"/>
    </row>
    <row r="185" spans="1:11" x14ac:dyDescent="0.25">
      <c r="A185" s="4" t="str">
        <f>IF(tblPurchases[[#This Row],[วันที่]]="","","P"&amp;TEXT(tblPurchases[[#This Row],[วันที่]],"yymmdd")&amp;"-"&amp;TEXT(ROW()-5,"000"))</f>
        <v/>
      </c>
      <c r="B185" s="16"/>
      <c r="C185" s="6"/>
      <c r="D18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5" s="6"/>
      <c r="F185" s="7"/>
      <c r="G18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5" s="6"/>
      <c r="J185" s="6"/>
      <c r="K185" s="6"/>
    </row>
    <row r="186" spans="1:11" x14ac:dyDescent="0.25">
      <c r="A186" s="4" t="str">
        <f>IF(tblPurchases[[#This Row],[วันที่]]="","","P"&amp;TEXT(tblPurchases[[#This Row],[วันที่]],"yymmdd")&amp;"-"&amp;TEXT(ROW()-5,"000"))</f>
        <v/>
      </c>
      <c r="B186" s="16"/>
      <c r="C186" s="6"/>
      <c r="D18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6" s="6"/>
      <c r="F186" s="7"/>
      <c r="G18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6" s="6"/>
      <c r="J186" s="6"/>
      <c r="K186" s="6"/>
    </row>
    <row r="187" spans="1:11" x14ac:dyDescent="0.25">
      <c r="A187" s="4" t="str">
        <f>IF(tblPurchases[[#This Row],[วันที่]]="","","P"&amp;TEXT(tblPurchases[[#This Row],[วันที่]],"yymmdd")&amp;"-"&amp;TEXT(ROW()-5,"000"))</f>
        <v/>
      </c>
      <c r="B187" s="16"/>
      <c r="C187" s="6"/>
      <c r="D18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7" s="6"/>
      <c r="F187" s="7"/>
      <c r="G18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7" s="6"/>
      <c r="J187" s="6"/>
      <c r="K187" s="6"/>
    </row>
    <row r="188" spans="1:11" x14ac:dyDescent="0.25">
      <c r="A188" s="4" t="str">
        <f>IF(tblPurchases[[#This Row],[วันที่]]="","","P"&amp;TEXT(tblPurchases[[#This Row],[วันที่]],"yymmdd")&amp;"-"&amp;TEXT(ROW()-5,"000"))</f>
        <v/>
      </c>
      <c r="B188" s="16"/>
      <c r="C188" s="6"/>
      <c r="D18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8" s="6"/>
      <c r="F188" s="7"/>
      <c r="G18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8" s="6"/>
      <c r="J188" s="6"/>
      <c r="K188" s="6"/>
    </row>
    <row r="189" spans="1:11" x14ac:dyDescent="0.25">
      <c r="A189" s="4" t="str">
        <f>IF(tblPurchases[[#This Row],[วันที่]]="","","P"&amp;TEXT(tblPurchases[[#This Row],[วันที่]],"yymmdd")&amp;"-"&amp;TEXT(ROW()-5,"000"))</f>
        <v/>
      </c>
      <c r="B189" s="16"/>
      <c r="C189" s="6"/>
      <c r="D18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89" s="6"/>
      <c r="F189" s="7"/>
      <c r="G18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8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89" s="6"/>
      <c r="J189" s="6"/>
      <c r="K189" s="6"/>
    </row>
    <row r="190" spans="1:11" x14ac:dyDescent="0.25">
      <c r="A190" s="4" t="str">
        <f>IF(tblPurchases[[#This Row],[วันที่]]="","","P"&amp;TEXT(tblPurchases[[#This Row],[วันที่]],"yymmdd")&amp;"-"&amp;TEXT(ROW()-5,"000"))</f>
        <v/>
      </c>
      <c r="B190" s="16"/>
      <c r="C190" s="6"/>
      <c r="D19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0" s="6"/>
      <c r="F190" s="7"/>
      <c r="G19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0" s="6"/>
      <c r="J190" s="6"/>
      <c r="K190" s="6"/>
    </row>
    <row r="191" spans="1:11" x14ac:dyDescent="0.25">
      <c r="A191" s="4" t="str">
        <f>IF(tblPurchases[[#This Row],[วันที่]]="","","P"&amp;TEXT(tblPurchases[[#This Row],[วันที่]],"yymmdd")&amp;"-"&amp;TEXT(ROW()-5,"000"))</f>
        <v/>
      </c>
      <c r="B191" s="16"/>
      <c r="C191" s="6"/>
      <c r="D19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1" s="6"/>
      <c r="F191" s="7"/>
      <c r="G19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1" s="6"/>
      <c r="J191" s="6"/>
      <c r="K191" s="6"/>
    </row>
    <row r="192" spans="1:11" x14ac:dyDescent="0.25">
      <c r="A192" s="4" t="str">
        <f>IF(tblPurchases[[#This Row],[วันที่]]="","","P"&amp;TEXT(tblPurchases[[#This Row],[วันที่]],"yymmdd")&amp;"-"&amp;TEXT(ROW()-5,"000"))</f>
        <v/>
      </c>
      <c r="B192" s="16"/>
      <c r="C192" s="6"/>
      <c r="D19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2" s="6"/>
      <c r="F192" s="7"/>
      <c r="G19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2" s="6"/>
      <c r="J192" s="6"/>
      <c r="K192" s="6"/>
    </row>
    <row r="193" spans="1:11" x14ac:dyDescent="0.25">
      <c r="A193" s="4" t="str">
        <f>IF(tblPurchases[[#This Row],[วันที่]]="","","P"&amp;TEXT(tblPurchases[[#This Row],[วันที่]],"yymmdd")&amp;"-"&amp;TEXT(ROW()-5,"000"))</f>
        <v/>
      </c>
      <c r="B193" s="16"/>
      <c r="C193" s="6"/>
      <c r="D19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3" s="6"/>
      <c r="F193" s="7"/>
      <c r="G19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3" s="6"/>
      <c r="J193" s="6"/>
      <c r="K193" s="6"/>
    </row>
    <row r="194" spans="1:11" x14ac:dyDescent="0.25">
      <c r="A194" s="4" t="str">
        <f>IF(tblPurchases[[#This Row],[วันที่]]="","","P"&amp;TEXT(tblPurchases[[#This Row],[วันที่]],"yymmdd")&amp;"-"&amp;TEXT(ROW()-5,"000"))</f>
        <v/>
      </c>
      <c r="B194" s="16"/>
      <c r="C194" s="6"/>
      <c r="D19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4" s="6"/>
      <c r="F194" s="7"/>
      <c r="G19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4" s="6"/>
      <c r="J194" s="6"/>
      <c r="K194" s="6"/>
    </row>
    <row r="195" spans="1:11" x14ac:dyDescent="0.25">
      <c r="A195" s="4" t="str">
        <f>IF(tblPurchases[[#This Row],[วันที่]]="","","P"&amp;TEXT(tblPurchases[[#This Row],[วันที่]],"yymmdd")&amp;"-"&amp;TEXT(ROW()-5,"000"))</f>
        <v/>
      </c>
      <c r="B195" s="16"/>
      <c r="C195" s="6"/>
      <c r="D19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5" s="6"/>
      <c r="F195" s="7"/>
      <c r="G19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5" s="6"/>
      <c r="J195" s="6"/>
      <c r="K195" s="6"/>
    </row>
    <row r="196" spans="1:11" x14ac:dyDescent="0.25">
      <c r="A196" s="4" t="str">
        <f>IF(tblPurchases[[#This Row],[วันที่]]="","","P"&amp;TEXT(tblPurchases[[#This Row],[วันที่]],"yymmdd")&amp;"-"&amp;TEXT(ROW()-5,"000"))</f>
        <v/>
      </c>
      <c r="B196" s="16"/>
      <c r="C196" s="6"/>
      <c r="D19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6" s="6"/>
      <c r="F196" s="7"/>
      <c r="G19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6" s="6"/>
      <c r="J196" s="6"/>
      <c r="K196" s="6"/>
    </row>
    <row r="197" spans="1:11" x14ac:dyDescent="0.25">
      <c r="A197" s="4" t="str">
        <f>IF(tblPurchases[[#This Row],[วันที่]]="","","P"&amp;TEXT(tblPurchases[[#This Row],[วันที่]],"yymmdd")&amp;"-"&amp;TEXT(ROW()-5,"000"))</f>
        <v/>
      </c>
      <c r="B197" s="16"/>
      <c r="C197" s="6"/>
      <c r="D19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7" s="6"/>
      <c r="F197" s="7"/>
      <c r="G19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7" s="6"/>
      <c r="J197" s="6"/>
      <c r="K197" s="6"/>
    </row>
    <row r="198" spans="1:11" x14ac:dyDescent="0.25">
      <c r="A198" s="4" t="str">
        <f>IF(tblPurchases[[#This Row],[วันที่]]="","","P"&amp;TEXT(tblPurchases[[#This Row],[วันที่]],"yymmdd")&amp;"-"&amp;TEXT(ROW()-5,"000"))</f>
        <v/>
      </c>
      <c r="B198" s="16"/>
      <c r="C198" s="6"/>
      <c r="D19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8" s="6"/>
      <c r="F198" s="7"/>
      <c r="G19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8" s="6"/>
      <c r="J198" s="6"/>
      <c r="K198" s="6"/>
    </row>
    <row r="199" spans="1:11" x14ac:dyDescent="0.25">
      <c r="A199" s="4" t="str">
        <f>IF(tblPurchases[[#This Row],[วันที่]]="","","P"&amp;TEXT(tblPurchases[[#This Row],[วันที่]],"yymmdd")&amp;"-"&amp;TEXT(ROW()-5,"000"))</f>
        <v/>
      </c>
      <c r="B199" s="16"/>
      <c r="C199" s="6"/>
      <c r="D19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199" s="6"/>
      <c r="F199" s="7"/>
      <c r="G19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19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199" s="6"/>
      <c r="J199" s="6"/>
      <c r="K199" s="6"/>
    </row>
    <row r="200" spans="1:11" x14ac:dyDescent="0.25">
      <c r="A200" s="4" t="str">
        <f>IF(tblPurchases[[#This Row],[วันที่]]="","","P"&amp;TEXT(tblPurchases[[#This Row],[วันที่]],"yymmdd")&amp;"-"&amp;TEXT(ROW()-5,"000"))</f>
        <v/>
      </c>
      <c r="B200" s="16"/>
      <c r="C200" s="6"/>
      <c r="D20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0" s="6"/>
      <c r="F200" s="7"/>
      <c r="G20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0" s="6"/>
      <c r="J200" s="6"/>
      <c r="K200" s="6"/>
    </row>
    <row r="201" spans="1:11" x14ac:dyDescent="0.25">
      <c r="A201" s="4" t="str">
        <f>IF(tblPurchases[[#This Row],[วันที่]]="","","P"&amp;TEXT(tblPurchases[[#This Row],[วันที่]],"yymmdd")&amp;"-"&amp;TEXT(ROW()-5,"000"))</f>
        <v/>
      </c>
      <c r="B201" s="16"/>
      <c r="C201" s="6"/>
      <c r="D20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1" s="6"/>
      <c r="F201" s="7"/>
      <c r="G20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1" s="6"/>
      <c r="J201" s="6"/>
      <c r="K201" s="6"/>
    </row>
    <row r="202" spans="1:11" x14ac:dyDescent="0.25">
      <c r="A202" s="4" t="str">
        <f>IF(tblPurchases[[#This Row],[วันที่]]="","","P"&amp;TEXT(tblPurchases[[#This Row],[วันที่]],"yymmdd")&amp;"-"&amp;TEXT(ROW()-5,"000"))</f>
        <v/>
      </c>
      <c r="B202" s="16"/>
      <c r="C202" s="6"/>
      <c r="D20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2" s="6"/>
      <c r="F202" s="7"/>
      <c r="G20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2" s="6"/>
      <c r="J202" s="6"/>
      <c r="K202" s="6"/>
    </row>
    <row r="203" spans="1:11" x14ac:dyDescent="0.25">
      <c r="A203" s="4" t="str">
        <f>IF(tblPurchases[[#This Row],[วันที่]]="","","P"&amp;TEXT(tblPurchases[[#This Row],[วันที่]],"yymmdd")&amp;"-"&amp;TEXT(ROW()-5,"000"))</f>
        <v/>
      </c>
      <c r="B203" s="16"/>
      <c r="C203" s="6"/>
      <c r="D20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3" s="6"/>
      <c r="F203" s="7"/>
      <c r="G20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3" s="6"/>
      <c r="J203" s="6"/>
      <c r="K203" s="6"/>
    </row>
    <row r="204" spans="1:11" x14ac:dyDescent="0.25">
      <c r="A204" s="4" t="str">
        <f>IF(tblPurchases[[#This Row],[วันที่]]="","","P"&amp;TEXT(tblPurchases[[#This Row],[วันที่]],"yymmdd")&amp;"-"&amp;TEXT(ROW()-5,"000"))</f>
        <v/>
      </c>
      <c r="B204" s="16"/>
      <c r="C204" s="6"/>
      <c r="D20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4" s="6"/>
      <c r="F204" s="7"/>
      <c r="G20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4" s="6"/>
      <c r="J204" s="6"/>
      <c r="K204" s="6"/>
    </row>
    <row r="205" spans="1:11" x14ac:dyDescent="0.25">
      <c r="A205" s="4" t="str">
        <f>IF(tblPurchases[[#This Row],[วันที่]]="","","P"&amp;TEXT(tblPurchases[[#This Row],[วันที่]],"yymmdd")&amp;"-"&amp;TEXT(ROW()-5,"000"))</f>
        <v/>
      </c>
      <c r="B205" s="16"/>
      <c r="C205" s="6"/>
      <c r="D20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5" s="6"/>
      <c r="F205" s="7"/>
      <c r="G20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5" s="6"/>
      <c r="J205" s="6"/>
      <c r="K205" s="6"/>
    </row>
    <row r="206" spans="1:11" x14ac:dyDescent="0.25">
      <c r="A206" s="4" t="str">
        <f>IF(tblPurchases[[#This Row],[วันที่]]="","","P"&amp;TEXT(tblPurchases[[#This Row],[วันที่]],"yymmdd")&amp;"-"&amp;TEXT(ROW()-5,"000"))</f>
        <v/>
      </c>
      <c r="B206" s="16"/>
      <c r="C206" s="6"/>
      <c r="D20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6" s="6"/>
      <c r="F206" s="7"/>
      <c r="G20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6" s="6"/>
      <c r="J206" s="6"/>
      <c r="K206" s="6"/>
    </row>
    <row r="207" spans="1:11" x14ac:dyDescent="0.25">
      <c r="A207" s="4" t="str">
        <f>IF(tblPurchases[[#This Row],[วันที่]]="","","P"&amp;TEXT(tblPurchases[[#This Row],[วันที่]],"yymmdd")&amp;"-"&amp;TEXT(ROW()-5,"000"))</f>
        <v/>
      </c>
      <c r="B207" s="16"/>
      <c r="C207" s="6"/>
      <c r="D20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7" s="6"/>
      <c r="F207" s="7"/>
      <c r="G20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7" s="6"/>
      <c r="J207" s="6"/>
      <c r="K207" s="6"/>
    </row>
    <row r="208" spans="1:11" x14ac:dyDescent="0.25">
      <c r="A208" s="4" t="str">
        <f>IF(tblPurchases[[#This Row],[วันที่]]="","","P"&amp;TEXT(tblPurchases[[#This Row],[วันที่]],"yymmdd")&amp;"-"&amp;TEXT(ROW()-5,"000"))</f>
        <v/>
      </c>
      <c r="B208" s="16"/>
      <c r="C208" s="6"/>
      <c r="D20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8" s="6"/>
      <c r="F208" s="7"/>
      <c r="G20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8" s="6"/>
      <c r="J208" s="6"/>
      <c r="K208" s="6"/>
    </row>
    <row r="209" spans="1:11" x14ac:dyDescent="0.25">
      <c r="A209" s="4" t="str">
        <f>IF(tblPurchases[[#This Row],[วันที่]]="","","P"&amp;TEXT(tblPurchases[[#This Row],[วันที่]],"yymmdd")&amp;"-"&amp;TEXT(ROW()-5,"000"))</f>
        <v/>
      </c>
      <c r="B209" s="16"/>
      <c r="C209" s="6"/>
      <c r="D20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09" s="6"/>
      <c r="F209" s="7"/>
      <c r="G20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0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09" s="6"/>
      <c r="J209" s="6"/>
      <c r="K209" s="6"/>
    </row>
    <row r="210" spans="1:11" x14ac:dyDescent="0.25">
      <c r="A210" s="4" t="str">
        <f>IF(tblPurchases[[#This Row],[วันที่]]="","","P"&amp;TEXT(tblPurchases[[#This Row],[วันที่]],"yymmdd")&amp;"-"&amp;TEXT(ROW()-5,"000"))</f>
        <v/>
      </c>
      <c r="B210" s="16"/>
      <c r="C210" s="6"/>
      <c r="D21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0" s="6"/>
      <c r="F210" s="7"/>
      <c r="G21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0" s="6"/>
      <c r="J210" s="6"/>
      <c r="K210" s="6"/>
    </row>
    <row r="211" spans="1:11" x14ac:dyDescent="0.25">
      <c r="A211" s="4" t="str">
        <f>IF(tblPurchases[[#This Row],[วันที่]]="","","P"&amp;TEXT(tblPurchases[[#This Row],[วันที่]],"yymmdd")&amp;"-"&amp;TEXT(ROW()-5,"000"))</f>
        <v/>
      </c>
      <c r="B211" s="16"/>
      <c r="C211" s="6"/>
      <c r="D21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1" s="6"/>
      <c r="F211" s="7"/>
      <c r="G21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1" s="6"/>
      <c r="J211" s="6"/>
      <c r="K211" s="6"/>
    </row>
    <row r="212" spans="1:11" x14ac:dyDescent="0.25">
      <c r="A212" s="4" t="str">
        <f>IF(tblPurchases[[#This Row],[วันที่]]="","","P"&amp;TEXT(tblPurchases[[#This Row],[วันที่]],"yymmdd")&amp;"-"&amp;TEXT(ROW()-5,"000"))</f>
        <v/>
      </c>
      <c r="B212" s="16"/>
      <c r="C212" s="6"/>
      <c r="D21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2" s="6"/>
      <c r="F212" s="7"/>
      <c r="G21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2" s="6"/>
      <c r="J212" s="6"/>
      <c r="K212" s="6"/>
    </row>
    <row r="213" spans="1:11" x14ac:dyDescent="0.25">
      <c r="A213" s="4" t="str">
        <f>IF(tblPurchases[[#This Row],[วันที่]]="","","P"&amp;TEXT(tblPurchases[[#This Row],[วันที่]],"yymmdd")&amp;"-"&amp;TEXT(ROW()-5,"000"))</f>
        <v/>
      </c>
      <c r="B213" s="16"/>
      <c r="C213" s="6"/>
      <c r="D21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3" s="6"/>
      <c r="F213" s="7"/>
      <c r="G21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3" s="6"/>
      <c r="J213" s="6"/>
      <c r="K213" s="6"/>
    </row>
    <row r="214" spans="1:11" x14ac:dyDescent="0.25">
      <c r="A214" s="4" t="str">
        <f>IF(tblPurchases[[#This Row],[วันที่]]="","","P"&amp;TEXT(tblPurchases[[#This Row],[วันที่]],"yymmdd")&amp;"-"&amp;TEXT(ROW()-5,"000"))</f>
        <v/>
      </c>
      <c r="B214" s="16"/>
      <c r="C214" s="6"/>
      <c r="D21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4" s="6"/>
      <c r="F214" s="7"/>
      <c r="G21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4" s="6"/>
      <c r="J214" s="6"/>
      <c r="K214" s="6"/>
    </row>
    <row r="215" spans="1:11" x14ac:dyDescent="0.25">
      <c r="A215" s="4" t="str">
        <f>IF(tblPurchases[[#This Row],[วันที่]]="","","P"&amp;TEXT(tblPurchases[[#This Row],[วันที่]],"yymmdd")&amp;"-"&amp;TEXT(ROW()-5,"000"))</f>
        <v/>
      </c>
      <c r="B215" s="16"/>
      <c r="C215" s="6"/>
      <c r="D21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5" s="6"/>
      <c r="F215" s="7"/>
      <c r="G21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5" s="6"/>
      <c r="J215" s="6"/>
      <c r="K215" s="6"/>
    </row>
    <row r="216" spans="1:11" x14ac:dyDescent="0.25">
      <c r="A216" s="4" t="str">
        <f>IF(tblPurchases[[#This Row],[วันที่]]="","","P"&amp;TEXT(tblPurchases[[#This Row],[วันที่]],"yymmdd")&amp;"-"&amp;TEXT(ROW()-5,"000"))</f>
        <v/>
      </c>
      <c r="B216" s="16"/>
      <c r="C216" s="6"/>
      <c r="D21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6" s="6"/>
      <c r="F216" s="7"/>
      <c r="G21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6" s="6"/>
      <c r="J216" s="6"/>
      <c r="K216" s="6"/>
    </row>
    <row r="217" spans="1:11" x14ac:dyDescent="0.25">
      <c r="A217" s="4" t="str">
        <f>IF(tblPurchases[[#This Row],[วันที่]]="","","P"&amp;TEXT(tblPurchases[[#This Row],[วันที่]],"yymmdd")&amp;"-"&amp;TEXT(ROW()-5,"000"))</f>
        <v/>
      </c>
      <c r="B217" s="16"/>
      <c r="C217" s="6"/>
      <c r="D21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7" s="6"/>
      <c r="F217" s="7"/>
      <c r="G21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7" s="6"/>
      <c r="J217" s="6"/>
      <c r="K217" s="6"/>
    </row>
    <row r="218" spans="1:11" x14ac:dyDescent="0.25">
      <c r="A218" s="4" t="str">
        <f>IF(tblPurchases[[#This Row],[วันที่]]="","","P"&amp;TEXT(tblPurchases[[#This Row],[วันที่]],"yymmdd")&amp;"-"&amp;TEXT(ROW()-5,"000"))</f>
        <v/>
      </c>
      <c r="B218" s="16"/>
      <c r="C218" s="6"/>
      <c r="D21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8" s="6"/>
      <c r="F218" s="7"/>
      <c r="G21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8" s="6"/>
      <c r="J218" s="6"/>
      <c r="K218" s="6"/>
    </row>
    <row r="219" spans="1:11" x14ac:dyDescent="0.25">
      <c r="A219" s="4" t="str">
        <f>IF(tblPurchases[[#This Row],[วันที่]]="","","P"&amp;TEXT(tblPurchases[[#This Row],[วันที่]],"yymmdd")&amp;"-"&amp;TEXT(ROW()-5,"000"))</f>
        <v/>
      </c>
      <c r="B219" s="16"/>
      <c r="C219" s="6"/>
      <c r="D21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19" s="6"/>
      <c r="F219" s="7"/>
      <c r="G21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1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19" s="6"/>
      <c r="J219" s="6"/>
      <c r="K219" s="6"/>
    </row>
    <row r="220" spans="1:11" x14ac:dyDescent="0.25">
      <c r="A220" s="4" t="str">
        <f>IF(tblPurchases[[#This Row],[วันที่]]="","","P"&amp;TEXT(tblPurchases[[#This Row],[วันที่]],"yymmdd")&amp;"-"&amp;TEXT(ROW()-5,"000"))</f>
        <v/>
      </c>
      <c r="B220" s="16"/>
      <c r="C220" s="6"/>
      <c r="D22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0" s="6"/>
      <c r="F220" s="7"/>
      <c r="G22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0" s="6"/>
      <c r="J220" s="6"/>
      <c r="K220" s="6"/>
    </row>
    <row r="221" spans="1:11" x14ac:dyDescent="0.25">
      <c r="A221" s="4" t="str">
        <f>IF(tblPurchases[[#This Row],[วันที่]]="","","P"&amp;TEXT(tblPurchases[[#This Row],[วันที่]],"yymmdd")&amp;"-"&amp;TEXT(ROW()-5,"000"))</f>
        <v/>
      </c>
      <c r="B221" s="16"/>
      <c r="C221" s="6"/>
      <c r="D22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1" s="6"/>
      <c r="F221" s="7"/>
      <c r="G22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1" s="6"/>
      <c r="J221" s="6"/>
      <c r="K221" s="6"/>
    </row>
    <row r="222" spans="1:11" x14ac:dyDescent="0.25">
      <c r="A222" s="4" t="str">
        <f>IF(tblPurchases[[#This Row],[วันที่]]="","","P"&amp;TEXT(tblPurchases[[#This Row],[วันที่]],"yymmdd")&amp;"-"&amp;TEXT(ROW()-5,"000"))</f>
        <v/>
      </c>
      <c r="B222" s="16"/>
      <c r="C222" s="6"/>
      <c r="D22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2" s="6"/>
      <c r="F222" s="7"/>
      <c r="G22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2" s="6"/>
      <c r="J222" s="6"/>
      <c r="K222" s="6"/>
    </row>
    <row r="223" spans="1:11" x14ac:dyDescent="0.25">
      <c r="A223" s="4" t="str">
        <f>IF(tblPurchases[[#This Row],[วันที่]]="","","P"&amp;TEXT(tblPurchases[[#This Row],[วันที่]],"yymmdd")&amp;"-"&amp;TEXT(ROW()-5,"000"))</f>
        <v/>
      </c>
      <c r="B223" s="16"/>
      <c r="C223" s="6"/>
      <c r="D22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3" s="6"/>
      <c r="F223" s="7"/>
      <c r="G22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3" s="6"/>
      <c r="J223" s="6"/>
      <c r="K223" s="6"/>
    </row>
    <row r="224" spans="1:11" x14ac:dyDescent="0.25">
      <c r="A224" s="4" t="str">
        <f>IF(tblPurchases[[#This Row],[วันที่]]="","","P"&amp;TEXT(tblPurchases[[#This Row],[วันที่]],"yymmdd")&amp;"-"&amp;TEXT(ROW()-5,"000"))</f>
        <v/>
      </c>
      <c r="B224" s="16"/>
      <c r="C224" s="6"/>
      <c r="D22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4" s="6"/>
      <c r="F224" s="7"/>
      <c r="G22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4" s="6"/>
      <c r="J224" s="6"/>
      <c r="K224" s="6"/>
    </row>
    <row r="225" spans="1:11" x14ac:dyDescent="0.25">
      <c r="A225" s="4" t="str">
        <f>IF(tblPurchases[[#This Row],[วันที่]]="","","P"&amp;TEXT(tblPurchases[[#This Row],[วันที่]],"yymmdd")&amp;"-"&amp;TEXT(ROW()-5,"000"))</f>
        <v/>
      </c>
      <c r="B225" s="16"/>
      <c r="C225" s="6"/>
      <c r="D22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5" s="6"/>
      <c r="F225" s="7"/>
      <c r="G22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5" s="6"/>
      <c r="J225" s="6"/>
      <c r="K225" s="6"/>
    </row>
    <row r="226" spans="1:11" x14ac:dyDescent="0.25">
      <c r="A226" s="4" t="str">
        <f>IF(tblPurchases[[#This Row],[วันที่]]="","","P"&amp;TEXT(tblPurchases[[#This Row],[วันที่]],"yymmdd")&amp;"-"&amp;TEXT(ROW()-5,"000"))</f>
        <v/>
      </c>
      <c r="B226" s="16"/>
      <c r="C226" s="6"/>
      <c r="D22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6" s="6"/>
      <c r="F226" s="7"/>
      <c r="G22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6" s="6"/>
      <c r="J226" s="6"/>
      <c r="K226" s="6"/>
    </row>
    <row r="227" spans="1:11" x14ac:dyDescent="0.25">
      <c r="A227" s="4" t="str">
        <f>IF(tblPurchases[[#This Row],[วันที่]]="","","P"&amp;TEXT(tblPurchases[[#This Row],[วันที่]],"yymmdd")&amp;"-"&amp;TEXT(ROW()-5,"000"))</f>
        <v/>
      </c>
      <c r="B227" s="16"/>
      <c r="C227" s="6"/>
      <c r="D22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7" s="6"/>
      <c r="F227" s="7"/>
      <c r="G22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7" s="6"/>
      <c r="J227" s="6"/>
      <c r="K227" s="6"/>
    </row>
    <row r="228" spans="1:11" x14ac:dyDescent="0.25">
      <c r="A228" s="4" t="str">
        <f>IF(tblPurchases[[#This Row],[วันที่]]="","","P"&amp;TEXT(tblPurchases[[#This Row],[วันที่]],"yymmdd")&amp;"-"&amp;TEXT(ROW()-5,"000"))</f>
        <v/>
      </c>
      <c r="B228" s="16"/>
      <c r="C228" s="6"/>
      <c r="D22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8" s="6"/>
      <c r="F228" s="7"/>
      <c r="G22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8" s="6"/>
      <c r="J228" s="6"/>
      <c r="K228" s="6"/>
    </row>
    <row r="229" spans="1:11" x14ac:dyDescent="0.25">
      <c r="A229" s="4" t="str">
        <f>IF(tblPurchases[[#This Row],[วันที่]]="","","P"&amp;TEXT(tblPurchases[[#This Row],[วันที่]],"yymmdd")&amp;"-"&amp;TEXT(ROW()-5,"000"))</f>
        <v/>
      </c>
      <c r="B229" s="16"/>
      <c r="C229" s="6"/>
      <c r="D22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29" s="6"/>
      <c r="F229" s="7"/>
      <c r="G22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2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29" s="6"/>
      <c r="J229" s="6"/>
      <c r="K229" s="6"/>
    </row>
    <row r="230" spans="1:11" x14ac:dyDescent="0.25">
      <c r="A230" s="4" t="str">
        <f>IF(tblPurchases[[#This Row],[วันที่]]="","","P"&amp;TEXT(tblPurchases[[#This Row],[วันที่]],"yymmdd")&amp;"-"&amp;TEXT(ROW()-5,"000"))</f>
        <v/>
      </c>
      <c r="B230" s="16"/>
      <c r="C230" s="6"/>
      <c r="D23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0" s="6"/>
      <c r="F230" s="7"/>
      <c r="G23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0" s="6"/>
      <c r="J230" s="6"/>
      <c r="K230" s="6"/>
    </row>
    <row r="231" spans="1:11" x14ac:dyDescent="0.25">
      <c r="A231" s="4" t="str">
        <f>IF(tblPurchases[[#This Row],[วันที่]]="","","P"&amp;TEXT(tblPurchases[[#This Row],[วันที่]],"yymmdd")&amp;"-"&amp;TEXT(ROW()-5,"000"))</f>
        <v/>
      </c>
      <c r="B231" s="16"/>
      <c r="C231" s="6"/>
      <c r="D23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1" s="6"/>
      <c r="F231" s="7"/>
      <c r="G23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1" s="6"/>
      <c r="J231" s="6"/>
      <c r="K231" s="6"/>
    </row>
    <row r="232" spans="1:11" x14ac:dyDescent="0.25">
      <c r="A232" s="4" t="str">
        <f>IF(tblPurchases[[#This Row],[วันที่]]="","","P"&amp;TEXT(tblPurchases[[#This Row],[วันที่]],"yymmdd")&amp;"-"&amp;TEXT(ROW()-5,"000"))</f>
        <v/>
      </c>
      <c r="B232" s="16"/>
      <c r="C232" s="6"/>
      <c r="D23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2" s="6"/>
      <c r="F232" s="7"/>
      <c r="G23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2" s="6"/>
      <c r="J232" s="6"/>
      <c r="K232" s="6"/>
    </row>
    <row r="233" spans="1:11" x14ac:dyDescent="0.25">
      <c r="A233" s="4" t="str">
        <f>IF(tblPurchases[[#This Row],[วันที่]]="","","P"&amp;TEXT(tblPurchases[[#This Row],[วันที่]],"yymmdd")&amp;"-"&amp;TEXT(ROW()-5,"000"))</f>
        <v/>
      </c>
      <c r="B233" s="16"/>
      <c r="C233" s="6"/>
      <c r="D23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3" s="6"/>
      <c r="F233" s="7"/>
      <c r="G23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3" s="6"/>
      <c r="J233" s="6"/>
      <c r="K233" s="6"/>
    </row>
    <row r="234" spans="1:11" x14ac:dyDescent="0.25">
      <c r="A234" s="4" t="str">
        <f>IF(tblPurchases[[#This Row],[วันที่]]="","","P"&amp;TEXT(tblPurchases[[#This Row],[วันที่]],"yymmdd")&amp;"-"&amp;TEXT(ROW()-5,"000"))</f>
        <v/>
      </c>
      <c r="B234" s="16"/>
      <c r="C234" s="6"/>
      <c r="D23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4" s="6"/>
      <c r="F234" s="7"/>
      <c r="G23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4" s="6"/>
      <c r="J234" s="6"/>
      <c r="K234" s="6"/>
    </row>
    <row r="235" spans="1:11" x14ac:dyDescent="0.25">
      <c r="A235" s="4" t="str">
        <f>IF(tblPurchases[[#This Row],[วันที่]]="","","P"&amp;TEXT(tblPurchases[[#This Row],[วันที่]],"yymmdd")&amp;"-"&amp;TEXT(ROW()-5,"000"))</f>
        <v/>
      </c>
      <c r="B235" s="16"/>
      <c r="C235" s="6"/>
      <c r="D23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5" s="6"/>
      <c r="F235" s="7"/>
      <c r="G23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5" s="6"/>
      <c r="J235" s="6"/>
      <c r="K235" s="6"/>
    </row>
    <row r="236" spans="1:11" x14ac:dyDescent="0.25">
      <c r="A236" s="4" t="str">
        <f>IF(tblPurchases[[#This Row],[วันที่]]="","","P"&amp;TEXT(tblPurchases[[#This Row],[วันที่]],"yymmdd")&amp;"-"&amp;TEXT(ROW()-5,"000"))</f>
        <v/>
      </c>
      <c r="B236" s="16"/>
      <c r="C236" s="6"/>
      <c r="D23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6" s="6"/>
      <c r="F236" s="7"/>
      <c r="G23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6" s="6"/>
      <c r="J236" s="6"/>
      <c r="K236" s="6"/>
    </row>
    <row r="237" spans="1:11" x14ac:dyDescent="0.25">
      <c r="A237" s="4" t="str">
        <f>IF(tblPurchases[[#This Row],[วันที่]]="","","P"&amp;TEXT(tblPurchases[[#This Row],[วันที่]],"yymmdd")&amp;"-"&amp;TEXT(ROW()-5,"000"))</f>
        <v/>
      </c>
      <c r="B237" s="16"/>
      <c r="C237" s="6"/>
      <c r="D23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7" s="6"/>
      <c r="F237" s="7"/>
      <c r="G23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7" s="6"/>
      <c r="J237" s="6"/>
      <c r="K237" s="6"/>
    </row>
    <row r="238" spans="1:11" x14ac:dyDescent="0.25">
      <c r="A238" s="4" t="str">
        <f>IF(tblPurchases[[#This Row],[วันที่]]="","","P"&amp;TEXT(tblPurchases[[#This Row],[วันที่]],"yymmdd")&amp;"-"&amp;TEXT(ROW()-5,"000"))</f>
        <v/>
      </c>
      <c r="B238" s="16"/>
      <c r="C238" s="6"/>
      <c r="D23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8" s="6"/>
      <c r="F238" s="7"/>
      <c r="G23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8" s="6"/>
      <c r="J238" s="6"/>
      <c r="K238" s="6"/>
    </row>
    <row r="239" spans="1:11" x14ac:dyDescent="0.25">
      <c r="A239" s="4" t="str">
        <f>IF(tblPurchases[[#This Row],[วันที่]]="","","P"&amp;TEXT(tblPurchases[[#This Row],[วันที่]],"yymmdd")&amp;"-"&amp;TEXT(ROW()-5,"000"))</f>
        <v/>
      </c>
      <c r="B239" s="16"/>
      <c r="C239" s="6"/>
      <c r="D23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39" s="6"/>
      <c r="F239" s="7"/>
      <c r="G23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3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39" s="6"/>
      <c r="J239" s="6"/>
      <c r="K239" s="6"/>
    </row>
    <row r="240" spans="1:11" x14ac:dyDescent="0.25">
      <c r="A240" s="4" t="str">
        <f>IF(tblPurchases[[#This Row],[วันที่]]="","","P"&amp;TEXT(tblPurchases[[#This Row],[วันที่]],"yymmdd")&amp;"-"&amp;TEXT(ROW()-5,"000"))</f>
        <v/>
      </c>
      <c r="B240" s="16"/>
      <c r="C240" s="6"/>
      <c r="D24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0" s="6"/>
      <c r="F240" s="7"/>
      <c r="G24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0" s="6"/>
      <c r="J240" s="6"/>
      <c r="K240" s="6"/>
    </row>
    <row r="241" spans="1:11" x14ac:dyDescent="0.25">
      <c r="A241" s="4" t="str">
        <f>IF(tblPurchases[[#This Row],[วันที่]]="","","P"&amp;TEXT(tblPurchases[[#This Row],[วันที่]],"yymmdd")&amp;"-"&amp;TEXT(ROW()-5,"000"))</f>
        <v/>
      </c>
      <c r="B241" s="16"/>
      <c r="C241" s="6"/>
      <c r="D24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1" s="6"/>
      <c r="F241" s="7"/>
      <c r="G24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1" s="6"/>
      <c r="J241" s="6"/>
      <c r="K241" s="6"/>
    </row>
    <row r="242" spans="1:11" x14ac:dyDescent="0.25">
      <c r="A242" s="4" t="str">
        <f>IF(tblPurchases[[#This Row],[วันที่]]="","","P"&amp;TEXT(tblPurchases[[#This Row],[วันที่]],"yymmdd")&amp;"-"&amp;TEXT(ROW()-5,"000"))</f>
        <v/>
      </c>
      <c r="B242" s="16"/>
      <c r="C242" s="6"/>
      <c r="D24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2" s="6"/>
      <c r="F242" s="7"/>
      <c r="G24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2" s="6"/>
      <c r="J242" s="6"/>
      <c r="K242" s="6"/>
    </row>
    <row r="243" spans="1:11" x14ac:dyDescent="0.25">
      <c r="A243" s="4" t="str">
        <f>IF(tblPurchases[[#This Row],[วันที่]]="","","P"&amp;TEXT(tblPurchases[[#This Row],[วันที่]],"yymmdd")&amp;"-"&amp;TEXT(ROW()-5,"000"))</f>
        <v/>
      </c>
      <c r="B243" s="16"/>
      <c r="C243" s="6"/>
      <c r="D24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3" s="6"/>
      <c r="F243" s="7"/>
      <c r="G24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3" s="6"/>
      <c r="J243" s="6"/>
      <c r="K243" s="6"/>
    </row>
    <row r="244" spans="1:11" x14ac:dyDescent="0.25">
      <c r="A244" s="4" t="str">
        <f>IF(tblPurchases[[#This Row],[วันที่]]="","","P"&amp;TEXT(tblPurchases[[#This Row],[วันที่]],"yymmdd")&amp;"-"&amp;TEXT(ROW()-5,"000"))</f>
        <v/>
      </c>
      <c r="B244" s="16"/>
      <c r="C244" s="6"/>
      <c r="D24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4" s="6"/>
      <c r="F244" s="7"/>
      <c r="G24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4" s="6"/>
      <c r="J244" s="6"/>
      <c r="K244" s="6"/>
    </row>
    <row r="245" spans="1:11" x14ac:dyDescent="0.25">
      <c r="A245" s="4" t="str">
        <f>IF(tblPurchases[[#This Row],[วันที่]]="","","P"&amp;TEXT(tblPurchases[[#This Row],[วันที่]],"yymmdd")&amp;"-"&amp;TEXT(ROW()-5,"000"))</f>
        <v/>
      </c>
      <c r="B245" s="16"/>
      <c r="C245" s="6"/>
      <c r="D24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5" s="6"/>
      <c r="F245" s="7"/>
      <c r="G24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5" s="6"/>
      <c r="J245" s="6"/>
      <c r="K245" s="6"/>
    </row>
    <row r="246" spans="1:11" x14ac:dyDescent="0.25">
      <c r="A246" s="4" t="str">
        <f>IF(tblPurchases[[#This Row],[วันที่]]="","","P"&amp;TEXT(tblPurchases[[#This Row],[วันที่]],"yymmdd")&amp;"-"&amp;TEXT(ROW()-5,"000"))</f>
        <v/>
      </c>
      <c r="B246" s="16"/>
      <c r="C246" s="6"/>
      <c r="D24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6" s="6"/>
      <c r="F246" s="7"/>
      <c r="G24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6" s="6"/>
      <c r="J246" s="6"/>
      <c r="K246" s="6"/>
    </row>
    <row r="247" spans="1:11" x14ac:dyDescent="0.25">
      <c r="A247" s="4" t="str">
        <f>IF(tblPurchases[[#This Row],[วันที่]]="","","P"&amp;TEXT(tblPurchases[[#This Row],[วันที่]],"yymmdd")&amp;"-"&amp;TEXT(ROW()-5,"000"))</f>
        <v/>
      </c>
      <c r="B247" s="16"/>
      <c r="C247" s="6"/>
      <c r="D24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7" s="6"/>
      <c r="F247" s="7"/>
      <c r="G24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7" s="6"/>
      <c r="J247" s="6"/>
      <c r="K247" s="6"/>
    </row>
    <row r="248" spans="1:11" x14ac:dyDescent="0.25">
      <c r="A248" s="4" t="str">
        <f>IF(tblPurchases[[#This Row],[วันที่]]="","","P"&amp;TEXT(tblPurchases[[#This Row],[วันที่]],"yymmdd")&amp;"-"&amp;TEXT(ROW()-5,"000"))</f>
        <v/>
      </c>
      <c r="B248" s="16"/>
      <c r="C248" s="6"/>
      <c r="D24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8" s="6"/>
      <c r="F248" s="7"/>
      <c r="G24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8" s="6"/>
      <c r="J248" s="6"/>
      <c r="K248" s="6"/>
    </row>
    <row r="249" spans="1:11" x14ac:dyDescent="0.25">
      <c r="A249" s="4" t="str">
        <f>IF(tblPurchases[[#This Row],[วันที่]]="","","P"&amp;TEXT(tblPurchases[[#This Row],[วันที่]],"yymmdd")&amp;"-"&amp;TEXT(ROW()-5,"000"))</f>
        <v/>
      </c>
      <c r="B249" s="16"/>
      <c r="C249" s="6"/>
      <c r="D24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49" s="6"/>
      <c r="F249" s="7"/>
      <c r="G24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4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49" s="6"/>
      <c r="J249" s="6"/>
      <c r="K249" s="6"/>
    </row>
    <row r="250" spans="1:11" x14ac:dyDescent="0.25">
      <c r="A250" s="4" t="str">
        <f>IF(tblPurchases[[#This Row],[วันที่]]="","","P"&amp;TEXT(tblPurchases[[#This Row],[วันที่]],"yymmdd")&amp;"-"&amp;TEXT(ROW()-5,"000"))</f>
        <v/>
      </c>
      <c r="B250" s="16"/>
      <c r="C250" s="6"/>
      <c r="D25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0" s="6"/>
      <c r="F250" s="7"/>
      <c r="G25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0" s="6"/>
      <c r="J250" s="6"/>
      <c r="K250" s="6"/>
    </row>
    <row r="251" spans="1:11" x14ac:dyDescent="0.25">
      <c r="A251" s="4" t="str">
        <f>IF(tblPurchases[[#This Row],[วันที่]]="","","P"&amp;TEXT(tblPurchases[[#This Row],[วันที่]],"yymmdd")&amp;"-"&amp;TEXT(ROW()-5,"000"))</f>
        <v/>
      </c>
      <c r="B251" s="16"/>
      <c r="C251" s="6"/>
      <c r="D25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1" s="6"/>
      <c r="F251" s="7"/>
      <c r="G25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1" s="6"/>
      <c r="J251" s="6"/>
      <c r="K251" s="6"/>
    </row>
    <row r="252" spans="1:11" x14ac:dyDescent="0.25">
      <c r="A252" s="4" t="str">
        <f>IF(tblPurchases[[#This Row],[วันที่]]="","","P"&amp;TEXT(tblPurchases[[#This Row],[วันที่]],"yymmdd")&amp;"-"&amp;TEXT(ROW()-5,"000"))</f>
        <v/>
      </c>
      <c r="B252" s="16"/>
      <c r="C252" s="6"/>
      <c r="D25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2" s="6"/>
      <c r="F252" s="7"/>
      <c r="G25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2" s="6"/>
      <c r="J252" s="6"/>
      <c r="K252" s="6"/>
    </row>
    <row r="253" spans="1:11" x14ac:dyDescent="0.25">
      <c r="A253" s="4" t="str">
        <f>IF(tblPurchases[[#This Row],[วันที่]]="","","P"&amp;TEXT(tblPurchases[[#This Row],[วันที่]],"yymmdd")&amp;"-"&amp;TEXT(ROW()-5,"000"))</f>
        <v/>
      </c>
      <c r="B253" s="16"/>
      <c r="C253" s="6"/>
      <c r="D25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3" s="6"/>
      <c r="F253" s="7"/>
      <c r="G25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3" s="6"/>
      <c r="J253" s="6"/>
      <c r="K253" s="6"/>
    </row>
    <row r="254" spans="1:11" x14ac:dyDescent="0.25">
      <c r="A254" s="4" t="str">
        <f>IF(tblPurchases[[#This Row],[วันที่]]="","","P"&amp;TEXT(tblPurchases[[#This Row],[วันที่]],"yymmdd")&amp;"-"&amp;TEXT(ROW()-5,"000"))</f>
        <v/>
      </c>
      <c r="B254" s="16"/>
      <c r="C254" s="6"/>
      <c r="D25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4" s="6"/>
      <c r="F254" s="7"/>
      <c r="G25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4" s="6"/>
      <c r="J254" s="6"/>
      <c r="K254" s="6"/>
    </row>
    <row r="255" spans="1:11" x14ac:dyDescent="0.25">
      <c r="A255" s="4" t="str">
        <f>IF(tblPurchases[[#This Row],[วันที่]]="","","P"&amp;TEXT(tblPurchases[[#This Row],[วันที่]],"yymmdd")&amp;"-"&amp;TEXT(ROW()-5,"000"))</f>
        <v/>
      </c>
      <c r="B255" s="16"/>
      <c r="C255" s="6"/>
      <c r="D25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5" s="6"/>
      <c r="F255" s="7"/>
      <c r="G25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5" s="6"/>
      <c r="J255" s="6"/>
      <c r="K255" s="6"/>
    </row>
    <row r="256" spans="1:11" x14ac:dyDescent="0.25">
      <c r="A256" s="4" t="str">
        <f>IF(tblPurchases[[#This Row],[วันที่]]="","","P"&amp;TEXT(tblPurchases[[#This Row],[วันที่]],"yymmdd")&amp;"-"&amp;TEXT(ROW()-5,"000"))</f>
        <v/>
      </c>
      <c r="B256" s="16"/>
      <c r="C256" s="6"/>
      <c r="D25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6" s="6"/>
      <c r="F256" s="7"/>
      <c r="G25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6" s="6"/>
      <c r="J256" s="6"/>
      <c r="K256" s="6"/>
    </row>
    <row r="257" spans="1:11" x14ac:dyDescent="0.25">
      <c r="A257" s="4" t="str">
        <f>IF(tblPurchases[[#This Row],[วันที่]]="","","P"&amp;TEXT(tblPurchases[[#This Row],[วันที่]],"yymmdd")&amp;"-"&amp;TEXT(ROW()-5,"000"))</f>
        <v/>
      </c>
      <c r="B257" s="16"/>
      <c r="C257" s="6"/>
      <c r="D25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7" s="6"/>
      <c r="F257" s="7"/>
      <c r="G25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7" s="6"/>
      <c r="J257" s="6"/>
      <c r="K257" s="6"/>
    </row>
    <row r="258" spans="1:11" x14ac:dyDescent="0.25">
      <c r="A258" s="4" t="str">
        <f>IF(tblPurchases[[#This Row],[วันที่]]="","","P"&amp;TEXT(tblPurchases[[#This Row],[วันที่]],"yymmdd")&amp;"-"&amp;TEXT(ROW()-5,"000"))</f>
        <v/>
      </c>
      <c r="B258" s="16"/>
      <c r="C258" s="6"/>
      <c r="D25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8" s="6"/>
      <c r="F258" s="7"/>
      <c r="G25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8" s="6"/>
      <c r="J258" s="6"/>
      <c r="K258" s="6"/>
    </row>
    <row r="259" spans="1:11" x14ac:dyDescent="0.25">
      <c r="A259" s="4" t="str">
        <f>IF(tblPurchases[[#This Row],[วันที่]]="","","P"&amp;TEXT(tblPurchases[[#This Row],[วันที่]],"yymmdd")&amp;"-"&amp;TEXT(ROW()-5,"000"))</f>
        <v/>
      </c>
      <c r="B259" s="16"/>
      <c r="C259" s="6"/>
      <c r="D25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59" s="6"/>
      <c r="F259" s="7"/>
      <c r="G25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5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59" s="6"/>
      <c r="J259" s="6"/>
      <c r="K259" s="6"/>
    </row>
    <row r="260" spans="1:11" x14ac:dyDescent="0.25">
      <c r="A260" s="4" t="str">
        <f>IF(tblPurchases[[#This Row],[วันที่]]="","","P"&amp;TEXT(tblPurchases[[#This Row],[วันที่]],"yymmdd")&amp;"-"&amp;TEXT(ROW()-5,"000"))</f>
        <v/>
      </c>
      <c r="B260" s="16"/>
      <c r="C260" s="6"/>
      <c r="D26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0" s="6"/>
      <c r="F260" s="7"/>
      <c r="G26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0" s="6"/>
      <c r="J260" s="6"/>
      <c r="K260" s="6"/>
    </row>
    <row r="261" spans="1:11" x14ac:dyDescent="0.25">
      <c r="A261" s="4" t="str">
        <f>IF(tblPurchases[[#This Row],[วันที่]]="","","P"&amp;TEXT(tblPurchases[[#This Row],[วันที่]],"yymmdd")&amp;"-"&amp;TEXT(ROW()-5,"000"))</f>
        <v/>
      </c>
      <c r="B261" s="16"/>
      <c r="C261" s="6"/>
      <c r="D26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1" s="6"/>
      <c r="F261" s="7"/>
      <c r="G26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1" s="6"/>
      <c r="J261" s="6"/>
      <c r="K261" s="6"/>
    </row>
    <row r="262" spans="1:11" x14ac:dyDescent="0.25">
      <c r="A262" s="4" t="str">
        <f>IF(tblPurchases[[#This Row],[วันที่]]="","","P"&amp;TEXT(tblPurchases[[#This Row],[วันที่]],"yymmdd")&amp;"-"&amp;TEXT(ROW()-5,"000"))</f>
        <v/>
      </c>
      <c r="B262" s="16"/>
      <c r="C262" s="6"/>
      <c r="D26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2" s="6"/>
      <c r="F262" s="7"/>
      <c r="G26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2" s="6"/>
      <c r="J262" s="6"/>
      <c r="K262" s="6"/>
    </row>
    <row r="263" spans="1:11" x14ac:dyDescent="0.25">
      <c r="A263" s="4" t="str">
        <f>IF(tblPurchases[[#This Row],[วันที่]]="","","P"&amp;TEXT(tblPurchases[[#This Row],[วันที่]],"yymmdd")&amp;"-"&amp;TEXT(ROW()-5,"000"))</f>
        <v/>
      </c>
      <c r="B263" s="16"/>
      <c r="C263" s="6"/>
      <c r="D26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3" s="6"/>
      <c r="F263" s="7"/>
      <c r="G26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3" s="6"/>
      <c r="J263" s="6"/>
      <c r="K263" s="6"/>
    </row>
    <row r="264" spans="1:11" x14ac:dyDescent="0.25">
      <c r="A264" s="4" t="str">
        <f>IF(tblPurchases[[#This Row],[วันที่]]="","","P"&amp;TEXT(tblPurchases[[#This Row],[วันที่]],"yymmdd")&amp;"-"&amp;TEXT(ROW()-5,"000"))</f>
        <v/>
      </c>
      <c r="B264" s="16"/>
      <c r="C264" s="6"/>
      <c r="D26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4" s="6"/>
      <c r="F264" s="7"/>
      <c r="G26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4" s="6"/>
      <c r="J264" s="6"/>
      <c r="K264" s="6"/>
    </row>
    <row r="265" spans="1:11" x14ac:dyDescent="0.25">
      <c r="A265" s="4" t="str">
        <f>IF(tblPurchases[[#This Row],[วันที่]]="","","P"&amp;TEXT(tblPurchases[[#This Row],[วันที่]],"yymmdd")&amp;"-"&amp;TEXT(ROW()-5,"000"))</f>
        <v/>
      </c>
      <c r="B265" s="16"/>
      <c r="C265" s="6"/>
      <c r="D26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5" s="6"/>
      <c r="F265" s="7"/>
      <c r="G26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5" s="6"/>
      <c r="J265" s="6"/>
      <c r="K265" s="6"/>
    </row>
    <row r="266" spans="1:11" x14ac:dyDescent="0.25">
      <c r="A266" s="4" t="str">
        <f>IF(tblPurchases[[#This Row],[วันที่]]="","","P"&amp;TEXT(tblPurchases[[#This Row],[วันที่]],"yymmdd")&amp;"-"&amp;TEXT(ROW()-5,"000"))</f>
        <v/>
      </c>
      <c r="B266" s="16"/>
      <c r="C266" s="6"/>
      <c r="D26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6" s="6"/>
      <c r="F266" s="7"/>
      <c r="G26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6" s="6"/>
      <c r="J266" s="6"/>
      <c r="K266" s="6"/>
    </row>
    <row r="267" spans="1:11" x14ac:dyDescent="0.25">
      <c r="A267" s="4" t="str">
        <f>IF(tblPurchases[[#This Row],[วันที่]]="","","P"&amp;TEXT(tblPurchases[[#This Row],[วันที่]],"yymmdd")&amp;"-"&amp;TEXT(ROW()-5,"000"))</f>
        <v/>
      </c>
      <c r="B267" s="16"/>
      <c r="C267" s="6"/>
      <c r="D26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7" s="6"/>
      <c r="F267" s="7"/>
      <c r="G26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7" s="6"/>
      <c r="J267" s="6"/>
      <c r="K267" s="6"/>
    </row>
    <row r="268" spans="1:11" x14ac:dyDescent="0.25">
      <c r="A268" s="4" t="str">
        <f>IF(tblPurchases[[#This Row],[วันที่]]="","","P"&amp;TEXT(tblPurchases[[#This Row],[วันที่]],"yymmdd")&amp;"-"&amp;TEXT(ROW()-5,"000"))</f>
        <v/>
      </c>
      <c r="B268" s="16"/>
      <c r="C268" s="6"/>
      <c r="D26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8" s="6"/>
      <c r="F268" s="7"/>
      <c r="G26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8" s="6"/>
      <c r="J268" s="6"/>
      <c r="K268" s="6"/>
    </row>
    <row r="269" spans="1:11" x14ac:dyDescent="0.25">
      <c r="A269" s="4" t="str">
        <f>IF(tblPurchases[[#This Row],[วันที่]]="","","P"&amp;TEXT(tblPurchases[[#This Row],[วันที่]],"yymmdd")&amp;"-"&amp;TEXT(ROW()-5,"000"))</f>
        <v/>
      </c>
      <c r="B269" s="16"/>
      <c r="C269" s="6"/>
      <c r="D26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69" s="6"/>
      <c r="F269" s="7"/>
      <c r="G26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6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69" s="6"/>
      <c r="J269" s="6"/>
      <c r="K269" s="6"/>
    </row>
    <row r="270" spans="1:11" x14ac:dyDescent="0.25">
      <c r="A270" s="4" t="str">
        <f>IF(tblPurchases[[#This Row],[วันที่]]="","","P"&amp;TEXT(tblPurchases[[#This Row],[วันที่]],"yymmdd")&amp;"-"&amp;TEXT(ROW()-5,"000"))</f>
        <v/>
      </c>
      <c r="B270" s="16"/>
      <c r="C270" s="6"/>
      <c r="D27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0" s="6"/>
      <c r="F270" s="7"/>
      <c r="G27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0" s="6"/>
      <c r="J270" s="6"/>
      <c r="K270" s="6"/>
    </row>
    <row r="271" spans="1:11" x14ac:dyDescent="0.25">
      <c r="A271" s="4" t="str">
        <f>IF(tblPurchases[[#This Row],[วันที่]]="","","P"&amp;TEXT(tblPurchases[[#This Row],[วันที่]],"yymmdd")&amp;"-"&amp;TEXT(ROW()-5,"000"))</f>
        <v/>
      </c>
      <c r="B271" s="16"/>
      <c r="C271" s="6"/>
      <c r="D27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1" s="6"/>
      <c r="F271" s="7"/>
      <c r="G27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1" s="6"/>
      <c r="J271" s="6"/>
      <c r="K271" s="6"/>
    </row>
    <row r="272" spans="1:11" x14ac:dyDescent="0.25">
      <c r="A272" s="4" t="str">
        <f>IF(tblPurchases[[#This Row],[วันที่]]="","","P"&amp;TEXT(tblPurchases[[#This Row],[วันที่]],"yymmdd")&amp;"-"&amp;TEXT(ROW()-5,"000"))</f>
        <v/>
      </c>
      <c r="B272" s="16"/>
      <c r="C272" s="6"/>
      <c r="D27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2" s="6"/>
      <c r="F272" s="7"/>
      <c r="G27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2" s="6"/>
      <c r="J272" s="6"/>
      <c r="K272" s="6"/>
    </row>
    <row r="273" spans="1:11" x14ac:dyDescent="0.25">
      <c r="A273" s="4" t="str">
        <f>IF(tblPurchases[[#This Row],[วันที่]]="","","P"&amp;TEXT(tblPurchases[[#This Row],[วันที่]],"yymmdd")&amp;"-"&amp;TEXT(ROW()-5,"000"))</f>
        <v/>
      </c>
      <c r="B273" s="16"/>
      <c r="C273" s="6"/>
      <c r="D27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3" s="6"/>
      <c r="F273" s="7"/>
      <c r="G27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3" s="6"/>
      <c r="J273" s="6"/>
      <c r="K273" s="6"/>
    </row>
    <row r="274" spans="1:11" x14ac:dyDescent="0.25">
      <c r="A274" s="4" t="str">
        <f>IF(tblPurchases[[#This Row],[วันที่]]="","","P"&amp;TEXT(tblPurchases[[#This Row],[วันที่]],"yymmdd")&amp;"-"&amp;TEXT(ROW()-5,"000"))</f>
        <v/>
      </c>
      <c r="B274" s="16"/>
      <c r="C274" s="6"/>
      <c r="D27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4" s="6"/>
      <c r="F274" s="7"/>
      <c r="G27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4" s="6"/>
      <c r="J274" s="6"/>
      <c r="K274" s="6"/>
    </row>
    <row r="275" spans="1:11" x14ac:dyDescent="0.25">
      <c r="A275" s="4" t="str">
        <f>IF(tblPurchases[[#This Row],[วันที่]]="","","P"&amp;TEXT(tblPurchases[[#This Row],[วันที่]],"yymmdd")&amp;"-"&amp;TEXT(ROW()-5,"000"))</f>
        <v/>
      </c>
      <c r="B275" s="16"/>
      <c r="C275" s="6"/>
      <c r="D27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5" s="6"/>
      <c r="F275" s="7"/>
      <c r="G27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5" s="6"/>
      <c r="J275" s="6"/>
      <c r="K275" s="6"/>
    </row>
    <row r="276" spans="1:11" x14ac:dyDescent="0.25">
      <c r="A276" s="4" t="str">
        <f>IF(tblPurchases[[#This Row],[วันที่]]="","","P"&amp;TEXT(tblPurchases[[#This Row],[วันที่]],"yymmdd")&amp;"-"&amp;TEXT(ROW()-5,"000"))</f>
        <v/>
      </c>
      <c r="B276" s="16"/>
      <c r="C276" s="6"/>
      <c r="D27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6" s="6"/>
      <c r="F276" s="7"/>
      <c r="G27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6" s="6"/>
      <c r="J276" s="6"/>
      <c r="K276" s="6"/>
    </row>
    <row r="277" spans="1:11" x14ac:dyDescent="0.25">
      <c r="A277" s="4" t="str">
        <f>IF(tblPurchases[[#This Row],[วันที่]]="","","P"&amp;TEXT(tblPurchases[[#This Row],[วันที่]],"yymmdd")&amp;"-"&amp;TEXT(ROW()-5,"000"))</f>
        <v/>
      </c>
      <c r="B277" s="16"/>
      <c r="C277" s="6"/>
      <c r="D27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7" s="6"/>
      <c r="F277" s="7"/>
      <c r="G27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7" s="6"/>
      <c r="J277" s="6"/>
      <c r="K277" s="6"/>
    </row>
    <row r="278" spans="1:11" x14ac:dyDescent="0.25">
      <c r="A278" s="4" t="str">
        <f>IF(tblPurchases[[#This Row],[วันที่]]="","","P"&amp;TEXT(tblPurchases[[#This Row],[วันที่]],"yymmdd")&amp;"-"&amp;TEXT(ROW()-5,"000"))</f>
        <v/>
      </c>
      <c r="B278" s="16"/>
      <c r="C278" s="6"/>
      <c r="D27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8" s="6"/>
      <c r="F278" s="7"/>
      <c r="G27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8" s="6"/>
      <c r="J278" s="6"/>
      <c r="K278" s="6"/>
    </row>
    <row r="279" spans="1:11" x14ac:dyDescent="0.25">
      <c r="A279" s="4" t="str">
        <f>IF(tblPurchases[[#This Row],[วันที่]]="","","P"&amp;TEXT(tblPurchases[[#This Row],[วันที่]],"yymmdd")&amp;"-"&amp;TEXT(ROW()-5,"000"))</f>
        <v/>
      </c>
      <c r="B279" s="16"/>
      <c r="C279" s="6"/>
      <c r="D27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79" s="6"/>
      <c r="F279" s="7"/>
      <c r="G27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7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79" s="6"/>
      <c r="J279" s="6"/>
      <c r="K279" s="6"/>
    </row>
    <row r="280" spans="1:11" x14ac:dyDescent="0.25">
      <c r="A280" s="4" t="str">
        <f>IF(tblPurchases[[#This Row],[วันที่]]="","","P"&amp;TEXT(tblPurchases[[#This Row],[วันที่]],"yymmdd")&amp;"-"&amp;TEXT(ROW()-5,"000"))</f>
        <v/>
      </c>
      <c r="B280" s="16"/>
      <c r="C280" s="6"/>
      <c r="D28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0" s="6"/>
      <c r="F280" s="7"/>
      <c r="G28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0" s="6"/>
      <c r="J280" s="6"/>
      <c r="K280" s="6"/>
    </row>
    <row r="281" spans="1:11" x14ac:dyDescent="0.25">
      <c r="A281" s="4" t="str">
        <f>IF(tblPurchases[[#This Row],[วันที่]]="","","P"&amp;TEXT(tblPurchases[[#This Row],[วันที่]],"yymmdd")&amp;"-"&amp;TEXT(ROW()-5,"000"))</f>
        <v/>
      </c>
      <c r="B281" s="16"/>
      <c r="C281" s="6"/>
      <c r="D28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1" s="6"/>
      <c r="F281" s="7"/>
      <c r="G28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1" s="6"/>
      <c r="J281" s="6"/>
      <c r="K281" s="6"/>
    </row>
    <row r="282" spans="1:11" x14ac:dyDescent="0.25">
      <c r="A282" s="4" t="str">
        <f>IF(tblPurchases[[#This Row],[วันที่]]="","","P"&amp;TEXT(tblPurchases[[#This Row],[วันที่]],"yymmdd")&amp;"-"&amp;TEXT(ROW()-5,"000"))</f>
        <v/>
      </c>
      <c r="B282" s="16"/>
      <c r="C282" s="6"/>
      <c r="D28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2" s="6"/>
      <c r="F282" s="7"/>
      <c r="G28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2" s="6"/>
      <c r="J282" s="6"/>
      <c r="K282" s="6"/>
    </row>
    <row r="283" spans="1:11" x14ac:dyDescent="0.25">
      <c r="A283" s="4" t="str">
        <f>IF(tblPurchases[[#This Row],[วันที่]]="","","P"&amp;TEXT(tblPurchases[[#This Row],[วันที่]],"yymmdd")&amp;"-"&amp;TEXT(ROW()-5,"000"))</f>
        <v/>
      </c>
      <c r="B283" s="16"/>
      <c r="C283" s="6"/>
      <c r="D28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3" s="6"/>
      <c r="F283" s="7"/>
      <c r="G28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3" s="6"/>
      <c r="J283" s="6"/>
      <c r="K283" s="6"/>
    </row>
    <row r="284" spans="1:11" x14ac:dyDescent="0.25">
      <c r="A284" s="4" t="str">
        <f>IF(tblPurchases[[#This Row],[วันที่]]="","","P"&amp;TEXT(tblPurchases[[#This Row],[วันที่]],"yymmdd")&amp;"-"&amp;TEXT(ROW()-5,"000"))</f>
        <v/>
      </c>
      <c r="B284" s="16"/>
      <c r="C284" s="6"/>
      <c r="D28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4" s="6"/>
      <c r="F284" s="7"/>
      <c r="G28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4" s="6"/>
      <c r="J284" s="6"/>
      <c r="K284" s="6"/>
    </row>
    <row r="285" spans="1:11" x14ac:dyDescent="0.25">
      <c r="A285" s="4" t="str">
        <f>IF(tblPurchases[[#This Row],[วันที่]]="","","P"&amp;TEXT(tblPurchases[[#This Row],[วันที่]],"yymmdd")&amp;"-"&amp;TEXT(ROW()-5,"000"))</f>
        <v/>
      </c>
      <c r="B285" s="16"/>
      <c r="C285" s="6"/>
      <c r="D28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5" s="6"/>
      <c r="F285" s="7"/>
      <c r="G28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5" s="6"/>
      <c r="J285" s="6"/>
      <c r="K285" s="6"/>
    </row>
    <row r="286" spans="1:11" x14ac:dyDescent="0.25">
      <c r="A286" s="4" t="str">
        <f>IF(tblPurchases[[#This Row],[วันที่]]="","","P"&amp;TEXT(tblPurchases[[#This Row],[วันที่]],"yymmdd")&amp;"-"&amp;TEXT(ROW()-5,"000"))</f>
        <v/>
      </c>
      <c r="B286" s="16"/>
      <c r="C286" s="6"/>
      <c r="D28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6" s="6"/>
      <c r="F286" s="7"/>
      <c r="G28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6" s="6"/>
      <c r="J286" s="6"/>
      <c r="K286" s="6"/>
    </row>
    <row r="287" spans="1:11" x14ac:dyDescent="0.25">
      <c r="A287" s="4" t="str">
        <f>IF(tblPurchases[[#This Row],[วันที่]]="","","P"&amp;TEXT(tblPurchases[[#This Row],[วันที่]],"yymmdd")&amp;"-"&amp;TEXT(ROW()-5,"000"))</f>
        <v/>
      </c>
      <c r="B287" s="16"/>
      <c r="C287" s="6"/>
      <c r="D28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7" s="6"/>
      <c r="F287" s="7"/>
      <c r="G28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7" s="6"/>
      <c r="J287" s="6"/>
      <c r="K287" s="6"/>
    </row>
    <row r="288" spans="1:11" x14ac:dyDescent="0.25">
      <c r="A288" s="4" t="str">
        <f>IF(tblPurchases[[#This Row],[วันที่]]="","","P"&amp;TEXT(tblPurchases[[#This Row],[วันที่]],"yymmdd")&amp;"-"&amp;TEXT(ROW()-5,"000"))</f>
        <v/>
      </c>
      <c r="B288" s="16"/>
      <c r="C288" s="6"/>
      <c r="D28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8" s="6"/>
      <c r="F288" s="7"/>
      <c r="G28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8" s="6"/>
      <c r="J288" s="6"/>
      <c r="K288" s="6"/>
    </row>
    <row r="289" spans="1:11" x14ac:dyDescent="0.25">
      <c r="A289" s="4" t="str">
        <f>IF(tblPurchases[[#This Row],[วันที่]]="","","P"&amp;TEXT(tblPurchases[[#This Row],[วันที่]],"yymmdd")&amp;"-"&amp;TEXT(ROW()-5,"000"))</f>
        <v/>
      </c>
      <c r="B289" s="16"/>
      <c r="C289" s="6"/>
      <c r="D28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89" s="6"/>
      <c r="F289" s="7"/>
      <c r="G28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8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89" s="6"/>
      <c r="J289" s="6"/>
      <c r="K289" s="6"/>
    </row>
    <row r="290" spans="1:11" x14ac:dyDescent="0.25">
      <c r="A290" s="4" t="str">
        <f>IF(tblPurchases[[#This Row],[วันที่]]="","","P"&amp;TEXT(tblPurchases[[#This Row],[วันที่]],"yymmdd")&amp;"-"&amp;TEXT(ROW()-5,"000"))</f>
        <v/>
      </c>
      <c r="B290" s="16"/>
      <c r="C290" s="6"/>
      <c r="D29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0" s="6"/>
      <c r="F290" s="7"/>
      <c r="G29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0" s="6"/>
      <c r="J290" s="6"/>
      <c r="K290" s="6"/>
    </row>
    <row r="291" spans="1:11" x14ac:dyDescent="0.25">
      <c r="A291" s="4" t="str">
        <f>IF(tblPurchases[[#This Row],[วันที่]]="","","P"&amp;TEXT(tblPurchases[[#This Row],[วันที่]],"yymmdd")&amp;"-"&amp;TEXT(ROW()-5,"000"))</f>
        <v/>
      </c>
      <c r="B291" s="16"/>
      <c r="C291" s="6"/>
      <c r="D29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1" s="6"/>
      <c r="F291" s="7"/>
      <c r="G29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1" s="6"/>
      <c r="J291" s="6"/>
      <c r="K291" s="6"/>
    </row>
    <row r="292" spans="1:11" x14ac:dyDescent="0.25">
      <c r="A292" s="4" t="str">
        <f>IF(tblPurchases[[#This Row],[วันที่]]="","","P"&amp;TEXT(tblPurchases[[#This Row],[วันที่]],"yymmdd")&amp;"-"&amp;TEXT(ROW()-5,"000"))</f>
        <v/>
      </c>
      <c r="B292" s="16"/>
      <c r="C292" s="6"/>
      <c r="D29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2" s="6"/>
      <c r="F292" s="7"/>
      <c r="G29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2" s="6"/>
      <c r="J292" s="6"/>
      <c r="K292" s="6"/>
    </row>
    <row r="293" spans="1:11" x14ac:dyDescent="0.25">
      <c r="A293" s="4" t="str">
        <f>IF(tblPurchases[[#This Row],[วันที่]]="","","P"&amp;TEXT(tblPurchases[[#This Row],[วันที่]],"yymmdd")&amp;"-"&amp;TEXT(ROW()-5,"000"))</f>
        <v/>
      </c>
      <c r="B293" s="16"/>
      <c r="C293" s="6"/>
      <c r="D29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3" s="6"/>
      <c r="F293" s="7"/>
      <c r="G29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3" s="6"/>
      <c r="J293" s="6"/>
      <c r="K293" s="6"/>
    </row>
    <row r="294" spans="1:11" x14ac:dyDescent="0.25">
      <c r="A294" s="4" t="str">
        <f>IF(tblPurchases[[#This Row],[วันที่]]="","","P"&amp;TEXT(tblPurchases[[#This Row],[วันที่]],"yymmdd")&amp;"-"&amp;TEXT(ROW()-5,"000"))</f>
        <v/>
      </c>
      <c r="B294" s="16"/>
      <c r="C294" s="6"/>
      <c r="D29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4" s="6"/>
      <c r="F294" s="7"/>
      <c r="G29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4" s="6"/>
      <c r="J294" s="6"/>
      <c r="K294" s="6"/>
    </row>
    <row r="295" spans="1:11" x14ac:dyDescent="0.25">
      <c r="A295" s="4" t="str">
        <f>IF(tblPurchases[[#This Row],[วันที่]]="","","P"&amp;TEXT(tblPurchases[[#This Row],[วันที่]],"yymmdd")&amp;"-"&amp;TEXT(ROW()-5,"000"))</f>
        <v/>
      </c>
      <c r="B295" s="16"/>
      <c r="C295" s="6"/>
      <c r="D29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5" s="6"/>
      <c r="F295" s="7"/>
      <c r="G29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5" s="6"/>
      <c r="J295" s="6"/>
      <c r="K295" s="6"/>
    </row>
    <row r="296" spans="1:11" x14ac:dyDescent="0.25">
      <c r="A296" s="4" t="str">
        <f>IF(tblPurchases[[#This Row],[วันที่]]="","","P"&amp;TEXT(tblPurchases[[#This Row],[วันที่]],"yymmdd")&amp;"-"&amp;TEXT(ROW()-5,"000"))</f>
        <v/>
      </c>
      <c r="B296" s="16"/>
      <c r="C296" s="6"/>
      <c r="D296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6" s="6"/>
      <c r="F296" s="7"/>
      <c r="G296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6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6" s="6"/>
      <c r="J296" s="6"/>
      <c r="K296" s="6"/>
    </row>
    <row r="297" spans="1:11" x14ac:dyDescent="0.25">
      <c r="A297" s="4" t="str">
        <f>IF(tblPurchases[[#This Row],[วันที่]]="","","P"&amp;TEXT(tblPurchases[[#This Row],[วันที่]],"yymmdd")&amp;"-"&amp;TEXT(ROW()-5,"000"))</f>
        <v/>
      </c>
      <c r="B297" s="16"/>
      <c r="C297" s="6"/>
      <c r="D297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7" s="6"/>
      <c r="F297" s="7"/>
      <c r="G297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7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7" s="6"/>
      <c r="J297" s="6"/>
      <c r="K297" s="6"/>
    </row>
    <row r="298" spans="1:11" x14ac:dyDescent="0.25">
      <c r="A298" s="4" t="str">
        <f>IF(tblPurchases[[#This Row],[วันที่]]="","","P"&amp;TEXT(tblPurchases[[#This Row],[วันที่]],"yymmdd")&amp;"-"&amp;TEXT(ROW()-5,"000"))</f>
        <v/>
      </c>
      <c r="B298" s="16"/>
      <c r="C298" s="6"/>
      <c r="D298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8" s="6"/>
      <c r="F298" s="7"/>
      <c r="G298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8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8" s="6"/>
      <c r="J298" s="6"/>
      <c r="K298" s="6"/>
    </row>
    <row r="299" spans="1:11" x14ac:dyDescent="0.25">
      <c r="A299" s="4" t="str">
        <f>IF(tblPurchases[[#This Row],[วันที่]]="","","P"&amp;TEXT(tblPurchases[[#This Row],[วันที่]],"yymmdd")&amp;"-"&amp;TEXT(ROW()-5,"000"))</f>
        <v/>
      </c>
      <c r="B299" s="16"/>
      <c r="C299" s="6"/>
      <c r="D299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299" s="6"/>
      <c r="F299" s="7"/>
      <c r="G299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299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299" s="6"/>
      <c r="J299" s="6"/>
      <c r="K299" s="6"/>
    </row>
    <row r="300" spans="1:11" x14ac:dyDescent="0.25">
      <c r="A300" s="4" t="str">
        <f>IF(tblPurchases[[#This Row],[วันที่]]="","","P"&amp;TEXT(tblPurchases[[#This Row],[วันที่]],"yymmdd")&amp;"-"&amp;TEXT(ROW()-5,"000"))</f>
        <v/>
      </c>
      <c r="B300" s="16"/>
      <c r="C300" s="6"/>
      <c r="D300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0" s="6"/>
      <c r="F300" s="7"/>
      <c r="G300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0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0" s="6"/>
      <c r="J300" s="6"/>
      <c r="K300" s="6"/>
    </row>
    <row r="301" spans="1:11" x14ac:dyDescent="0.25">
      <c r="A301" s="4" t="str">
        <f>IF(tblPurchases[[#This Row],[วันที่]]="","","P"&amp;TEXT(tblPurchases[[#This Row],[วันที่]],"yymmdd")&amp;"-"&amp;TEXT(ROW()-5,"000"))</f>
        <v/>
      </c>
      <c r="B301" s="16"/>
      <c r="C301" s="6"/>
      <c r="D301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1" s="6"/>
      <c r="F301" s="7"/>
      <c r="G301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1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1" s="6"/>
      <c r="J301" s="6"/>
      <c r="K301" s="6"/>
    </row>
    <row r="302" spans="1:11" x14ac:dyDescent="0.25">
      <c r="A302" s="4" t="str">
        <f>IF(tblPurchases[[#This Row],[วันที่]]="","","P"&amp;TEXT(tblPurchases[[#This Row],[วันที่]],"yymmdd")&amp;"-"&amp;TEXT(ROW()-5,"000"))</f>
        <v/>
      </c>
      <c r="B302" s="16"/>
      <c r="C302" s="6"/>
      <c r="D302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2" s="6"/>
      <c r="F302" s="7"/>
      <c r="G302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2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2" s="6"/>
      <c r="J302" s="6"/>
      <c r="K302" s="6"/>
    </row>
    <row r="303" spans="1:11" x14ac:dyDescent="0.25">
      <c r="A303" s="4" t="str">
        <f>IF(tblPurchases[[#This Row],[วันที่]]="","","P"&amp;TEXT(tblPurchases[[#This Row],[วันที่]],"yymmdd")&amp;"-"&amp;TEXT(ROW()-5,"000"))</f>
        <v/>
      </c>
      <c r="B303" s="16"/>
      <c r="C303" s="6"/>
      <c r="D303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3" s="6"/>
      <c r="F303" s="7"/>
      <c r="G303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3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3" s="6"/>
      <c r="J303" s="6"/>
      <c r="K303" s="6"/>
    </row>
    <row r="304" spans="1:11" x14ac:dyDescent="0.25">
      <c r="A304" s="4" t="str">
        <f>IF(tblPurchases[[#This Row],[วันที่]]="","","P"&amp;TEXT(tblPurchases[[#This Row],[วันที่]],"yymmdd")&amp;"-"&amp;TEXT(ROW()-5,"000"))</f>
        <v/>
      </c>
      <c r="B304" s="16"/>
      <c r="C304" s="6"/>
      <c r="D304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4" s="6"/>
      <c r="F304" s="7"/>
      <c r="G304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4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4" s="6"/>
      <c r="J304" s="6"/>
      <c r="K304" s="6"/>
    </row>
    <row r="305" spans="1:11" x14ac:dyDescent="0.25">
      <c r="A305" s="4" t="str">
        <f>IF(tblPurchases[[#This Row],[วันที่]]="","","P"&amp;TEXT(tblPurchases[[#This Row],[วันที่]],"yymmdd")&amp;"-"&amp;TEXT(ROW()-5,"000"))</f>
        <v/>
      </c>
      <c r="B305" s="16"/>
      <c r="C305" s="6"/>
      <c r="D305" s="4" t="str">
        <f>IF(tblPurchases[[#This Row],[รหัสสินค้า]]="","",IFERROR(INDEX(tblItems[ชื่อสินค้า],MATCH(tblPurchases[[#This Row],[รหัสสินค้า]],tblItems[รหัสสินค้า],0)),"ไม่พบรหัส"))</f>
        <v/>
      </c>
      <c r="E305" s="6"/>
      <c r="F305" s="7"/>
      <c r="G305" s="8" t="str">
        <f>IF(OR(tblPurchases[[#This Row],[รหัสสินค้า]]="",N(tblPurchases[[#This Row],[จำนวน (หน่วยซื้อ)]])=0),"",tblPurchases[[#This Row],[ราคารวม (บาท)]]/tblPurchases[[#This Row],[จำนวน (หน่วยซื้อ)]])</f>
        <v/>
      </c>
      <c r="H305" s="17" t="str">
        <f>IF(tblPurchases[[#This Row],[รหัสสินค้า]]="","",IFERROR(tblPurchases[[#This Row],[จำนวน (หน่วยซื้อ)]]*INDEX(tblItems[ปริมาณต่อหน่วยซื้อ],MATCH(tblPurchases[[#This Row],[รหัสสินค้า]],tblItems[รหัสสินค้า],0)),""))</f>
        <v/>
      </c>
      <c r="I305" s="6"/>
      <c r="J305" s="6"/>
      <c r="K305" s="6"/>
    </row>
  </sheetData>
  <dataValidations count="3">
    <dataValidation type="decimal" operator="greaterThanOrEqual" allowBlank="1" showInputMessage="1" showErrorMessage="1" errorTitle="ค่าไม่ถูกต้อง" error="กรอกตัวเลข ≥ 0.01" prompt="ตัวเลขเท่านั้น" sqref="E6:E305" xr:uid="{D53FE4E6-24DA-0543-962D-63084B98A0EF}">
      <formula1>0.01</formula1>
    </dataValidation>
    <dataValidation type="decimal" operator="greaterThanOrEqual" allowBlank="1" showInputMessage="1" showErrorMessage="1" errorTitle="ค่าไม่ถูกต้อง" error="กรอกตัวเลข ≥ 0" prompt="ตัวเลขเท่านั้น" sqref="F6:F305" xr:uid="{E5CC7800-D944-0944-B118-EBBB657B5F1F}">
      <formula1>0</formula1>
    </dataValidation>
    <dataValidation type="date" allowBlank="1" showInputMessage="1" showErrorMessage="1" errorTitle="วันที่ไม่ถูกต้อง" error="กรอกวันที่รูปแบบ ปปปป-ดด-วว" sqref="B6:B305" xr:uid="{982DB3C1-C8EC-CC45-8075-5EB9DD4D49C1}">
      <formula1>45292</formula1>
      <formula2>49674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F03E06-C7D4-5241-8423-91A30EA907C1}">
          <x14:formula1>
            <xm:f>สินค้าและสต็อก!$A$6:$A$307</xm:f>
          </x14:formula1>
          <xm:sqref>C6:C305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6442-A6B0-6B4E-B292-FA57AABA481A}">
  <sheetPr>
    <tabColor rgb="FFED7D31"/>
  </sheetPr>
  <dimension ref="A1:AJ305"/>
  <sheetViews>
    <sheetView showGridLines="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T6" sqref="T6"/>
    </sheetView>
  </sheetViews>
  <sheetFormatPr defaultColWidth="10.85546875" defaultRowHeight="15" x14ac:dyDescent="0.25"/>
  <cols>
    <col min="1" max="1" width="15.140625" customWidth="1"/>
    <col min="2" max="2" width="12.85546875" customWidth="1"/>
    <col min="3" max="3" width="18.7109375" customWidth="1"/>
    <col min="4" max="4" width="9.28515625" customWidth="1"/>
    <col min="5" max="5" width="10.42578125" customWidth="1"/>
    <col min="6" max="6" width="9.28515625" customWidth="1"/>
    <col min="7" max="8" width="11.7109375" customWidth="1"/>
    <col min="9" max="9" width="18.7109375" customWidth="1"/>
    <col min="10" max="10" width="25.7109375" customWidth="1"/>
    <col min="11" max="12" width="10.42578125" customWidth="1"/>
    <col min="13" max="14" width="12.85546875" customWidth="1"/>
    <col min="15" max="15" width="11.7109375" customWidth="1"/>
    <col min="16" max="16" width="8.140625" customWidth="1"/>
    <col min="17" max="17" width="11.85546875" customWidth="1"/>
    <col min="18" max="18" width="12.140625" customWidth="1"/>
    <col min="21" max="21" width="12.140625" customWidth="1"/>
    <col min="22" max="22" width="12.7109375" customWidth="1"/>
    <col min="23" max="23" width="16" customWidth="1"/>
    <col min="26" max="26" width="12.28515625" customWidth="1"/>
    <col min="27" max="27" width="17" customWidth="1"/>
    <col min="30" max="30" width="17.28515625" customWidth="1"/>
    <col min="32" max="33" width="16" customWidth="1"/>
  </cols>
  <sheetData>
    <row r="1" spans="1:36" ht="18" x14ac:dyDescent="0.25">
      <c r="A1" s="2" t="s">
        <v>475</v>
      </c>
    </row>
    <row r="2" spans="1:36" x14ac:dyDescent="0.25">
      <c r="A2" s="3" t="s">
        <v>476</v>
      </c>
    </row>
    <row r="5" spans="1:36" ht="33.950000000000003" customHeight="1" x14ac:dyDescent="0.25">
      <c r="A5" s="5" t="s">
        <v>453</v>
      </c>
      <c r="B5" s="5" t="s">
        <v>192</v>
      </c>
      <c r="C5" s="5" t="s">
        <v>2</v>
      </c>
      <c r="D5" s="5" t="s">
        <v>40</v>
      </c>
      <c r="E5" s="5" t="s">
        <v>41</v>
      </c>
      <c r="F5" s="5" t="s">
        <v>477</v>
      </c>
      <c r="G5" s="5" t="s">
        <v>478</v>
      </c>
      <c r="H5" s="5" t="s">
        <v>459</v>
      </c>
      <c r="I5" s="5" t="s">
        <v>59</v>
      </c>
      <c r="J5" s="29" t="s">
        <v>60</v>
      </c>
      <c r="K5" s="29" t="s">
        <v>479</v>
      </c>
      <c r="L5" s="29" t="s">
        <v>480</v>
      </c>
      <c r="M5" s="29" t="s">
        <v>481</v>
      </c>
      <c r="N5" s="29" t="s">
        <v>482</v>
      </c>
      <c r="O5" s="29" t="s">
        <v>483</v>
      </c>
      <c r="P5" s="29" t="s">
        <v>34</v>
      </c>
      <c r="Q5" s="28" t="s">
        <v>12</v>
      </c>
      <c r="R5" s="28" t="s">
        <v>14</v>
      </c>
      <c r="S5" s="28" t="s">
        <v>15</v>
      </c>
      <c r="T5" s="28" t="s">
        <v>16</v>
      </c>
      <c r="U5" s="28" t="s">
        <v>17</v>
      </c>
      <c r="V5" s="28" t="s">
        <v>18</v>
      </c>
      <c r="W5" s="28" t="s">
        <v>19</v>
      </c>
      <c r="X5" s="28" t="s">
        <v>20</v>
      </c>
      <c r="Y5" s="28" t="s">
        <v>22</v>
      </c>
      <c r="Z5" s="28" t="s">
        <v>23</v>
      </c>
      <c r="AA5" s="28" t="s">
        <v>24</v>
      </c>
      <c r="AB5" s="28" t="s">
        <v>25</v>
      </c>
      <c r="AC5" s="28" t="s">
        <v>26</v>
      </c>
      <c r="AD5" s="28" t="s">
        <v>167</v>
      </c>
      <c r="AE5" s="28" t="s">
        <v>28</v>
      </c>
      <c r="AF5" s="28" t="s">
        <v>602</v>
      </c>
      <c r="AG5" s="28" t="s">
        <v>824</v>
      </c>
      <c r="AH5" s="28" t="s">
        <v>350</v>
      </c>
      <c r="AI5" s="28" t="s">
        <v>1047</v>
      </c>
      <c r="AJ5" s="28" t="s">
        <v>351</v>
      </c>
    </row>
    <row r="6" spans="1:36" x14ac:dyDescent="0.25">
      <c r="A6" s="4" t="str">
        <f>IF(tblSales[[#This Row],[วันที่]]="","","S"&amp;TEXT(tblSales[[#This Row],[วันที่]],"yymmdd")&amp;"-"&amp;TEXT(ROW()-5,"000"))</f>
        <v/>
      </c>
      <c r="B6" s="16"/>
      <c r="C6" s="6"/>
      <c r="D6" s="6"/>
      <c r="E6" s="20"/>
      <c r="F6" s="6"/>
      <c r="G6" s="6"/>
      <c r="H6" s="6"/>
      <c r="I6" s="6"/>
      <c r="J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" s="8" t="str">
        <f>IF(tblSales[[#This Row],[Key]]="","",IFERROR(INDEX(ตารางรวม!$W:$W,MATCH(tblSales[[#This Row],[Key]],ตารางรวม!$Z:$Z,0)),"ไม่พบสูตร"))</f>
        <v/>
      </c>
      <c r="L6" s="8" t="str">
        <f>IF(tblSales[[#This Row],[Key]]="","",IFERROR(INDEX(ตารางรวม!$V:$V,MATCH(tblSales[[#This Row],[Key]],ตารางรวม!$Z:$Z,0)),"ไม่พบสูตร"))</f>
        <v/>
      </c>
      <c r="M6" s="8" t="str">
        <f>IF(tblSales[[#This Row],[Key]]="","",IFERROR(tblSales[[#This Row],[ราคาต่อแก้ว]]*tblSales[[#This Row],[จำนวนแก้ว]],""))</f>
        <v/>
      </c>
      <c r="N6" s="8" t="str">
        <f>IF(tblSales[[#This Row],[Key]]="","",IFERROR(tblSales[[#This Row],[ต้นทุนต่อแก้ว]]*tblSales[[#This Row],[จำนวนแก้ว]],""))</f>
        <v/>
      </c>
      <c r="O6" s="8" t="str">
        <f>IF(tblSales[[#This Row],[Key]]="","",IFERROR(tblSales[[#This Row],[ยอดขาย (บาท)]]-tblSales[[#This Row],[ต้นทุนรวม (บาท)]],""))</f>
        <v/>
      </c>
      <c r="P6" s="21" t="str">
        <f>IF(tblSales[[#This Row],[Key]]="","",IFERROR(tblSales[[#This Row],[กำไร (บาท)]]/tblSales[[#This Row],[ยอดขาย (บาท)]],""))</f>
        <v/>
      </c>
      <c r="Q6" s="10" t="str">
        <f>IF(tblSales[[#This Row],[Key]]="","",IFERROR(INDEX(ตารางรวม!$D:$D,MATCH(tblSales[[#This Row],[Key]],ตารางรวม!$Z:$Z,0))*tblSales[[#This Row],[จำนวนแก้ว]],0))</f>
        <v/>
      </c>
      <c r="R6" s="10" t="str">
        <f>IF(tblSales[[#This Row],[Key]]="","",IFERROR(INDEX(ตารางรวม!$E:$E,MATCH(tblSales[[#This Row],[Key]],ตารางรวม!$Z:$Z,0))*tblSales[[#This Row],[จำนวนแก้ว]],0))</f>
        <v/>
      </c>
      <c r="S6" s="10" t="str">
        <f>IF(tblSales[[#This Row],[Key]]="","",IFERROR(INDEX(ตารางรวม!$F:$F,MATCH(tblSales[[#This Row],[Key]],ตารางรวม!$Z:$Z,0))*tblSales[[#This Row],[จำนวนแก้ว]],0))</f>
        <v/>
      </c>
      <c r="T6" s="10" t="str">
        <f>IF(tblSales[[#This Row],[Key]]="","",IFERROR(INDEX(ตารางรวม!$G:$G,MATCH(tblSales[[#This Row],[Key]],ตารางรวม!$Z:$Z,0))*tblSales[[#This Row],[จำนวนแก้ว]],0))</f>
        <v/>
      </c>
      <c r="U6" s="10" t="str">
        <f>IF(tblSales[[#This Row],[Key]]="","",IFERROR(INDEX(ตารางรวม!$H:$H,MATCH(tblSales[[#This Row],[Key]],ตารางรวม!$Z:$Z,0))*tblSales[[#This Row],[จำนวนแก้ว]],0))</f>
        <v/>
      </c>
      <c r="V6" s="10" t="str">
        <f>IF(tblSales[[#This Row],[Key]]="","",IFERROR(INDEX(ตารางรวม!$I:$I,MATCH(tblSales[[#This Row],[Key]],ตารางรวม!$Z:$Z,0))*tblSales[[#This Row],[จำนวนแก้ว]],0))</f>
        <v/>
      </c>
      <c r="W6" s="10" t="str">
        <f>IF(tblSales[[#This Row],[Key]]="","",IFERROR(INDEX(ตารางรวม!$J:$J,MATCH(tblSales[[#This Row],[Key]],ตารางรวม!$Z:$Z,0))*tblSales[[#This Row],[จำนวนแก้ว]],0))</f>
        <v/>
      </c>
      <c r="X6" s="10" t="str">
        <f>IF(tblSales[[#This Row],[Key]]="","",IFERROR(INDEX(ตารางรวม!$K:$K,MATCH(tblSales[[#This Row],[Key]],ตารางรวม!$Z:$Z,0))*tblSales[[#This Row],[จำนวนแก้ว]],0))</f>
        <v/>
      </c>
      <c r="Y6" s="10" t="str">
        <f>IF(tblSales[[#This Row],[Key]]="","",IFERROR(INDEX(ตารางรวม!$L:$L,MATCH(tblSales[[#This Row],[Key]],ตารางรวม!$Z:$Z,0))*tblSales[[#This Row],[จำนวนแก้ว]],0))</f>
        <v/>
      </c>
      <c r="Z6" s="10" t="str">
        <f>IF(tblSales[[#This Row],[Key]]="","",IFERROR(INDEX(ตารางรวม!$M:$M,MATCH(tblSales[[#This Row],[Key]],ตารางรวม!$Z:$Z,0))*tblSales[[#This Row],[จำนวนแก้ว]],0))</f>
        <v/>
      </c>
      <c r="AA6" s="10" t="str">
        <f>IF(tblSales[[#This Row],[Key]]="","",IFERROR(INDEX(ตารางรวม!$N:$N,MATCH(tblSales[[#This Row],[Key]],ตารางรวม!$Z:$Z,0))*tblSales[[#This Row],[จำนวนแก้ว]],0))</f>
        <v/>
      </c>
      <c r="AB6" s="10" t="str">
        <f>IF(tblSales[[#This Row],[Key]]="","",IFERROR(INDEX(ตารางรวม!$O:$O,MATCH(tblSales[[#This Row],[Key]],ตารางรวม!$Z:$Z,0))*tblSales[[#This Row],[จำนวนแก้ว]],0))</f>
        <v/>
      </c>
      <c r="AC6" s="10" t="str">
        <f>IF(tblSales[[#This Row],[Key]]="","",IFERROR(INDEX(ตารางรวม!$P:$P,MATCH(tblSales[[#This Row],[Key]],ตารางรวม!$Z:$Z,0))*tblSales[[#This Row],[จำนวนแก้ว]],0))</f>
        <v/>
      </c>
      <c r="AD6" s="10" t="str">
        <f>IF(tblSales[[#This Row],[Key]]="","",IFERROR(INDEX(ตารางรวม!$Q:$Q,MATCH(tblSales[[#This Row],[Key]],ตารางรวม!$Z:$Z,0))*tblSales[[#This Row],[จำนวนแก้ว]],0))</f>
        <v/>
      </c>
      <c r="AE6" s="10" t="str">
        <f>IF(tblSales[[#This Row],[Key]]="","",IFERROR(INDEX(ตารางรวม!$R:$R,MATCH(tblSales[[#This Row],[Key]],ตารางรวม!$Z:$Z,0))*tblSales[[#This Row],[จำนวนแก้ว]],0))</f>
        <v/>
      </c>
      <c r="AF6" s="10" t="str">
        <f>IF(tblSales[[#This Row],[Key]]="","",IFERROR(INDEX(ตารางรวม!$S:$S,MATCH(tblSales[[#This Row],[Key]],ตารางรวม!$Z:$Z,0))*tblSales[[#This Row],[จำนวนแก้ว]],0))</f>
        <v/>
      </c>
      <c r="AG6" s="10" t="str">
        <f>IF(tblSales[[#This Row],[Key]]="","",IFERROR(INDEX(ตารางรวม!$T:$T,MATCH(tblSales[[#This Row],[Key]],ตารางรวม!$Z:$Z,0))*tblSales[[#This Row],[จำนวนแก้ว]],0))</f>
        <v/>
      </c>
      <c r="AH6" s="10" t="str">
        <f>IF(tblSales[[#This Row],[Key]]="","",IF(tblSales[[#This Row],[ขนาด]]="16 oz",tblSales[[#This Row],[จำนวนแก้ว]],0))</f>
        <v/>
      </c>
      <c r="AI6" s="10" t="str">
        <f>IF(tblSales[[#This Row],[Key]]="","",IF(tblSales[[#This Row],[ขนาด]]="20 oz",tblSales[[#This Row],[จำนวนแก้ว]],0))</f>
        <v/>
      </c>
      <c r="AJ6" s="10" t="str">
        <f>IF(tblSales[[#This Row],[Key]]="","",IF(tblSales[[#This Row],[ขนาด]]="22 oz",tblSales[[#This Row],[จำนวนแก้ว]],0))</f>
        <v/>
      </c>
    </row>
    <row r="7" spans="1:36" x14ac:dyDescent="0.25">
      <c r="A7" s="4" t="str">
        <f>IF(tblSales[[#This Row],[วันที่]]="","","S"&amp;TEXT(tblSales[[#This Row],[วันที่]],"yymmdd")&amp;"-"&amp;TEXT(ROW()-5,"000"))</f>
        <v/>
      </c>
      <c r="B7" s="16"/>
      <c r="C7" s="6"/>
      <c r="D7" s="6"/>
      <c r="E7" s="20"/>
      <c r="F7" s="6"/>
      <c r="G7" s="6"/>
      <c r="H7" s="6"/>
      <c r="I7" s="6"/>
      <c r="J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" s="8" t="str">
        <f>IF(tblSales[[#This Row],[Key]]="","",IFERROR(INDEX(ตารางรวม!$W:$W,MATCH(tblSales[[#This Row],[Key]],ตารางรวม!$Z:$Z,0)),"ไม่พบสูตร"))</f>
        <v/>
      </c>
      <c r="L7" s="8" t="str">
        <f>IF(tblSales[[#This Row],[Key]]="","",IFERROR(INDEX(ตารางรวม!$V:$V,MATCH(tblSales[[#This Row],[Key]],ตารางรวม!$Z:$Z,0)),"ไม่พบสูตร"))</f>
        <v/>
      </c>
      <c r="M7" s="8" t="str">
        <f>IF(tblSales[[#This Row],[Key]]="","",IFERROR(tblSales[[#This Row],[ราคาต่อแก้ว]]*tblSales[[#This Row],[จำนวนแก้ว]],""))</f>
        <v/>
      </c>
      <c r="N7" s="8" t="str">
        <f>IF(tblSales[[#This Row],[Key]]="","",IFERROR(tblSales[[#This Row],[ต้นทุนต่อแก้ว]]*tblSales[[#This Row],[จำนวนแก้ว]],""))</f>
        <v/>
      </c>
      <c r="O7" s="8" t="str">
        <f>IF(tblSales[[#This Row],[Key]]="","",IFERROR(tblSales[[#This Row],[ยอดขาย (บาท)]]-tblSales[[#This Row],[ต้นทุนรวม (บาท)]],""))</f>
        <v/>
      </c>
      <c r="P7" s="21" t="str">
        <f>IF(tblSales[[#This Row],[Key]]="","",IFERROR(tblSales[[#This Row],[กำไร (บาท)]]/tblSales[[#This Row],[ยอดขาย (บาท)]],""))</f>
        <v/>
      </c>
      <c r="Q7" s="10" t="str">
        <f>IF(tblSales[[#This Row],[Key]]="","",IFERROR(INDEX(ตารางรวม!$D:$D,MATCH(tblSales[[#This Row],[Key]],ตารางรวม!$Z:$Z,0))*tblSales[[#This Row],[จำนวนแก้ว]],0))</f>
        <v/>
      </c>
      <c r="R7" s="10" t="str">
        <f>IF(tblSales[[#This Row],[Key]]="","",IFERROR(INDEX(ตารางรวม!$E:$E,MATCH(tblSales[[#This Row],[Key]],ตารางรวม!$Z:$Z,0))*tblSales[[#This Row],[จำนวนแก้ว]],0))</f>
        <v/>
      </c>
      <c r="S7" s="10" t="str">
        <f>IF(tblSales[[#This Row],[Key]]="","",IFERROR(INDEX(ตารางรวม!$F:$F,MATCH(tblSales[[#This Row],[Key]],ตารางรวม!$Z:$Z,0))*tblSales[[#This Row],[จำนวนแก้ว]],0))</f>
        <v/>
      </c>
      <c r="T7" s="10" t="str">
        <f>IF(tblSales[[#This Row],[Key]]="","",IFERROR(INDEX(ตารางรวม!$G:$G,MATCH(tblSales[[#This Row],[Key]],ตารางรวม!$Z:$Z,0))*tblSales[[#This Row],[จำนวนแก้ว]],0))</f>
        <v/>
      </c>
      <c r="U7" s="10" t="str">
        <f>IF(tblSales[[#This Row],[Key]]="","",IFERROR(INDEX(ตารางรวม!$H:$H,MATCH(tblSales[[#This Row],[Key]],ตารางรวม!$Z:$Z,0))*tblSales[[#This Row],[จำนวนแก้ว]],0))</f>
        <v/>
      </c>
      <c r="V7" s="10" t="str">
        <f>IF(tblSales[[#This Row],[Key]]="","",IFERROR(INDEX(ตารางรวม!$I:$I,MATCH(tblSales[[#This Row],[Key]],ตารางรวม!$Z:$Z,0))*tblSales[[#This Row],[จำนวนแก้ว]],0))</f>
        <v/>
      </c>
      <c r="W7" s="10" t="str">
        <f>IF(tblSales[[#This Row],[Key]]="","",IFERROR(INDEX(ตารางรวม!$J:$J,MATCH(tblSales[[#This Row],[Key]],ตารางรวม!$Z:$Z,0))*tblSales[[#This Row],[จำนวนแก้ว]],0))</f>
        <v/>
      </c>
      <c r="X7" s="10" t="str">
        <f>IF(tblSales[[#This Row],[Key]]="","",IFERROR(INDEX(ตารางรวม!$K:$K,MATCH(tblSales[[#This Row],[Key]],ตารางรวม!$Z:$Z,0))*tblSales[[#This Row],[จำนวนแก้ว]],0))</f>
        <v/>
      </c>
      <c r="Y7" s="10" t="str">
        <f>IF(tblSales[[#This Row],[Key]]="","",IFERROR(INDEX(ตารางรวม!$L:$L,MATCH(tblSales[[#This Row],[Key]],ตารางรวม!$Z:$Z,0))*tblSales[[#This Row],[จำนวนแก้ว]],0))</f>
        <v/>
      </c>
      <c r="Z7" s="10" t="str">
        <f>IF(tblSales[[#This Row],[Key]]="","",IFERROR(INDEX(ตารางรวม!$M:$M,MATCH(tblSales[[#This Row],[Key]],ตารางรวม!$Z:$Z,0))*tblSales[[#This Row],[จำนวนแก้ว]],0))</f>
        <v/>
      </c>
      <c r="AA7" s="10" t="str">
        <f>IF(tblSales[[#This Row],[Key]]="","",IFERROR(INDEX(ตารางรวม!$N:$N,MATCH(tblSales[[#This Row],[Key]],ตารางรวม!$Z:$Z,0))*tblSales[[#This Row],[จำนวนแก้ว]],0))</f>
        <v/>
      </c>
      <c r="AB7" s="10" t="str">
        <f>IF(tblSales[[#This Row],[Key]]="","",IFERROR(INDEX(ตารางรวม!$O:$O,MATCH(tblSales[[#This Row],[Key]],ตารางรวม!$Z:$Z,0))*tblSales[[#This Row],[จำนวนแก้ว]],0))</f>
        <v/>
      </c>
      <c r="AC7" s="10" t="str">
        <f>IF(tblSales[[#This Row],[Key]]="","",IFERROR(INDEX(ตารางรวม!$P:$P,MATCH(tblSales[[#This Row],[Key]],ตารางรวม!$Z:$Z,0))*tblSales[[#This Row],[จำนวนแก้ว]],0))</f>
        <v/>
      </c>
      <c r="AD7" s="10" t="str">
        <f>IF(tblSales[[#This Row],[Key]]="","",IFERROR(INDEX(ตารางรวม!$Q:$Q,MATCH(tblSales[[#This Row],[Key]],ตารางรวม!$Z:$Z,0))*tblSales[[#This Row],[จำนวนแก้ว]],0))</f>
        <v/>
      </c>
      <c r="AE7" s="10" t="str">
        <f>IF(tblSales[[#This Row],[Key]]="","",IFERROR(INDEX(ตารางรวม!$R:$R,MATCH(tblSales[[#This Row],[Key]],ตารางรวม!$Z:$Z,0))*tblSales[[#This Row],[จำนวนแก้ว]],0))</f>
        <v/>
      </c>
      <c r="AF7" s="10" t="str">
        <f>IF(tblSales[[#This Row],[Key]]="","",IFERROR(INDEX(ตารางรวม!$S:$S,MATCH(tblSales[[#This Row],[Key]],ตารางรวม!$Z:$Z,0))*tblSales[[#This Row],[จำนวนแก้ว]],0))</f>
        <v/>
      </c>
      <c r="AG7" s="10" t="str">
        <f>IF(tblSales[[#This Row],[Key]]="","",IFERROR(INDEX(ตารางรวม!$T:$T,MATCH(tblSales[[#This Row],[Key]],ตารางรวม!$Z:$Z,0))*tblSales[[#This Row],[จำนวนแก้ว]],0))</f>
        <v/>
      </c>
      <c r="AH7" s="10" t="str">
        <f>IF(tblSales[[#This Row],[Key]]="","",IF(tblSales[[#This Row],[ขนาด]]="16 oz",tblSales[[#This Row],[จำนวนแก้ว]],0))</f>
        <v/>
      </c>
      <c r="AI7" s="10" t="str">
        <f>IF(tblSales[[#This Row],[Key]]="","",IF(tblSales[[#This Row],[ขนาด]]="20 oz",tblSales[[#This Row],[จำนวนแก้ว]],0))</f>
        <v/>
      </c>
      <c r="AJ7" s="10" t="str">
        <f>IF(tblSales[[#This Row],[Key]]="","",IF(tblSales[[#This Row],[ขนาด]]="22 oz",tblSales[[#This Row],[จำนวนแก้ว]],0))</f>
        <v/>
      </c>
    </row>
    <row r="8" spans="1:36" x14ac:dyDescent="0.25">
      <c r="A8" s="4" t="str">
        <f>IF(tblSales[[#This Row],[วันที่]]="","","S"&amp;TEXT(tblSales[[#This Row],[วันที่]],"yymmdd")&amp;"-"&amp;TEXT(ROW()-5,"000"))</f>
        <v/>
      </c>
      <c r="B8" s="16"/>
      <c r="C8" s="6"/>
      <c r="D8" s="6"/>
      <c r="E8" s="20"/>
      <c r="F8" s="6"/>
      <c r="G8" s="6"/>
      <c r="H8" s="6"/>
      <c r="I8" s="6"/>
      <c r="J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" s="8" t="str">
        <f>IF(tblSales[[#This Row],[Key]]="","",IFERROR(INDEX(ตารางรวม!$W:$W,MATCH(tblSales[[#This Row],[Key]],ตารางรวม!$Z:$Z,0)),"ไม่พบสูตร"))</f>
        <v/>
      </c>
      <c r="L8" s="8" t="str">
        <f>IF(tblSales[[#This Row],[Key]]="","",IFERROR(INDEX(ตารางรวม!$V:$V,MATCH(tblSales[[#This Row],[Key]],ตารางรวม!$Z:$Z,0)),"ไม่พบสูตร"))</f>
        <v/>
      </c>
      <c r="M8" s="8" t="str">
        <f>IF(tblSales[[#This Row],[Key]]="","",IFERROR(tblSales[[#This Row],[ราคาต่อแก้ว]]*tblSales[[#This Row],[จำนวนแก้ว]],""))</f>
        <v/>
      </c>
      <c r="N8" s="8" t="str">
        <f>IF(tblSales[[#This Row],[Key]]="","",IFERROR(tblSales[[#This Row],[ต้นทุนต่อแก้ว]]*tblSales[[#This Row],[จำนวนแก้ว]],""))</f>
        <v/>
      </c>
      <c r="O8" s="8" t="str">
        <f>IF(tblSales[[#This Row],[Key]]="","",IFERROR(tblSales[[#This Row],[ยอดขาย (บาท)]]-tblSales[[#This Row],[ต้นทุนรวม (บาท)]],""))</f>
        <v/>
      </c>
      <c r="P8" s="21" t="str">
        <f>IF(tblSales[[#This Row],[Key]]="","",IFERROR(tblSales[[#This Row],[กำไร (บาท)]]/tblSales[[#This Row],[ยอดขาย (บาท)]],""))</f>
        <v/>
      </c>
      <c r="Q8" s="10" t="str">
        <f>IF(tblSales[[#This Row],[Key]]="","",IFERROR(INDEX(ตารางรวม!$D:$D,MATCH(tblSales[[#This Row],[Key]],ตารางรวม!$Z:$Z,0))*tblSales[[#This Row],[จำนวนแก้ว]],0))</f>
        <v/>
      </c>
      <c r="R8" s="10" t="str">
        <f>IF(tblSales[[#This Row],[Key]]="","",IFERROR(INDEX(ตารางรวม!$E:$E,MATCH(tblSales[[#This Row],[Key]],ตารางรวม!$Z:$Z,0))*tblSales[[#This Row],[จำนวนแก้ว]],0))</f>
        <v/>
      </c>
      <c r="S8" s="10" t="str">
        <f>IF(tblSales[[#This Row],[Key]]="","",IFERROR(INDEX(ตารางรวม!$F:$F,MATCH(tblSales[[#This Row],[Key]],ตารางรวม!$Z:$Z,0))*tblSales[[#This Row],[จำนวนแก้ว]],0))</f>
        <v/>
      </c>
      <c r="T8" s="10" t="str">
        <f>IF(tblSales[[#This Row],[Key]]="","",IFERROR(INDEX(ตารางรวม!$G:$G,MATCH(tblSales[[#This Row],[Key]],ตารางรวม!$Z:$Z,0))*tblSales[[#This Row],[จำนวนแก้ว]],0))</f>
        <v/>
      </c>
      <c r="U8" s="10" t="str">
        <f>IF(tblSales[[#This Row],[Key]]="","",IFERROR(INDEX(ตารางรวม!$H:$H,MATCH(tblSales[[#This Row],[Key]],ตารางรวม!$Z:$Z,0))*tblSales[[#This Row],[จำนวนแก้ว]],0))</f>
        <v/>
      </c>
      <c r="V8" s="10" t="str">
        <f>IF(tblSales[[#This Row],[Key]]="","",IFERROR(INDEX(ตารางรวม!$I:$I,MATCH(tblSales[[#This Row],[Key]],ตารางรวม!$Z:$Z,0))*tblSales[[#This Row],[จำนวนแก้ว]],0))</f>
        <v/>
      </c>
      <c r="W8" s="10" t="str">
        <f>IF(tblSales[[#This Row],[Key]]="","",IFERROR(INDEX(ตารางรวม!$J:$J,MATCH(tblSales[[#This Row],[Key]],ตารางรวม!$Z:$Z,0))*tblSales[[#This Row],[จำนวนแก้ว]],0))</f>
        <v/>
      </c>
      <c r="X8" s="10" t="str">
        <f>IF(tblSales[[#This Row],[Key]]="","",IFERROR(INDEX(ตารางรวม!$K:$K,MATCH(tblSales[[#This Row],[Key]],ตารางรวม!$Z:$Z,0))*tblSales[[#This Row],[จำนวนแก้ว]],0))</f>
        <v/>
      </c>
      <c r="Y8" s="10" t="str">
        <f>IF(tblSales[[#This Row],[Key]]="","",IFERROR(INDEX(ตารางรวม!$L:$L,MATCH(tblSales[[#This Row],[Key]],ตารางรวม!$Z:$Z,0))*tblSales[[#This Row],[จำนวนแก้ว]],0))</f>
        <v/>
      </c>
      <c r="Z8" s="10" t="str">
        <f>IF(tblSales[[#This Row],[Key]]="","",IFERROR(INDEX(ตารางรวม!$M:$M,MATCH(tblSales[[#This Row],[Key]],ตารางรวม!$Z:$Z,0))*tblSales[[#This Row],[จำนวนแก้ว]],0))</f>
        <v/>
      </c>
      <c r="AA8" s="10" t="str">
        <f>IF(tblSales[[#This Row],[Key]]="","",IFERROR(INDEX(ตารางรวม!$N:$N,MATCH(tblSales[[#This Row],[Key]],ตารางรวม!$Z:$Z,0))*tblSales[[#This Row],[จำนวนแก้ว]],0))</f>
        <v/>
      </c>
      <c r="AB8" s="10" t="str">
        <f>IF(tblSales[[#This Row],[Key]]="","",IFERROR(INDEX(ตารางรวม!$O:$O,MATCH(tblSales[[#This Row],[Key]],ตารางรวม!$Z:$Z,0))*tblSales[[#This Row],[จำนวนแก้ว]],0))</f>
        <v/>
      </c>
      <c r="AC8" s="10" t="str">
        <f>IF(tblSales[[#This Row],[Key]]="","",IFERROR(INDEX(ตารางรวม!$P:$P,MATCH(tblSales[[#This Row],[Key]],ตารางรวม!$Z:$Z,0))*tblSales[[#This Row],[จำนวนแก้ว]],0))</f>
        <v/>
      </c>
      <c r="AD8" s="10" t="str">
        <f>IF(tblSales[[#This Row],[Key]]="","",IFERROR(INDEX(ตารางรวม!$Q:$Q,MATCH(tblSales[[#This Row],[Key]],ตารางรวม!$Z:$Z,0))*tblSales[[#This Row],[จำนวนแก้ว]],0))</f>
        <v/>
      </c>
      <c r="AE8" s="10" t="str">
        <f>IF(tblSales[[#This Row],[Key]]="","",IFERROR(INDEX(ตารางรวม!$R:$R,MATCH(tblSales[[#This Row],[Key]],ตารางรวม!$Z:$Z,0))*tblSales[[#This Row],[จำนวนแก้ว]],0))</f>
        <v/>
      </c>
      <c r="AF8" s="10" t="str">
        <f>IF(tblSales[[#This Row],[Key]]="","",IFERROR(INDEX(ตารางรวม!$S:$S,MATCH(tblSales[[#This Row],[Key]],ตารางรวม!$Z:$Z,0))*tblSales[[#This Row],[จำนวนแก้ว]],0))</f>
        <v/>
      </c>
      <c r="AG8" s="10" t="str">
        <f>IF(tblSales[[#This Row],[Key]]="","",IFERROR(INDEX(ตารางรวม!$T:$T,MATCH(tblSales[[#This Row],[Key]],ตารางรวม!$Z:$Z,0))*tblSales[[#This Row],[จำนวนแก้ว]],0))</f>
        <v/>
      </c>
      <c r="AH8" s="10" t="str">
        <f>IF(tblSales[[#This Row],[Key]]="","",IF(tblSales[[#This Row],[ขนาด]]="16 oz",tblSales[[#This Row],[จำนวนแก้ว]],0))</f>
        <v/>
      </c>
      <c r="AI8" s="10" t="str">
        <f>IF(tblSales[[#This Row],[Key]]="","",IF(tblSales[[#This Row],[ขนาด]]="20 oz",tblSales[[#This Row],[จำนวนแก้ว]],0))</f>
        <v/>
      </c>
      <c r="AJ8" s="10" t="str">
        <f>IF(tblSales[[#This Row],[Key]]="","",IF(tblSales[[#This Row],[ขนาด]]="22 oz",tblSales[[#This Row],[จำนวนแก้ว]],0))</f>
        <v/>
      </c>
    </row>
    <row r="9" spans="1:36" x14ac:dyDescent="0.25">
      <c r="A9" s="4" t="str">
        <f>IF(tblSales[[#This Row],[วันที่]]="","","S"&amp;TEXT(tblSales[[#This Row],[วันที่]],"yymmdd")&amp;"-"&amp;TEXT(ROW()-5,"000"))</f>
        <v/>
      </c>
      <c r="B9" s="16"/>
      <c r="C9" s="6"/>
      <c r="D9" s="6"/>
      <c r="E9" s="20"/>
      <c r="F9" s="6"/>
      <c r="G9" s="6"/>
      <c r="H9" s="6"/>
      <c r="I9" s="6"/>
      <c r="J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" s="8" t="str">
        <f>IF(tblSales[[#This Row],[Key]]="","",IFERROR(INDEX(ตารางรวม!$W:$W,MATCH(tblSales[[#This Row],[Key]],ตารางรวม!$Z:$Z,0)),"ไม่พบสูตร"))</f>
        <v/>
      </c>
      <c r="L9" s="8" t="str">
        <f>IF(tblSales[[#This Row],[Key]]="","",IFERROR(INDEX(ตารางรวม!$V:$V,MATCH(tblSales[[#This Row],[Key]],ตารางรวม!$Z:$Z,0)),"ไม่พบสูตร"))</f>
        <v/>
      </c>
      <c r="M9" s="8" t="str">
        <f>IF(tblSales[[#This Row],[Key]]="","",IFERROR(tblSales[[#This Row],[ราคาต่อแก้ว]]*tblSales[[#This Row],[จำนวนแก้ว]],""))</f>
        <v/>
      </c>
      <c r="N9" s="8" t="str">
        <f>IF(tblSales[[#This Row],[Key]]="","",IFERROR(tblSales[[#This Row],[ต้นทุนต่อแก้ว]]*tblSales[[#This Row],[จำนวนแก้ว]],""))</f>
        <v/>
      </c>
      <c r="O9" s="8" t="str">
        <f>IF(tblSales[[#This Row],[Key]]="","",IFERROR(tblSales[[#This Row],[ยอดขาย (บาท)]]-tblSales[[#This Row],[ต้นทุนรวม (บาท)]],""))</f>
        <v/>
      </c>
      <c r="P9" s="21" t="str">
        <f>IF(tblSales[[#This Row],[Key]]="","",IFERROR(tblSales[[#This Row],[กำไร (บาท)]]/tblSales[[#This Row],[ยอดขาย (บาท)]],""))</f>
        <v/>
      </c>
      <c r="Q9" s="10" t="str">
        <f>IF(tblSales[[#This Row],[Key]]="","",IFERROR(INDEX(ตารางรวม!$D:$D,MATCH(tblSales[[#This Row],[Key]],ตารางรวม!$Z:$Z,0))*tblSales[[#This Row],[จำนวนแก้ว]],0))</f>
        <v/>
      </c>
      <c r="R9" s="10" t="str">
        <f>IF(tblSales[[#This Row],[Key]]="","",IFERROR(INDEX(ตารางรวม!$E:$E,MATCH(tblSales[[#This Row],[Key]],ตารางรวม!$Z:$Z,0))*tblSales[[#This Row],[จำนวนแก้ว]],0))</f>
        <v/>
      </c>
      <c r="S9" s="10" t="str">
        <f>IF(tblSales[[#This Row],[Key]]="","",IFERROR(INDEX(ตารางรวม!$F:$F,MATCH(tblSales[[#This Row],[Key]],ตารางรวม!$Z:$Z,0))*tblSales[[#This Row],[จำนวนแก้ว]],0))</f>
        <v/>
      </c>
      <c r="T9" s="10" t="str">
        <f>IF(tblSales[[#This Row],[Key]]="","",IFERROR(INDEX(ตารางรวม!$G:$G,MATCH(tblSales[[#This Row],[Key]],ตารางรวม!$Z:$Z,0))*tblSales[[#This Row],[จำนวนแก้ว]],0))</f>
        <v/>
      </c>
      <c r="U9" s="10" t="str">
        <f>IF(tblSales[[#This Row],[Key]]="","",IFERROR(INDEX(ตารางรวม!$H:$H,MATCH(tblSales[[#This Row],[Key]],ตารางรวม!$Z:$Z,0))*tblSales[[#This Row],[จำนวนแก้ว]],0))</f>
        <v/>
      </c>
      <c r="V9" s="10" t="str">
        <f>IF(tblSales[[#This Row],[Key]]="","",IFERROR(INDEX(ตารางรวม!$I:$I,MATCH(tblSales[[#This Row],[Key]],ตารางรวม!$Z:$Z,0))*tblSales[[#This Row],[จำนวนแก้ว]],0))</f>
        <v/>
      </c>
      <c r="W9" s="10" t="str">
        <f>IF(tblSales[[#This Row],[Key]]="","",IFERROR(INDEX(ตารางรวม!$J:$J,MATCH(tblSales[[#This Row],[Key]],ตารางรวม!$Z:$Z,0))*tblSales[[#This Row],[จำนวนแก้ว]],0))</f>
        <v/>
      </c>
      <c r="X9" s="10" t="str">
        <f>IF(tblSales[[#This Row],[Key]]="","",IFERROR(INDEX(ตารางรวม!$K:$K,MATCH(tblSales[[#This Row],[Key]],ตารางรวม!$Z:$Z,0))*tblSales[[#This Row],[จำนวนแก้ว]],0))</f>
        <v/>
      </c>
      <c r="Y9" s="10" t="str">
        <f>IF(tblSales[[#This Row],[Key]]="","",IFERROR(INDEX(ตารางรวม!$L:$L,MATCH(tblSales[[#This Row],[Key]],ตารางรวม!$Z:$Z,0))*tblSales[[#This Row],[จำนวนแก้ว]],0))</f>
        <v/>
      </c>
      <c r="Z9" s="10" t="str">
        <f>IF(tblSales[[#This Row],[Key]]="","",IFERROR(INDEX(ตารางรวม!$M:$M,MATCH(tblSales[[#This Row],[Key]],ตารางรวม!$Z:$Z,0))*tblSales[[#This Row],[จำนวนแก้ว]],0))</f>
        <v/>
      </c>
      <c r="AA9" s="10" t="str">
        <f>IF(tblSales[[#This Row],[Key]]="","",IFERROR(INDEX(ตารางรวม!$N:$N,MATCH(tblSales[[#This Row],[Key]],ตารางรวม!$Z:$Z,0))*tblSales[[#This Row],[จำนวนแก้ว]],0))</f>
        <v/>
      </c>
      <c r="AB9" s="10" t="str">
        <f>IF(tblSales[[#This Row],[Key]]="","",IFERROR(INDEX(ตารางรวม!$O:$O,MATCH(tblSales[[#This Row],[Key]],ตารางรวม!$Z:$Z,0))*tblSales[[#This Row],[จำนวนแก้ว]],0))</f>
        <v/>
      </c>
      <c r="AC9" s="10" t="str">
        <f>IF(tblSales[[#This Row],[Key]]="","",IFERROR(INDEX(ตารางรวม!$P:$P,MATCH(tblSales[[#This Row],[Key]],ตารางรวม!$Z:$Z,0))*tblSales[[#This Row],[จำนวนแก้ว]],0))</f>
        <v/>
      </c>
      <c r="AD9" s="10" t="str">
        <f>IF(tblSales[[#This Row],[Key]]="","",IFERROR(INDEX(ตารางรวม!$Q:$Q,MATCH(tblSales[[#This Row],[Key]],ตารางรวม!$Z:$Z,0))*tblSales[[#This Row],[จำนวนแก้ว]],0))</f>
        <v/>
      </c>
      <c r="AE9" s="10" t="str">
        <f>IF(tblSales[[#This Row],[Key]]="","",IFERROR(INDEX(ตารางรวม!$R:$R,MATCH(tblSales[[#This Row],[Key]],ตารางรวม!$Z:$Z,0))*tblSales[[#This Row],[จำนวนแก้ว]],0))</f>
        <v/>
      </c>
      <c r="AF9" s="10" t="str">
        <f>IF(tblSales[[#This Row],[Key]]="","",IFERROR(INDEX(ตารางรวม!$S:$S,MATCH(tblSales[[#This Row],[Key]],ตารางรวม!$Z:$Z,0))*tblSales[[#This Row],[จำนวนแก้ว]],0))</f>
        <v/>
      </c>
      <c r="AG9" s="10" t="str">
        <f>IF(tblSales[[#This Row],[Key]]="","",IFERROR(INDEX(ตารางรวม!$T:$T,MATCH(tblSales[[#This Row],[Key]],ตารางรวม!$Z:$Z,0))*tblSales[[#This Row],[จำนวนแก้ว]],0))</f>
        <v/>
      </c>
      <c r="AH9" s="10" t="str">
        <f>IF(tblSales[[#This Row],[Key]]="","",IF(tblSales[[#This Row],[ขนาด]]="16 oz",tblSales[[#This Row],[จำนวนแก้ว]],0))</f>
        <v/>
      </c>
      <c r="AI9" s="10" t="str">
        <f>IF(tblSales[[#This Row],[Key]]="","",IF(tblSales[[#This Row],[ขนาด]]="20 oz",tblSales[[#This Row],[จำนวนแก้ว]],0))</f>
        <v/>
      </c>
      <c r="AJ9" s="10" t="str">
        <f>IF(tblSales[[#This Row],[Key]]="","",IF(tblSales[[#This Row],[ขนาด]]="22 oz",tblSales[[#This Row],[จำนวนแก้ว]],0))</f>
        <v/>
      </c>
    </row>
    <row r="10" spans="1:36" x14ac:dyDescent="0.25">
      <c r="A10" s="4" t="str">
        <f>IF(tblSales[[#This Row],[วันที่]]="","","S"&amp;TEXT(tblSales[[#This Row],[วันที่]],"yymmdd")&amp;"-"&amp;TEXT(ROW()-5,"000"))</f>
        <v/>
      </c>
      <c r="B10" s="16"/>
      <c r="C10" s="6"/>
      <c r="D10" s="6"/>
      <c r="E10" s="20"/>
      <c r="F10" s="6"/>
      <c r="G10" s="6"/>
      <c r="H10" s="6"/>
      <c r="I10" s="6"/>
      <c r="J1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" s="8" t="str">
        <f>IF(tblSales[[#This Row],[Key]]="","",IFERROR(INDEX(ตารางรวม!$W:$W,MATCH(tblSales[[#This Row],[Key]],ตารางรวม!$Z:$Z,0)),"ไม่พบสูตร"))</f>
        <v/>
      </c>
      <c r="L10" s="8" t="str">
        <f>IF(tblSales[[#This Row],[Key]]="","",IFERROR(INDEX(ตารางรวม!$V:$V,MATCH(tblSales[[#This Row],[Key]],ตารางรวม!$Z:$Z,0)),"ไม่พบสูตร"))</f>
        <v/>
      </c>
      <c r="M10" s="8" t="str">
        <f>IF(tblSales[[#This Row],[Key]]="","",IFERROR(tblSales[[#This Row],[ราคาต่อแก้ว]]*tblSales[[#This Row],[จำนวนแก้ว]],""))</f>
        <v/>
      </c>
      <c r="N10" s="8" t="str">
        <f>IF(tblSales[[#This Row],[Key]]="","",IFERROR(tblSales[[#This Row],[ต้นทุนต่อแก้ว]]*tblSales[[#This Row],[จำนวนแก้ว]],""))</f>
        <v/>
      </c>
      <c r="O10" s="8" t="str">
        <f>IF(tblSales[[#This Row],[Key]]="","",IFERROR(tblSales[[#This Row],[ยอดขาย (บาท)]]-tblSales[[#This Row],[ต้นทุนรวม (บาท)]],""))</f>
        <v/>
      </c>
      <c r="P10" s="21" t="str">
        <f>IF(tblSales[[#This Row],[Key]]="","",IFERROR(tblSales[[#This Row],[กำไร (บาท)]]/tblSales[[#This Row],[ยอดขาย (บาท)]],""))</f>
        <v/>
      </c>
      <c r="Q10" s="10" t="str">
        <f>IF(tblSales[[#This Row],[Key]]="","",IFERROR(INDEX(ตารางรวม!$D:$D,MATCH(tblSales[[#This Row],[Key]],ตารางรวม!$Z:$Z,0))*tblSales[[#This Row],[จำนวนแก้ว]],0))</f>
        <v/>
      </c>
      <c r="R10" s="10" t="str">
        <f>IF(tblSales[[#This Row],[Key]]="","",IFERROR(INDEX(ตารางรวม!$E:$E,MATCH(tblSales[[#This Row],[Key]],ตารางรวม!$Z:$Z,0))*tblSales[[#This Row],[จำนวนแก้ว]],0))</f>
        <v/>
      </c>
      <c r="S10" s="10" t="str">
        <f>IF(tblSales[[#This Row],[Key]]="","",IFERROR(INDEX(ตารางรวม!$F:$F,MATCH(tblSales[[#This Row],[Key]],ตารางรวม!$Z:$Z,0))*tblSales[[#This Row],[จำนวนแก้ว]],0))</f>
        <v/>
      </c>
      <c r="T10" s="10" t="str">
        <f>IF(tblSales[[#This Row],[Key]]="","",IFERROR(INDEX(ตารางรวม!$G:$G,MATCH(tblSales[[#This Row],[Key]],ตารางรวม!$Z:$Z,0))*tblSales[[#This Row],[จำนวนแก้ว]],0))</f>
        <v/>
      </c>
      <c r="U10" s="10" t="str">
        <f>IF(tblSales[[#This Row],[Key]]="","",IFERROR(INDEX(ตารางรวม!$H:$H,MATCH(tblSales[[#This Row],[Key]],ตารางรวม!$Z:$Z,0))*tblSales[[#This Row],[จำนวนแก้ว]],0))</f>
        <v/>
      </c>
      <c r="V10" s="10" t="str">
        <f>IF(tblSales[[#This Row],[Key]]="","",IFERROR(INDEX(ตารางรวม!$I:$I,MATCH(tblSales[[#This Row],[Key]],ตารางรวม!$Z:$Z,0))*tblSales[[#This Row],[จำนวนแก้ว]],0))</f>
        <v/>
      </c>
      <c r="W10" s="10" t="str">
        <f>IF(tblSales[[#This Row],[Key]]="","",IFERROR(INDEX(ตารางรวม!$J:$J,MATCH(tblSales[[#This Row],[Key]],ตารางรวม!$Z:$Z,0))*tblSales[[#This Row],[จำนวนแก้ว]],0))</f>
        <v/>
      </c>
      <c r="X10" s="10" t="str">
        <f>IF(tblSales[[#This Row],[Key]]="","",IFERROR(INDEX(ตารางรวม!$K:$K,MATCH(tblSales[[#This Row],[Key]],ตารางรวม!$Z:$Z,0))*tblSales[[#This Row],[จำนวนแก้ว]],0))</f>
        <v/>
      </c>
      <c r="Y10" s="10" t="str">
        <f>IF(tblSales[[#This Row],[Key]]="","",IFERROR(INDEX(ตารางรวม!$L:$L,MATCH(tblSales[[#This Row],[Key]],ตารางรวม!$Z:$Z,0))*tblSales[[#This Row],[จำนวนแก้ว]],0))</f>
        <v/>
      </c>
      <c r="Z1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" s="10" t="str">
        <f>IF(tblSales[[#This Row],[Key]]="","",IF(tblSales[[#This Row],[ขนาด]]="16 oz",tblSales[[#This Row],[จำนวนแก้ว]],0))</f>
        <v/>
      </c>
      <c r="AI10" s="10" t="str">
        <f>IF(tblSales[[#This Row],[Key]]="","",IF(tblSales[[#This Row],[ขนาด]]="20 oz",tblSales[[#This Row],[จำนวนแก้ว]],0))</f>
        <v/>
      </c>
      <c r="AJ10" s="10" t="str">
        <f>IF(tblSales[[#This Row],[Key]]="","",IF(tblSales[[#This Row],[ขนาด]]="22 oz",tblSales[[#This Row],[จำนวนแก้ว]],0))</f>
        <v/>
      </c>
    </row>
    <row r="11" spans="1:36" x14ac:dyDescent="0.25">
      <c r="A11" s="4" t="str">
        <f>IF(tblSales[[#This Row],[วันที่]]="","","S"&amp;TEXT(tblSales[[#This Row],[วันที่]],"yymmdd")&amp;"-"&amp;TEXT(ROW()-5,"000"))</f>
        <v/>
      </c>
      <c r="B11" s="16"/>
      <c r="C11" s="6"/>
      <c r="D11" s="6"/>
      <c r="E11" s="20"/>
      <c r="F11" s="6"/>
      <c r="G11" s="6"/>
      <c r="H11" s="6"/>
      <c r="I11" s="6"/>
      <c r="J1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" s="8" t="str">
        <f>IF(tblSales[[#This Row],[Key]]="","",IFERROR(INDEX(ตารางรวม!$W:$W,MATCH(tblSales[[#This Row],[Key]],ตารางรวม!$Z:$Z,0)),"ไม่พบสูตร"))</f>
        <v/>
      </c>
      <c r="L11" s="8" t="str">
        <f>IF(tblSales[[#This Row],[Key]]="","",IFERROR(INDEX(ตารางรวม!$V:$V,MATCH(tblSales[[#This Row],[Key]],ตารางรวม!$Z:$Z,0)),"ไม่พบสูตร"))</f>
        <v/>
      </c>
      <c r="M11" s="8" t="str">
        <f>IF(tblSales[[#This Row],[Key]]="","",IFERROR(tblSales[[#This Row],[ราคาต่อแก้ว]]*tblSales[[#This Row],[จำนวนแก้ว]],""))</f>
        <v/>
      </c>
      <c r="N11" s="8" t="str">
        <f>IF(tblSales[[#This Row],[Key]]="","",IFERROR(tblSales[[#This Row],[ต้นทุนต่อแก้ว]]*tblSales[[#This Row],[จำนวนแก้ว]],""))</f>
        <v/>
      </c>
      <c r="O11" s="8" t="str">
        <f>IF(tblSales[[#This Row],[Key]]="","",IFERROR(tblSales[[#This Row],[ยอดขาย (บาท)]]-tblSales[[#This Row],[ต้นทุนรวม (บาท)]],""))</f>
        <v/>
      </c>
      <c r="P11" s="21" t="str">
        <f>IF(tblSales[[#This Row],[Key]]="","",IFERROR(tblSales[[#This Row],[กำไร (บาท)]]/tblSales[[#This Row],[ยอดขาย (บาท)]],""))</f>
        <v/>
      </c>
      <c r="Q11" s="10" t="str">
        <f>IF(tblSales[[#This Row],[Key]]="","",IFERROR(INDEX(ตารางรวม!$D:$D,MATCH(tblSales[[#This Row],[Key]],ตารางรวม!$Z:$Z,0))*tblSales[[#This Row],[จำนวนแก้ว]],0))</f>
        <v/>
      </c>
      <c r="R11" s="10" t="str">
        <f>IF(tblSales[[#This Row],[Key]]="","",IFERROR(INDEX(ตารางรวม!$E:$E,MATCH(tblSales[[#This Row],[Key]],ตารางรวม!$Z:$Z,0))*tblSales[[#This Row],[จำนวนแก้ว]],0))</f>
        <v/>
      </c>
      <c r="S11" s="10" t="str">
        <f>IF(tblSales[[#This Row],[Key]]="","",IFERROR(INDEX(ตารางรวม!$F:$F,MATCH(tblSales[[#This Row],[Key]],ตารางรวม!$Z:$Z,0))*tblSales[[#This Row],[จำนวนแก้ว]],0))</f>
        <v/>
      </c>
      <c r="T11" s="10" t="str">
        <f>IF(tblSales[[#This Row],[Key]]="","",IFERROR(INDEX(ตารางรวม!$G:$G,MATCH(tblSales[[#This Row],[Key]],ตารางรวม!$Z:$Z,0))*tblSales[[#This Row],[จำนวนแก้ว]],0))</f>
        <v/>
      </c>
      <c r="U11" s="10" t="str">
        <f>IF(tblSales[[#This Row],[Key]]="","",IFERROR(INDEX(ตารางรวม!$H:$H,MATCH(tblSales[[#This Row],[Key]],ตารางรวม!$Z:$Z,0))*tblSales[[#This Row],[จำนวนแก้ว]],0))</f>
        <v/>
      </c>
      <c r="V11" s="10" t="str">
        <f>IF(tblSales[[#This Row],[Key]]="","",IFERROR(INDEX(ตารางรวม!$I:$I,MATCH(tblSales[[#This Row],[Key]],ตารางรวม!$Z:$Z,0))*tblSales[[#This Row],[จำนวนแก้ว]],0))</f>
        <v/>
      </c>
      <c r="W11" s="10" t="str">
        <f>IF(tblSales[[#This Row],[Key]]="","",IFERROR(INDEX(ตารางรวม!$J:$J,MATCH(tblSales[[#This Row],[Key]],ตารางรวม!$Z:$Z,0))*tblSales[[#This Row],[จำนวนแก้ว]],0))</f>
        <v/>
      </c>
      <c r="X11" s="10" t="str">
        <f>IF(tblSales[[#This Row],[Key]]="","",IFERROR(INDEX(ตารางรวม!$K:$K,MATCH(tblSales[[#This Row],[Key]],ตารางรวม!$Z:$Z,0))*tblSales[[#This Row],[จำนวนแก้ว]],0))</f>
        <v/>
      </c>
      <c r="Y11" s="10" t="str">
        <f>IF(tblSales[[#This Row],[Key]]="","",IFERROR(INDEX(ตารางรวม!$L:$L,MATCH(tblSales[[#This Row],[Key]],ตารางรวม!$Z:$Z,0))*tblSales[[#This Row],[จำนวนแก้ว]],0))</f>
        <v/>
      </c>
      <c r="Z1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" s="10" t="str">
        <f>IF(tblSales[[#This Row],[Key]]="","",IF(tblSales[[#This Row],[ขนาด]]="16 oz",tblSales[[#This Row],[จำนวนแก้ว]],0))</f>
        <v/>
      </c>
      <c r="AI11" s="10" t="str">
        <f>IF(tblSales[[#This Row],[Key]]="","",IF(tblSales[[#This Row],[ขนาด]]="20 oz",tblSales[[#This Row],[จำนวนแก้ว]],0))</f>
        <v/>
      </c>
      <c r="AJ11" s="10" t="str">
        <f>IF(tblSales[[#This Row],[Key]]="","",IF(tblSales[[#This Row],[ขนาด]]="22 oz",tblSales[[#This Row],[จำนวนแก้ว]],0))</f>
        <v/>
      </c>
    </row>
    <row r="12" spans="1:36" x14ac:dyDescent="0.25">
      <c r="A12" s="4" t="str">
        <f>IF(tblSales[[#This Row],[วันที่]]="","","S"&amp;TEXT(tblSales[[#This Row],[วันที่]],"yymmdd")&amp;"-"&amp;TEXT(ROW()-5,"000"))</f>
        <v/>
      </c>
      <c r="B12" s="16"/>
      <c r="C12" s="6"/>
      <c r="D12" s="6"/>
      <c r="E12" s="20"/>
      <c r="F12" s="6"/>
      <c r="G12" s="6"/>
      <c r="H12" s="6"/>
      <c r="I12" s="6"/>
      <c r="J1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" s="8" t="str">
        <f>IF(tblSales[[#This Row],[Key]]="","",IFERROR(INDEX(ตารางรวม!$W:$W,MATCH(tblSales[[#This Row],[Key]],ตารางรวม!$Z:$Z,0)),"ไม่พบสูตร"))</f>
        <v/>
      </c>
      <c r="L12" s="8" t="str">
        <f>IF(tblSales[[#This Row],[Key]]="","",IFERROR(INDEX(ตารางรวม!$V:$V,MATCH(tblSales[[#This Row],[Key]],ตารางรวม!$Z:$Z,0)),"ไม่พบสูตร"))</f>
        <v/>
      </c>
      <c r="M12" s="8" t="str">
        <f>IF(tblSales[[#This Row],[Key]]="","",IFERROR(tblSales[[#This Row],[ราคาต่อแก้ว]]*tblSales[[#This Row],[จำนวนแก้ว]],""))</f>
        <v/>
      </c>
      <c r="N12" s="8" t="str">
        <f>IF(tblSales[[#This Row],[Key]]="","",IFERROR(tblSales[[#This Row],[ต้นทุนต่อแก้ว]]*tblSales[[#This Row],[จำนวนแก้ว]],""))</f>
        <v/>
      </c>
      <c r="O12" s="8" t="str">
        <f>IF(tblSales[[#This Row],[Key]]="","",IFERROR(tblSales[[#This Row],[ยอดขาย (บาท)]]-tblSales[[#This Row],[ต้นทุนรวม (บาท)]],""))</f>
        <v/>
      </c>
      <c r="P12" s="21" t="str">
        <f>IF(tblSales[[#This Row],[Key]]="","",IFERROR(tblSales[[#This Row],[กำไร (บาท)]]/tblSales[[#This Row],[ยอดขาย (บาท)]],""))</f>
        <v/>
      </c>
      <c r="Q12" s="10" t="str">
        <f>IF(tblSales[[#This Row],[Key]]="","",IFERROR(INDEX(ตารางรวม!$D:$D,MATCH(tblSales[[#This Row],[Key]],ตารางรวม!$Z:$Z,0))*tblSales[[#This Row],[จำนวนแก้ว]],0))</f>
        <v/>
      </c>
      <c r="R12" s="10" t="str">
        <f>IF(tblSales[[#This Row],[Key]]="","",IFERROR(INDEX(ตารางรวม!$E:$E,MATCH(tblSales[[#This Row],[Key]],ตารางรวม!$Z:$Z,0))*tblSales[[#This Row],[จำนวนแก้ว]],0))</f>
        <v/>
      </c>
      <c r="S12" s="10" t="str">
        <f>IF(tblSales[[#This Row],[Key]]="","",IFERROR(INDEX(ตารางรวม!$F:$F,MATCH(tblSales[[#This Row],[Key]],ตารางรวม!$Z:$Z,0))*tblSales[[#This Row],[จำนวนแก้ว]],0))</f>
        <v/>
      </c>
      <c r="T12" s="10" t="str">
        <f>IF(tblSales[[#This Row],[Key]]="","",IFERROR(INDEX(ตารางรวม!$G:$G,MATCH(tblSales[[#This Row],[Key]],ตารางรวม!$Z:$Z,0))*tblSales[[#This Row],[จำนวนแก้ว]],0))</f>
        <v/>
      </c>
      <c r="U12" s="10" t="str">
        <f>IF(tblSales[[#This Row],[Key]]="","",IFERROR(INDEX(ตารางรวม!$H:$H,MATCH(tblSales[[#This Row],[Key]],ตารางรวม!$Z:$Z,0))*tblSales[[#This Row],[จำนวนแก้ว]],0))</f>
        <v/>
      </c>
      <c r="V12" s="10" t="str">
        <f>IF(tblSales[[#This Row],[Key]]="","",IFERROR(INDEX(ตารางรวม!$I:$I,MATCH(tblSales[[#This Row],[Key]],ตารางรวม!$Z:$Z,0))*tblSales[[#This Row],[จำนวนแก้ว]],0))</f>
        <v/>
      </c>
      <c r="W12" s="10" t="str">
        <f>IF(tblSales[[#This Row],[Key]]="","",IFERROR(INDEX(ตารางรวม!$J:$J,MATCH(tblSales[[#This Row],[Key]],ตารางรวม!$Z:$Z,0))*tblSales[[#This Row],[จำนวนแก้ว]],0))</f>
        <v/>
      </c>
      <c r="X12" s="10" t="str">
        <f>IF(tblSales[[#This Row],[Key]]="","",IFERROR(INDEX(ตารางรวม!$K:$K,MATCH(tblSales[[#This Row],[Key]],ตารางรวม!$Z:$Z,0))*tblSales[[#This Row],[จำนวนแก้ว]],0))</f>
        <v/>
      </c>
      <c r="Y12" s="10" t="str">
        <f>IF(tblSales[[#This Row],[Key]]="","",IFERROR(INDEX(ตารางรวม!$L:$L,MATCH(tblSales[[#This Row],[Key]],ตารางรวม!$Z:$Z,0))*tblSales[[#This Row],[จำนวนแก้ว]],0))</f>
        <v/>
      </c>
      <c r="Z1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" s="10" t="str">
        <f>IF(tblSales[[#This Row],[Key]]="","",IF(tblSales[[#This Row],[ขนาด]]="16 oz",tblSales[[#This Row],[จำนวนแก้ว]],0))</f>
        <v/>
      </c>
      <c r="AI12" s="10" t="str">
        <f>IF(tblSales[[#This Row],[Key]]="","",IF(tblSales[[#This Row],[ขนาด]]="20 oz",tblSales[[#This Row],[จำนวนแก้ว]],0))</f>
        <v/>
      </c>
      <c r="AJ12" s="10" t="str">
        <f>IF(tblSales[[#This Row],[Key]]="","",IF(tblSales[[#This Row],[ขนาด]]="22 oz",tblSales[[#This Row],[จำนวนแก้ว]],0))</f>
        <v/>
      </c>
    </row>
    <row r="13" spans="1:36" x14ac:dyDescent="0.25">
      <c r="A13" s="4" t="str">
        <f>IF(tblSales[[#This Row],[วันที่]]="","","S"&amp;TEXT(tblSales[[#This Row],[วันที่]],"yymmdd")&amp;"-"&amp;TEXT(ROW()-5,"000"))</f>
        <v/>
      </c>
      <c r="B13" s="16"/>
      <c r="C13" s="6"/>
      <c r="D13" s="6"/>
      <c r="E13" s="20"/>
      <c r="F13" s="6"/>
      <c r="G13" s="6"/>
      <c r="H13" s="6"/>
      <c r="I13" s="6"/>
      <c r="J1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" s="8" t="str">
        <f>IF(tblSales[[#This Row],[Key]]="","",IFERROR(INDEX(ตารางรวม!$W:$W,MATCH(tblSales[[#This Row],[Key]],ตารางรวม!$Z:$Z,0)),"ไม่พบสูตร"))</f>
        <v/>
      </c>
      <c r="L13" s="8" t="str">
        <f>IF(tblSales[[#This Row],[Key]]="","",IFERROR(INDEX(ตารางรวม!$V:$V,MATCH(tblSales[[#This Row],[Key]],ตารางรวม!$Z:$Z,0)),"ไม่พบสูตร"))</f>
        <v/>
      </c>
      <c r="M13" s="8" t="str">
        <f>IF(tblSales[[#This Row],[Key]]="","",IFERROR(tblSales[[#This Row],[ราคาต่อแก้ว]]*tblSales[[#This Row],[จำนวนแก้ว]],""))</f>
        <v/>
      </c>
      <c r="N13" s="8" t="str">
        <f>IF(tblSales[[#This Row],[Key]]="","",IFERROR(tblSales[[#This Row],[ต้นทุนต่อแก้ว]]*tblSales[[#This Row],[จำนวนแก้ว]],""))</f>
        <v/>
      </c>
      <c r="O13" s="8" t="str">
        <f>IF(tblSales[[#This Row],[Key]]="","",IFERROR(tblSales[[#This Row],[ยอดขาย (บาท)]]-tblSales[[#This Row],[ต้นทุนรวม (บาท)]],""))</f>
        <v/>
      </c>
      <c r="P13" s="21" t="str">
        <f>IF(tblSales[[#This Row],[Key]]="","",IFERROR(tblSales[[#This Row],[กำไร (บาท)]]/tblSales[[#This Row],[ยอดขาย (บาท)]],""))</f>
        <v/>
      </c>
      <c r="Q13" s="10" t="str">
        <f>IF(tblSales[[#This Row],[Key]]="","",IFERROR(INDEX(ตารางรวม!$D:$D,MATCH(tblSales[[#This Row],[Key]],ตารางรวม!$Z:$Z,0))*tblSales[[#This Row],[จำนวนแก้ว]],0))</f>
        <v/>
      </c>
      <c r="R13" s="10" t="str">
        <f>IF(tblSales[[#This Row],[Key]]="","",IFERROR(INDEX(ตารางรวม!$E:$E,MATCH(tblSales[[#This Row],[Key]],ตารางรวม!$Z:$Z,0))*tblSales[[#This Row],[จำนวนแก้ว]],0))</f>
        <v/>
      </c>
      <c r="S13" s="10" t="str">
        <f>IF(tblSales[[#This Row],[Key]]="","",IFERROR(INDEX(ตารางรวม!$F:$F,MATCH(tblSales[[#This Row],[Key]],ตารางรวม!$Z:$Z,0))*tblSales[[#This Row],[จำนวนแก้ว]],0))</f>
        <v/>
      </c>
      <c r="T13" s="10" t="str">
        <f>IF(tblSales[[#This Row],[Key]]="","",IFERROR(INDEX(ตารางรวม!$G:$G,MATCH(tblSales[[#This Row],[Key]],ตารางรวม!$Z:$Z,0))*tblSales[[#This Row],[จำนวนแก้ว]],0))</f>
        <v/>
      </c>
      <c r="U13" s="10" t="str">
        <f>IF(tblSales[[#This Row],[Key]]="","",IFERROR(INDEX(ตารางรวม!$H:$H,MATCH(tblSales[[#This Row],[Key]],ตารางรวม!$Z:$Z,0))*tblSales[[#This Row],[จำนวนแก้ว]],0))</f>
        <v/>
      </c>
      <c r="V13" s="10" t="str">
        <f>IF(tblSales[[#This Row],[Key]]="","",IFERROR(INDEX(ตารางรวม!$I:$I,MATCH(tblSales[[#This Row],[Key]],ตารางรวม!$Z:$Z,0))*tblSales[[#This Row],[จำนวนแก้ว]],0))</f>
        <v/>
      </c>
      <c r="W13" s="10" t="str">
        <f>IF(tblSales[[#This Row],[Key]]="","",IFERROR(INDEX(ตารางรวม!$J:$J,MATCH(tblSales[[#This Row],[Key]],ตารางรวม!$Z:$Z,0))*tblSales[[#This Row],[จำนวนแก้ว]],0))</f>
        <v/>
      </c>
      <c r="X13" s="10" t="str">
        <f>IF(tblSales[[#This Row],[Key]]="","",IFERROR(INDEX(ตารางรวม!$K:$K,MATCH(tblSales[[#This Row],[Key]],ตารางรวม!$Z:$Z,0))*tblSales[[#This Row],[จำนวนแก้ว]],0))</f>
        <v/>
      </c>
      <c r="Y13" s="10" t="str">
        <f>IF(tblSales[[#This Row],[Key]]="","",IFERROR(INDEX(ตารางรวม!$L:$L,MATCH(tblSales[[#This Row],[Key]],ตารางรวม!$Z:$Z,0))*tblSales[[#This Row],[จำนวนแก้ว]],0))</f>
        <v/>
      </c>
      <c r="Z1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" s="10" t="str">
        <f>IF(tblSales[[#This Row],[Key]]="","",IF(tblSales[[#This Row],[ขนาด]]="16 oz",tblSales[[#This Row],[จำนวนแก้ว]],0))</f>
        <v/>
      </c>
      <c r="AI13" s="10" t="str">
        <f>IF(tblSales[[#This Row],[Key]]="","",IF(tblSales[[#This Row],[ขนาด]]="20 oz",tblSales[[#This Row],[จำนวนแก้ว]],0))</f>
        <v/>
      </c>
      <c r="AJ13" s="10" t="str">
        <f>IF(tblSales[[#This Row],[Key]]="","",IF(tblSales[[#This Row],[ขนาด]]="22 oz",tblSales[[#This Row],[จำนวนแก้ว]],0))</f>
        <v/>
      </c>
    </row>
    <row r="14" spans="1:36" x14ac:dyDescent="0.25">
      <c r="A14" s="4" t="str">
        <f>IF(tblSales[[#This Row],[วันที่]]="","","S"&amp;TEXT(tblSales[[#This Row],[วันที่]],"yymmdd")&amp;"-"&amp;TEXT(ROW()-5,"000"))</f>
        <v/>
      </c>
      <c r="B14" s="16"/>
      <c r="C14" s="6"/>
      <c r="D14" s="6"/>
      <c r="E14" s="20"/>
      <c r="F14" s="6"/>
      <c r="G14" s="6"/>
      <c r="H14" s="6"/>
      <c r="I14" s="6"/>
      <c r="J1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" s="8" t="str">
        <f>IF(tblSales[[#This Row],[Key]]="","",IFERROR(INDEX(ตารางรวม!$W:$W,MATCH(tblSales[[#This Row],[Key]],ตารางรวม!$Z:$Z,0)),"ไม่พบสูตร"))</f>
        <v/>
      </c>
      <c r="L14" s="8" t="str">
        <f>IF(tblSales[[#This Row],[Key]]="","",IFERROR(INDEX(ตารางรวม!$V:$V,MATCH(tblSales[[#This Row],[Key]],ตารางรวม!$Z:$Z,0)),"ไม่พบสูตร"))</f>
        <v/>
      </c>
      <c r="M14" s="8" t="str">
        <f>IF(tblSales[[#This Row],[Key]]="","",IFERROR(tblSales[[#This Row],[ราคาต่อแก้ว]]*tblSales[[#This Row],[จำนวนแก้ว]],""))</f>
        <v/>
      </c>
      <c r="N14" s="8" t="str">
        <f>IF(tblSales[[#This Row],[Key]]="","",IFERROR(tblSales[[#This Row],[ต้นทุนต่อแก้ว]]*tblSales[[#This Row],[จำนวนแก้ว]],""))</f>
        <v/>
      </c>
      <c r="O14" s="8" t="str">
        <f>IF(tblSales[[#This Row],[Key]]="","",IFERROR(tblSales[[#This Row],[ยอดขาย (บาท)]]-tblSales[[#This Row],[ต้นทุนรวม (บาท)]],""))</f>
        <v/>
      </c>
      <c r="P14" s="21" t="str">
        <f>IF(tblSales[[#This Row],[Key]]="","",IFERROR(tblSales[[#This Row],[กำไร (บาท)]]/tblSales[[#This Row],[ยอดขาย (บาท)]],""))</f>
        <v/>
      </c>
      <c r="Q14" s="10" t="str">
        <f>IF(tblSales[[#This Row],[Key]]="","",IFERROR(INDEX(ตารางรวม!$D:$D,MATCH(tblSales[[#This Row],[Key]],ตารางรวม!$Z:$Z,0))*tblSales[[#This Row],[จำนวนแก้ว]],0))</f>
        <v/>
      </c>
      <c r="R14" s="10" t="str">
        <f>IF(tblSales[[#This Row],[Key]]="","",IFERROR(INDEX(ตารางรวม!$E:$E,MATCH(tblSales[[#This Row],[Key]],ตารางรวม!$Z:$Z,0))*tblSales[[#This Row],[จำนวนแก้ว]],0))</f>
        <v/>
      </c>
      <c r="S14" s="10" t="str">
        <f>IF(tblSales[[#This Row],[Key]]="","",IFERROR(INDEX(ตารางรวม!$F:$F,MATCH(tblSales[[#This Row],[Key]],ตารางรวม!$Z:$Z,0))*tblSales[[#This Row],[จำนวนแก้ว]],0))</f>
        <v/>
      </c>
      <c r="T14" s="10" t="str">
        <f>IF(tblSales[[#This Row],[Key]]="","",IFERROR(INDEX(ตารางรวม!$G:$G,MATCH(tblSales[[#This Row],[Key]],ตารางรวม!$Z:$Z,0))*tblSales[[#This Row],[จำนวนแก้ว]],0))</f>
        <v/>
      </c>
      <c r="U14" s="10" t="str">
        <f>IF(tblSales[[#This Row],[Key]]="","",IFERROR(INDEX(ตารางรวม!$H:$H,MATCH(tblSales[[#This Row],[Key]],ตารางรวม!$Z:$Z,0))*tblSales[[#This Row],[จำนวนแก้ว]],0))</f>
        <v/>
      </c>
      <c r="V14" s="10" t="str">
        <f>IF(tblSales[[#This Row],[Key]]="","",IFERROR(INDEX(ตารางรวม!$I:$I,MATCH(tblSales[[#This Row],[Key]],ตารางรวม!$Z:$Z,0))*tblSales[[#This Row],[จำนวนแก้ว]],0))</f>
        <v/>
      </c>
      <c r="W14" s="10" t="str">
        <f>IF(tblSales[[#This Row],[Key]]="","",IFERROR(INDEX(ตารางรวม!$J:$J,MATCH(tblSales[[#This Row],[Key]],ตารางรวม!$Z:$Z,0))*tblSales[[#This Row],[จำนวนแก้ว]],0))</f>
        <v/>
      </c>
      <c r="X14" s="10" t="str">
        <f>IF(tblSales[[#This Row],[Key]]="","",IFERROR(INDEX(ตารางรวม!$K:$K,MATCH(tblSales[[#This Row],[Key]],ตารางรวม!$Z:$Z,0))*tblSales[[#This Row],[จำนวนแก้ว]],0))</f>
        <v/>
      </c>
      <c r="Y14" s="10" t="str">
        <f>IF(tblSales[[#This Row],[Key]]="","",IFERROR(INDEX(ตารางรวม!$L:$L,MATCH(tblSales[[#This Row],[Key]],ตารางรวม!$Z:$Z,0))*tblSales[[#This Row],[จำนวนแก้ว]],0))</f>
        <v/>
      </c>
      <c r="Z1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" s="10" t="str">
        <f>IF(tblSales[[#This Row],[Key]]="","",IF(tblSales[[#This Row],[ขนาด]]="16 oz",tblSales[[#This Row],[จำนวนแก้ว]],0))</f>
        <v/>
      </c>
      <c r="AI14" s="10" t="str">
        <f>IF(tblSales[[#This Row],[Key]]="","",IF(tblSales[[#This Row],[ขนาด]]="20 oz",tblSales[[#This Row],[จำนวนแก้ว]],0))</f>
        <v/>
      </c>
      <c r="AJ14" s="10" t="str">
        <f>IF(tblSales[[#This Row],[Key]]="","",IF(tblSales[[#This Row],[ขนาด]]="22 oz",tblSales[[#This Row],[จำนวนแก้ว]],0))</f>
        <v/>
      </c>
    </row>
    <row r="15" spans="1:36" x14ac:dyDescent="0.25">
      <c r="A15" s="4" t="str">
        <f>IF(tblSales[[#This Row],[วันที่]]="","","S"&amp;TEXT(tblSales[[#This Row],[วันที่]],"yymmdd")&amp;"-"&amp;TEXT(ROW()-5,"000"))</f>
        <v/>
      </c>
      <c r="B15" s="16"/>
      <c r="C15" s="6"/>
      <c r="D15" s="6"/>
      <c r="E15" s="20"/>
      <c r="F15" s="6"/>
      <c r="G15" s="6"/>
      <c r="H15" s="6"/>
      <c r="I15" s="6"/>
      <c r="J1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" s="8" t="str">
        <f>IF(tblSales[[#This Row],[Key]]="","",IFERROR(INDEX(ตารางรวม!$W:$W,MATCH(tblSales[[#This Row],[Key]],ตารางรวม!$Z:$Z,0)),"ไม่พบสูตร"))</f>
        <v/>
      </c>
      <c r="L15" s="8" t="str">
        <f>IF(tblSales[[#This Row],[Key]]="","",IFERROR(INDEX(ตารางรวม!$V:$V,MATCH(tblSales[[#This Row],[Key]],ตารางรวม!$Z:$Z,0)),"ไม่พบสูตร"))</f>
        <v/>
      </c>
      <c r="M15" s="8" t="str">
        <f>IF(tblSales[[#This Row],[Key]]="","",IFERROR(tblSales[[#This Row],[ราคาต่อแก้ว]]*tblSales[[#This Row],[จำนวนแก้ว]],""))</f>
        <v/>
      </c>
      <c r="N15" s="8" t="str">
        <f>IF(tblSales[[#This Row],[Key]]="","",IFERROR(tblSales[[#This Row],[ต้นทุนต่อแก้ว]]*tblSales[[#This Row],[จำนวนแก้ว]],""))</f>
        <v/>
      </c>
      <c r="O15" s="8" t="str">
        <f>IF(tblSales[[#This Row],[Key]]="","",IFERROR(tblSales[[#This Row],[ยอดขาย (บาท)]]-tblSales[[#This Row],[ต้นทุนรวม (บาท)]],""))</f>
        <v/>
      </c>
      <c r="P15" s="21" t="str">
        <f>IF(tblSales[[#This Row],[Key]]="","",IFERROR(tblSales[[#This Row],[กำไร (บาท)]]/tblSales[[#This Row],[ยอดขาย (บาท)]],""))</f>
        <v/>
      </c>
      <c r="Q15" s="10" t="str">
        <f>IF(tblSales[[#This Row],[Key]]="","",IFERROR(INDEX(ตารางรวม!$D:$D,MATCH(tblSales[[#This Row],[Key]],ตารางรวม!$Z:$Z,0))*tblSales[[#This Row],[จำนวนแก้ว]],0))</f>
        <v/>
      </c>
      <c r="R15" s="10" t="str">
        <f>IF(tblSales[[#This Row],[Key]]="","",IFERROR(INDEX(ตารางรวม!$E:$E,MATCH(tblSales[[#This Row],[Key]],ตารางรวม!$Z:$Z,0))*tblSales[[#This Row],[จำนวนแก้ว]],0))</f>
        <v/>
      </c>
      <c r="S15" s="10" t="str">
        <f>IF(tblSales[[#This Row],[Key]]="","",IFERROR(INDEX(ตารางรวม!$F:$F,MATCH(tblSales[[#This Row],[Key]],ตารางรวม!$Z:$Z,0))*tblSales[[#This Row],[จำนวนแก้ว]],0))</f>
        <v/>
      </c>
      <c r="T15" s="10" t="str">
        <f>IF(tblSales[[#This Row],[Key]]="","",IFERROR(INDEX(ตารางรวม!$G:$G,MATCH(tblSales[[#This Row],[Key]],ตารางรวม!$Z:$Z,0))*tblSales[[#This Row],[จำนวนแก้ว]],0))</f>
        <v/>
      </c>
      <c r="U15" s="10" t="str">
        <f>IF(tblSales[[#This Row],[Key]]="","",IFERROR(INDEX(ตารางรวม!$H:$H,MATCH(tblSales[[#This Row],[Key]],ตารางรวม!$Z:$Z,0))*tblSales[[#This Row],[จำนวนแก้ว]],0))</f>
        <v/>
      </c>
      <c r="V15" s="10" t="str">
        <f>IF(tblSales[[#This Row],[Key]]="","",IFERROR(INDEX(ตารางรวม!$I:$I,MATCH(tblSales[[#This Row],[Key]],ตารางรวม!$Z:$Z,0))*tblSales[[#This Row],[จำนวนแก้ว]],0))</f>
        <v/>
      </c>
      <c r="W15" s="10" t="str">
        <f>IF(tblSales[[#This Row],[Key]]="","",IFERROR(INDEX(ตารางรวม!$J:$J,MATCH(tblSales[[#This Row],[Key]],ตารางรวม!$Z:$Z,0))*tblSales[[#This Row],[จำนวนแก้ว]],0))</f>
        <v/>
      </c>
      <c r="X15" s="10" t="str">
        <f>IF(tblSales[[#This Row],[Key]]="","",IFERROR(INDEX(ตารางรวม!$K:$K,MATCH(tblSales[[#This Row],[Key]],ตารางรวม!$Z:$Z,0))*tblSales[[#This Row],[จำนวนแก้ว]],0))</f>
        <v/>
      </c>
      <c r="Y15" s="10" t="str">
        <f>IF(tblSales[[#This Row],[Key]]="","",IFERROR(INDEX(ตารางรวม!$L:$L,MATCH(tblSales[[#This Row],[Key]],ตารางรวม!$Z:$Z,0))*tblSales[[#This Row],[จำนวนแก้ว]],0))</f>
        <v/>
      </c>
      <c r="Z1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" s="10" t="str">
        <f>IF(tblSales[[#This Row],[Key]]="","",IF(tblSales[[#This Row],[ขนาด]]="16 oz",tblSales[[#This Row],[จำนวนแก้ว]],0))</f>
        <v/>
      </c>
      <c r="AI15" s="10" t="str">
        <f>IF(tblSales[[#This Row],[Key]]="","",IF(tblSales[[#This Row],[ขนาด]]="20 oz",tblSales[[#This Row],[จำนวนแก้ว]],0))</f>
        <v/>
      </c>
      <c r="AJ15" s="10" t="str">
        <f>IF(tblSales[[#This Row],[Key]]="","",IF(tblSales[[#This Row],[ขนาด]]="22 oz",tblSales[[#This Row],[จำนวนแก้ว]],0))</f>
        <v/>
      </c>
    </row>
    <row r="16" spans="1:36" x14ac:dyDescent="0.25">
      <c r="A16" s="4" t="str">
        <f>IF(tblSales[[#This Row],[วันที่]]="","","S"&amp;TEXT(tblSales[[#This Row],[วันที่]],"yymmdd")&amp;"-"&amp;TEXT(ROW()-5,"000"))</f>
        <v/>
      </c>
      <c r="B16" s="16"/>
      <c r="C16" s="6"/>
      <c r="D16" s="6"/>
      <c r="E16" s="20"/>
      <c r="F16" s="6"/>
      <c r="G16" s="6"/>
      <c r="H16" s="6"/>
      <c r="I16" s="6"/>
      <c r="J1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" s="8" t="str">
        <f>IF(tblSales[[#This Row],[Key]]="","",IFERROR(INDEX(ตารางรวม!$W:$W,MATCH(tblSales[[#This Row],[Key]],ตารางรวม!$Z:$Z,0)),"ไม่พบสูตร"))</f>
        <v/>
      </c>
      <c r="L16" s="8" t="str">
        <f>IF(tblSales[[#This Row],[Key]]="","",IFERROR(INDEX(ตารางรวม!$V:$V,MATCH(tblSales[[#This Row],[Key]],ตารางรวม!$Z:$Z,0)),"ไม่พบสูตร"))</f>
        <v/>
      </c>
      <c r="M16" s="8" t="str">
        <f>IF(tblSales[[#This Row],[Key]]="","",IFERROR(tblSales[[#This Row],[ราคาต่อแก้ว]]*tblSales[[#This Row],[จำนวนแก้ว]],""))</f>
        <v/>
      </c>
      <c r="N16" s="8" t="str">
        <f>IF(tblSales[[#This Row],[Key]]="","",IFERROR(tblSales[[#This Row],[ต้นทุนต่อแก้ว]]*tblSales[[#This Row],[จำนวนแก้ว]],""))</f>
        <v/>
      </c>
      <c r="O16" s="8" t="str">
        <f>IF(tblSales[[#This Row],[Key]]="","",IFERROR(tblSales[[#This Row],[ยอดขาย (บาท)]]-tblSales[[#This Row],[ต้นทุนรวม (บาท)]],""))</f>
        <v/>
      </c>
      <c r="P16" s="21" t="str">
        <f>IF(tblSales[[#This Row],[Key]]="","",IFERROR(tblSales[[#This Row],[กำไร (บาท)]]/tblSales[[#This Row],[ยอดขาย (บาท)]],""))</f>
        <v/>
      </c>
      <c r="Q16" s="10" t="str">
        <f>IF(tblSales[[#This Row],[Key]]="","",IFERROR(INDEX(ตารางรวม!$D:$D,MATCH(tblSales[[#This Row],[Key]],ตารางรวม!$Z:$Z,0))*tblSales[[#This Row],[จำนวนแก้ว]],0))</f>
        <v/>
      </c>
      <c r="R16" s="10" t="str">
        <f>IF(tblSales[[#This Row],[Key]]="","",IFERROR(INDEX(ตารางรวม!$E:$E,MATCH(tblSales[[#This Row],[Key]],ตารางรวม!$Z:$Z,0))*tblSales[[#This Row],[จำนวนแก้ว]],0))</f>
        <v/>
      </c>
      <c r="S16" s="10" t="str">
        <f>IF(tblSales[[#This Row],[Key]]="","",IFERROR(INDEX(ตารางรวม!$F:$F,MATCH(tblSales[[#This Row],[Key]],ตารางรวม!$Z:$Z,0))*tblSales[[#This Row],[จำนวนแก้ว]],0))</f>
        <v/>
      </c>
      <c r="T16" s="10" t="str">
        <f>IF(tblSales[[#This Row],[Key]]="","",IFERROR(INDEX(ตารางรวม!$G:$G,MATCH(tblSales[[#This Row],[Key]],ตารางรวม!$Z:$Z,0))*tblSales[[#This Row],[จำนวนแก้ว]],0))</f>
        <v/>
      </c>
      <c r="U16" s="10" t="str">
        <f>IF(tblSales[[#This Row],[Key]]="","",IFERROR(INDEX(ตารางรวม!$H:$H,MATCH(tblSales[[#This Row],[Key]],ตารางรวม!$Z:$Z,0))*tblSales[[#This Row],[จำนวนแก้ว]],0))</f>
        <v/>
      </c>
      <c r="V16" s="10" t="str">
        <f>IF(tblSales[[#This Row],[Key]]="","",IFERROR(INDEX(ตารางรวม!$I:$I,MATCH(tblSales[[#This Row],[Key]],ตารางรวม!$Z:$Z,0))*tblSales[[#This Row],[จำนวนแก้ว]],0))</f>
        <v/>
      </c>
      <c r="W16" s="10" t="str">
        <f>IF(tblSales[[#This Row],[Key]]="","",IFERROR(INDEX(ตารางรวม!$J:$J,MATCH(tblSales[[#This Row],[Key]],ตารางรวม!$Z:$Z,0))*tblSales[[#This Row],[จำนวนแก้ว]],0))</f>
        <v/>
      </c>
      <c r="X16" s="10" t="str">
        <f>IF(tblSales[[#This Row],[Key]]="","",IFERROR(INDEX(ตารางรวม!$K:$K,MATCH(tblSales[[#This Row],[Key]],ตารางรวม!$Z:$Z,0))*tblSales[[#This Row],[จำนวนแก้ว]],0))</f>
        <v/>
      </c>
      <c r="Y16" s="10" t="str">
        <f>IF(tblSales[[#This Row],[Key]]="","",IFERROR(INDEX(ตารางรวม!$L:$L,MATCH(tblSales[[#This Row],[Key]],ตารางรวม!$Z:$Z,0))*tblSales[[#This Row],[จำนวนแก้ว]],0))</f>
        <v/>
      </c>
      <c r="Z1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" s="10" t="str">
        <f>IF(tblSales[[#This Row],[Key]]="","",IF(tblSales[[#This Row],[ขนาด]]="16 oz",tblSales[[#This Row],[จำนวนแก้ว]],0))</f>
        <v/>
      </c>
      <c r="AI16" s="10" t="str">
        <f>IF(tblSales[[#This Row],[Key]]="","",IF(tblSales[[#This Row],[ขนาด]]="20 oz",tblSales[[#This Row],[จำนวนแก้ว]],0))</f>
        <v/>
      </c>
      <c r="AJ16" s="10" t="str">
        <f>IF(tblSales[[#This Row],[Key]]="","",IF(tblSales[[#This Row],[ขนาด]]="22 oz",tblSales[[#This Row],[จำนวนแก้ว]],0))</f>
        <v/>
      </c>
    </row>
    <row r="17" spans="1:36" x14ac:dyDescent="0.25">
      <c r="A17" s="4" t="str">
        <f>IF(tblSales[[#This Row],[วันที่]]="","","S"&amp;TEXT(tblSales[[#This Row],[วันที่]],"yymmdd")&amp;"-"&amp;TEXT(ROW()-5,"000"))</f>
        <v/>
      </c>
      <c r="B17" s="16"/>
      <c r="C17" s="6"/>
      <c r="D17" s="6"/>
      <c r="E17" s="20"/>
      <c r="F17" s="6"/>
      <c r="G17" s="6"/>
      <c r="H17" s="6"/>
      <c r="I17" s="6"/>
      <c r="J1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" s="8" t="str">
        <f>IF(tblSales[[#This Row],[Key]]="","",IFERROR(INDEX(ตารางรวม!$W:$W,MATCH(tblSales[[#This Row],[Key]],ตารางรวม!$Z:$Z,0)),"ไม่พบสูตร"))</f>
        <v/>
      </c>
      <c r="L17" s="8" t="str">
        <f>IF(tblSales[[#This Row],[Key]]="","",IFERROR(INDEX(ตารางรวม!$V:$V,MATCH(tblSales[[#This Row],[Key]],ตารางรวม!$Z:$Z,0)),"ไม่พบสูตร"))</f>
        <v/>
      </c>
      <c r="M17" s="8" t="str">
        <f>IF(tblSales[[#This Row],[Key]]="","",IFERROR(tblSales[[#This Row],[ราคาต่อแก้ว]]*tblSales[[#This Row],[จำนวนแก้ว]],""))</f>
        <v/>
      </c>
      <c r="N17" s="8" t="str">
        <f>IF(tblSales[[#This Row],[Key]]="","",IFERROR(tblSales[[#This Row],[ต้นทุนต่อแก้ว]]*tblSales[[#This Row],[จำนวนแก้ว]],""))</f>
        <v/>
      </c>
      <c r="O17" s="8" t="str">
        <f>IF(tblSales[[#This Row],[Key]]="","",IFERROR(tblSales[[#This Row],[ยอดขาย (บาท)]]-tblSales[[#This Row],[ต้นทุนรวม (บาท)]],""))</f>
        <v/>
      </c>
      <c r="P17" s="21" t="str">
        <f>IF(tblSales[[#This Row],[Key]]="","",IFERROR(tblSales[[#This Row],[กำไร (บาท)]]/tblSales[[#This Row],[ยอดขาย (บาท)]],""))</f>
        <v/>
      </c>
      <c r="Q17" s="10" t="str">
        <f>IF(tblSales[[#This Row],[Key]]="","",IFERROR(INDEX(ตารางรวม!$D:$D,MATCH(tblSales[[#This Row],[Key]],ตารางรวม!$Z:$Z,0))*tblSales[[#This Row],[จำนวนแก้ว]],0))</f>
        <v/>
      </c>
      <c r="R17" s="10" t="str">
        <f>IF(tblSales[[#This Row],[Key]]="","",IFERROR(INDEX(ตารางรวม!$E:$E,MATCH(tblSales[[#This Row],[Key]],ตารางรวม!$Z:$Z,0))*tblSales[[#This Row],[จำนวนแก้ว]],0))</f>
        <v/>
      </c>
      <c r="S17" s="10" t="str">
        <f>IF(tblSales[[#This Row],[Key]]="","",IFERROR(INDEX(ตารางรวม!$F:$F,MATCH(tblSales[[#This Row],[Key]],ตารางรวม!$Z:$Z,0))*tblSales[[#This Row],[จำนวนแก้ว]],0))</f>
        <v/>
      </c>
      <c r="T17" s="10" t="str">
        <f>IF(tblSales[[#This Row],[Key]]="","",IFERROR(INDEX(ตารางรวม!$G:$G,MATCH(tblSales[[#This Row],[Key]],ตารางรวม!$Z:$Z,0))*tblSales[[#This Row],[จำนวนแก้ว]],0))</f>
        <v/>
      </c>
      <c r="U17" s="10" t="str">
        <f>IF(tblSales[[#This Row],[Key]]="","",IFERROR(INDEX(ตารางรวม!$H:$H,MATCH(tblSales[[#This Row],[Key]],ตารางรวม!$Z:$Z,0))*tblSales[[#This Row],[จำนวนแก้ว]],0))</f>
        <v/>
      </c>
      <c r="V17" s="10" t="str">
        <f>IF(tblSales[[#This Row],[Key]]="","",IFERROR(INDEX(ตารางรวม!$I:$I,MATCH(tblSales[[#This Row],[Key]],ตารางรวม!$Z:$Z,0))*tblSales[[#This Row],[จำนวนแก้ว]],0))</f>
        <v/>
      </c>
      <c r="W17" s="10" t="str">
        <f>IF(tblSales[[#This Row],[Key]]="","",IFERROR(INDEX(ตารางรวม!$J:$J,MATCH(tblSales[[#This Row],[Key]],ตารางรวม!$Z:$Z,0))*tblSales[[#This Row],[จำนวนแก้ว]],0))</f>
        <v/>
      </c>
      <c r="X17" s="10" t="str">
        <f>IF(tblSales[[#This Row],[Key]]="","",IFERROR(INDEX(ตารางรวม!$K:$K,MATCH(tblSales[[#This Row],[Key]],ตารางรวม!$Z:$Z,0))*tblSales[[#This Row],[จำนวนแก้ว]],0))</f>
        <v/>
      </c>
      <c r="Y17" s="10" t="str">
        <f>IF(tblSales[[#This Row],[Key]]="","",IFERROR(INDEX(ตารางรวม!$L:$L,MATCH(tblSales[[#This Row],[Key]],ตารางรวม!$Z:$Z,0))*tblSales[[#This Row],[จำนวนแก้ว]],0))</f>
        <v/>
      </c>
      <c r="Z1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" s="10" t="str">
        <f>IF(tblSales[[#This Row],[Key]]="","",IF(tblSales[[#This Row],[ขนาด]]="16 oz",tblSales[[#This Row],[จำนวนแก้ว]],0))</f>
        <v/>
      </c>
      <c r="AI17" s="10" t="str">
        <f>IF(tblSales[[#This Row],[Key]]="","",IF(tblSales[[#This Row],[ขนาด]]="20 oz",tblSales[[#This Row],[จำนวนแก้ว]],0))</f>
        <v/>
      </c>
      <c r="AJ17" s="10" t="str">
        <f>IF(tblSales[[#This Row],[Key]]="","",IF(tblSales[[#This Row],[ขนาด]]="22 oz",tblSales[[#This Row],[จำนวนแก้ว]],0))</f>
        <v/>
      </c>
    </row>
    <row r="18" spans="1:36" x14ac:dyDescent="0.25">
      <c r="A18" s="4" t="str">
        <f>IF(tblSales[[#This Row],[วันที่]]="","","S"&amp;TEXT(tblSales[[#This Row],[วันที่]],"yymmdd")&amp;"-"&amp;TEXT(ROW()-5,"000"))</f>
        <v/>
      </c>
      <c r="B18" s="16"/>
      <c r="C18" s="6"/>
      <c r="D18" s="6"/>
      <c r="E18" s="20"/>
      <c r="F18" s="6"/>
      <c r="G18" s="6"/>
      <c r="H18" s="6"/>
      <c r="I18" s="6"/>
      <c r="J1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" s="8" t="str">
        <f>IF(tblSales[[#This Row],[Key]]="","",IFERROR(INDEX(ตารางรวม!$W:$W,MATCH(tblSales[[#This Row],[Key]],ตารางรวม!$Z:$Z,0)),"ไม่พบสูตร"))</f>
        <v/>
      </c>
      <c r="L18" s="8" t="str">
        <f>IF(tblSales[[#This Row],[Key]]="","",IFERROR(INDEX(ตารางรวม!$V:$V,MATCH(tblSales[[#This Row],[Key]],ตารางรวม!$Z:$Z,0)),"ไม่พบสูตร"))</f>
        <v/>
      </c>
      <c r="M18" s="8" t="str">
        <f>IF(tblSales[[#This Row],[Key]]="","",IFERROR(tblSales[[#This Row],[ราคาต่อแก้ว]]*tblSales[[#This Row],[จำนวนแก้ว]],""))</f>
        <v/>
      </c>
      <c r="N18" s="8" t="str">
        <f>IF(tblSales[[#This Row],[Key]]="","",IFERROR(tblSales[[#This Row],[ต้นทุนต่อแก้ว]]*tblSales[[#This Row],[จำนวนแก้ว]],""))</f>
        <v/>
      </c>
      <c r="O18" s="8" t="str">
        <f>IF(tblSales[[#This Row],[Key]]="","",IFERROR(tblSales[[#This Row],[ยอดขาย (บาท)]]-tblSales[[#This Row],[ต้นทุนรวม (บาท)]],""))</f>
        <v/>
      </c>
      <c r="P18" s="21" t="str">
        <f>IF(tblSales[[#This Row],[Key]]="","",IFERROR(tblSales[[#This Row],[กำไร (บาท)]]/tblSales[[#This Row],[ยอดขาย (บาท)]],""))</f>
        <v/>
      </c>
      <c r="Q18" s="10" t="str">
        <f>IF(tblSales[[#This Row],[Key]]="","",IFERROR(INDEX(ตารางรวม!$D:$D,MATCH(tblSales[[#This Row],[Key]],ตารางรวม!$Z:$Z,0))*tblSales[[#This Row],[จำนวนแก้ว]],0))</f>
        <v/>
      </c>
      <c r="R18" s="10" t="str">
        <f>IF(tblSales[[#This Row],[Key]]="","",IFERROR(INDEX(ตารางรวม!$E:$E,MATCH(tblSales[[#This Row],[Key]],ตารางรวม!$Z:$Z,0))*tblSales[[#This Row],[จำนวนแก้ว]],0))</f>
        <v/>
      </c>
      <c r="S18" s="10" t="str">
        <f>IF(tblSales[[#This Row],[Key]]="","",IFERROR(INDEX(ตารางรวม!$F:$F,MATCH(tblSales[[#This Row],[Key]],ตารางรวม!$Z:$Z,0))*tblSales[[#This Row],[จำนวนแก้ว]],0))</f>
        <v/>
      </c>
      <c r="T18" s="10" t="str">
        <f>IF(tblSales[[#This Row],[Key]]="","",IFERROR(INDEX(ตารางรวม!$G:$G,MATCH(tblSales[[#This Row],[Key]],ตารางรวม!$Z:$Z,0))*tblSales[[#This Row],[จำนวนแก้ว]],0))</f>
        <v/>
      </c>
      <c r="U18" s="10" t="str">
        <f>IF(tblSales[[#This Row],[Key]]="","",IFERROR(INDEX(ตารางรวม!$H:$H,MATCH(tblSales[[#This Row],[Key]],ตารางรวม!$Z:$Z,0))*tblSales[[#This Row],[จำนวนแก้ว]],0))</f>
        <v/>
      </c>
      <c r="V18" s="10" t="str">
        <f>IF(tblSales[[#This Row],[Key]]="","",IFERROR(INDEX(ตารางรวม!$I:$I,MATCH(tblSales[[#This Row],[Key]],ตารางรวม!$Z:$Z,0))*tblSales[[#This Row],[จำนวนแก้ว]],0))</f>
        <v/>
      </c>
      <c r="W18" s="10" t="str">
        <f>IF(tblSales[[#This Row],[Key]]="","",IFERROR(INDEX(ตารางรวม!$J:$J,MATCH(tblSales[[#This Row],[Key]],ตารางรวม!$Z:$Z,0))*tblSales[[#This Row],[จำนวนแก้ว]],0))</f>
        <v/>
      </c>
      <c r="X18" s="10" t="str">
        <f>IF(tblSales[[#This Row],[Key]]="","",IFERROR(INDEX(ตารางรวม!$K:$K,MATCH(tblSales[[#This Row],[Key]],ตารางรวม!$Z:$Z,0))*tblSales[[#This Row],[จำนวนแก้ว]],0))</f>
        <v/>
      </c>
      <c r="Y18" s="10" t="str">
        <f>IF(tblSales[[#This Row],[Key]]="","",IFERROR(INDEX(ตารางรวม!$L:$L,MATCH(tblSales[[#This Row],[Key]],ตารางรวม!$Z:$Z,0))*tblSales[[#This Row],[จำนวนแก้ว]],0))</f>
        <v/>
      </c>
      <c r="Z1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" s="10" t="str">
        <f>IF(tblSales[[#This Row],[Key]]="","",IF(tblSales[[#This Row],[ขนาด]]="16 oz",tblSales[[#This Row],[จำนวนแก้ว]],0))</f>
        <v/>
      </c>
      <c r="AI18" s="10" t="str">
        <f>IF(tblSales[[#This Row],[Key]]="","",IF(tblSales[[#This Row],[ขนาด]]="20 oz",tblSales[[#This Row],[จำนวนแก้ว]],0))</f>
        <v/>
      </c>
      <c r="AJ18" s="10" t="str">
        <f>IF(tblSales[[#This Row],[Key]]="","",IF(tblSales[[#This Row],[ขนาด]]="22 oz",tblSales[[#This Row],[จำนวนแก้ว]],0))</f>
        <v/>
      </c>
    </row>
    <row r="19" spans="1:36" x14ac:dyDescent="0.25">
      <c r="A19" s="4" t="str">
        <f>IF(tblSales[[#This Row],[วันที่]]="","","S"&amp;TEXT(tblSales[[#This Row],[วันที่]],"yymmdd")&amp;"-"&amp;TEXT(ROW()-5,"000"))</f>
        <v/>
      </c>
      <c r="B19" s="16"/>
      <c r="C19" s="6"/>
      <c r="D19" s="6"/>
      <c r="E19" s="20"/>
      <c r="F19" s="6"/>
      <c r="G19" s="6"/>
      <c r="H19" s="6"/>
      <c r="I19" s="6"/>
      <c r="J1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" s="8" t="str">
        <f>IF(tblSales[[#This Row],[Key]]="","",IFERROR(INDEX(ตารางรวม!$W:$W,MATCH(tblSales[[#This Row],[Key]],ตารางรวม!$Z:$Z,0)),"ไม่พบสูตร"))</f>
        <v/>
      </c>
      <c r="L19" s="8" t="str">
        <f>IF(tblSales[[#This Row],[Key]]="","",IFERROR(INDEX(ตารางรวม!$V:$V,MATCH(tblSales[[#This Row],[Key]],ตารางรวม!$Z:$Z,0)),"ไม่พบสูตร"))</f>
        <v/>
      </c>
      <c r="M19" s="8" t="str">
        <f>IF(tblSales[[#This Row],[Key]]="","",IFERROR(tblSales[[#This Row],[ราคาต่อแก้ว]]*tblSales[[#This Row],[จำนวนแก้ว]],""))</f>
        <v/>
      </c>
      <c r="N19" s="8" t="str">
        <f>IF(tblSales[[#This Row],[Key]]="","",IFERROR(tblSales[[#This Row],[ต้นทุนต่อแก้ว]]*tblSales[[#This Row],[จำนวนแก้ว]],""))</f>
        <v/>
      </c>
      <c r="O19" s="8" t="str">
        <f>IF(tblSales[[#This Row],[Key]]="","",IFERROR(tblSales[[#This Row],[ยอดขาย (บาท)]]-tblSales[[#This Row],[ต้นทุนรวม (บาท)]],""))</f>
        <v/>
      </c>
      <c r="P19" s="21" t="str">
        <f>IF(tblSales[[#This Row],[Key]]="","",IFERROR(tblSales[[#This Row],[กำไร (บาท)]]/tblSales[[#This Row],[ยอดขาย (บาท)]],""))</f>
        <v/>
      </c>
      <c r="Q19" s="10" t="str">
        <f>IF(tblSales[[#This Row],[Key]]="","",IFERROR(INDEX(ตารางรวม!$D:$D,MATCH(tblSales[[#This Row],[Key]],ตารางรวม!$Z:$Z,0))*tblSales[[#This Row],[จำนวนแก้ว]],0))</f>
        <v/>
      </c>
      <c r="R19" s="10" t="str">
        <f>IF(tblSales[[#This Row],[Key]]="","",IFERROR(INDEX(ตารางรวม!$E:$E,MATCH(tblSales[[#This Row],[Key]],ตารางรวม!$Z:$Z,0))*tblSales[[#This Row],[จำนวนแก้ว]],0))</f>
        <v/>
      </c>
      <c r="S19" s="10" t="str">
        <f>IF(tblSales[[#This Row],[Key]]="","",IFERROR(INDEX(ตารางรวม!$F:$F,MATCH(tblSales[[#This Row],[Key]],ตารางรวม!$Z:$Z,0))*tblSales[[#This Row],[จำนวนแก้ว]],0))</f>
        <v/>
      </c>
      <c r="T19" s="10" t="str">
        <f>IF(tblSales[[#This Row],[Key]]="","",IFERROR(INDEX(ตารางรวม!$G:$G,MATCH(tblSales[[#This Row],[Key]],ตารางรวม!$Z:$Z,0))*tblSales[[#This Row],[จำนวนแก้ว]],0))</f>
        <v/>
      </c>
      <c r="U19" s="10" t="str">
        <f>IF(tblSales[[#This Row],[Key]]="","",IFERROR(INDEX(ตารางรวม!$H:$H,MATCH(tblSales[[#This Row],[Key]],ตารางรวม!$Z:$Z,0))*tblSales[[#This Row],[จำนวนแก้ว]],0))</f>
        <v/>
      </c>
      <c r="V19" s="10" t="str">
        <f>IF(tblSales[[#This Row],[Key]]="","",IFERROR(INDEX(ตารางรวม!$I:$I,MATCH(tblSales[[#This Row],[Key]],ตารางรวม!$Z:$Z,0))*tblSales[[#This Row],[จำนวนแก้ว]],0))</f>
        <v/>
      </c>
      <c r="W19" s="10" t="str">
        <f>IF(tblSales[[#This Row],[Key]]="","",IFERROR(INDEX(ตารางรวม!$J:$J,MATCH(tblSales[[#This Row],[Key]],ตารางรวม!$Z:$Z,0))*tblSales[[#This Row],[จำนวนแก้ว]],0))</f>
        <v/>
      </c>
      <c r="X19" s="10" t="str">
        <f>IF(tblSales[[#This Row],[Key]]="","",IFERROR(INDEX(ตารางรวม!$K:$K,MATCH(tblSales[[#This Row],[Key]],ตารางรวม!$Z:$Z,0))*tblSales[[#This Row],[จำนวนแก้ว]],0))</f>
        <v/>
      </c>
      <c r="Y19" s="10" t="str">
        <f>IF(tblSales[[#This Row],[Key]]="","",IFERROR(INDEX(ตารางรวม!$L:$L,MATCH(tblSales[[#This Row],[Key]],ตารางรวม!$Z:$Z,0))*tblSales[[#This Row],[จำนวนแก้ว]],0))</f>
        <v/>
      </c>
      <c r="Z1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" s="10" t="str">
        <f>IF(tblSales[[#This Row],[Key]]="","",IF(tblSales[[#This Row],[ขนาด]]="16 oz",tblSales[[#This Row],[จำนวนแก้ว]],0))</f>
        <v/>
      </c>
      <c r="AI19" s="10" t="str">
        <f>IF(tblSales[[#This Row],[Key]]="","",IF(tblSales[[#This Row],[ขนาด]]="20 oz",tblSales[[#This Row],[จำนวนแก้ว]],0))</f>
        <v/>
      </c>
      <c r="AJ19" s="10" t="str">
        <f>IF(tblSales[[#This Row],[Key]]="","",IF(tblSales[[#This Row],[ขนาด]]="22 oz",tblSales[[#This Row],[จำนวนแก้ว]],0))</f>
        <v/>
      </c>
    </row>
    <row r="20" spans="1:36" x14ac:dyDescent="0.25">
      <c r="A20" s="4" t="str">
        <f>IF(tblSales[[#This Row],[วันที่]]="","","S"&amp;TEXT(tblSales[[#This Row],[วันที่]],"yymmdd")&amp;"-"&amp;TEXT(ROW()-5,"000"))</f>
        <v/>
      </c>
      <c r="B20" s="16"/>
      <c r="C20" s="6"/>
      <c r="D20" s="6"/>
      <c r="E20" s="20"/>
      <c r="F20" s="6"/>
      <c r="G20" s="6"/>
      <c r="H20" s="6"/>
      <c r="I20" s="6"/>
      <c r="J2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" s="8" t="str">
        <f>IF(tblSales[[#This Row],[Key]]="","",IFERROR(INDEX(ตารางรวม!$W:$W,MATCH(tblSales[[#This Row],[Key]],ตารางรวม!$Z:$Z,0)),"ไม่พบสูตร"))</f>
        <v/>
      </c>
      <c r="L20" s="8" t="str">
        <f>IF(tblSales[[#This Row],[Key]]="","",IFERROR(INDEX(ตารางรวม!$V:$V,MATCH(tblSales[[#This Row],[Key]],ตารางรวม!$Z:$Z,0)),"ไม่พบสูตร"))</f>
        <v/>
      </c>
      <c r="M20" s="8" t="str">
        <f>IF(tblSales[[#This Row],[Key]]="","",IFERROR(tblSales[[#This Row],[ราคาต่อแก้ว]]*tblSales[[#This Row],[จำนวนแก้ว]],""))</f>
        <v/>
      </c>
      <c r="N20" s="8" t="str">
        <f>IF(tblSales[[#This Row],[Key]]="","",IFERROR(tblSales[[#This Row],[ต้นทุนต่อแก้ว]]*tblSales[[#This Row],[จำนวนแก้ว]],""))</f>
        <v/>
      </c>
      <c r="O20" s="8" t="str">
        <f>IF(tblSales[[#This Row],[Key]]="","",IFERROR(tblSales[[#This Row],[ยอดขาย (บาท)]]-tblSales[[#This Row],[ต้นทุนรวม (บาท)]],""))</f>
        <v/>
      </c>
      <c r="P20" s="21" t="str">
        <f>IF(tblSales[[#This Row],[Key]]="","",IFERROR(tblSales[[#This Row],[กำไร (บาท)]]/tblSales[[#This Row],[ยอดขาย (บาท)]],""))</f>
        <v/>
      </c>
      <c r="Q20" s="10" t="str">
        <f>IF(tblSales[[#This Row],[Key]]="","",IFERROR(INDEX(ตารางรวม!$D:$D,MATCH(tblSales[[#This Row],[Key]],ตารางรวม!$Z:$Z,0))*tblSales[[#This Row],[จำนวนแก้ว]],0))</f>
        <v/>
      </c>
      <c r="R20" s="10" t="str">
        <f>IF(tblSales[[#This Row],[Key]]="","",IFERROR(INDEX(ตารางรวม!$E:$E,MATCH(tblSales[[#This Row],[Key]],ตารางรวม!$Z:$Z,0))*tblSales[[#This Row],[จำนวนแก้ว]],0))</f>
        <v/>
      </c>
      <c r="S20" s="10" t="str">
        <f>IF(tblSales[[#This Row],[Key]]="","",IFERROR(INDEX(ตารางรวม!$F:$F,MATCH(tblSales[[#This Row],[Key]],ตารางรวม!$Z:$Z,0))*tblSales[[#This Row],[จำนวนแก้ว]],0))</f>
        <v/>
      </c>
      <c r="T20" s="10" t="str">
        <f>IF(tblSales[[#This Row],[Key]]="","",IFERROR(INDEX(ตารางรวม!$G:$G,MATCH(tblSales[[#This Row],[Key]],ตารางรวม!$Z:$Z,0))*tblSales[[#This Row],[จำนวนแก้ว]],0))</f>
        <v/>
      </c>
      <c r="U20" s="10" t="str">
        <f>IF(tblSales[[#This Row],[Key]]="","",IFERROR(INDEX(ตารางรวม!$H:$H,MATCH(tblSales[[#This Row],[Key]],ตารางรวม!$Z:$Z,0))*tblSales[[#This Row],[จำนวนแก้ว]],0))</f>
        <v/>
      </c>
      <c r="V20" s="10" t="str">
        <f>IF(tblSales[[#This Row],[Key]]="","",IFERROR(INDEX(ตารางรวม!$I:$I,MATCH(tblSales[[#This Row],[Key]],ตารางรวม!$Z:$Z,0))*tblSales[[#This Row],[จำนวนแก้ว]],0))</f>
        <v/>
      </c>
      <c r="W20" s="10" t="str">
        <f>IF(tblSales[[#This Row],[Key]]="","",IFERROR(INDEX(ตารางรวม!$J:$J,MATCH(tblSales[[#This Row],[Key]],ตารางรวม!$Z:$Z,0))*tblSales[[#This Row],[จำนวนแก้ว]],0))</f>
        <v/>
      </c>
      <c r="X20" s="10" t="str">
        <f>IF(tblSales[[#This Row],[Key]]="","",IFERROR(INDEX(ตารางรวม!$K:$K,MATCH(tblSales[[#This Row],[Key]],ตารางรวม!$Z:$Z,0))*tblSales[[#This Row],[จำนวนแก้ว]],0))</f>
        <v/>
      </c>
      <c r="Y20" s="10" t="str">
        <f>IF(tblSales[[#This Row],[Key]]="","",IFERROR(INDEX(ตารางรวม!$L:$L,MATCH(tblSales[[#This Row],[Key]],ตารางรวม!$Z:$Z,0))*tblSales[[#This Row],[จำนวนแก้ว]],0))</f>
        <v/>
      </c>
      <c r="Z2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" s="10" t="str">
        <f>IF(tblSales[[#This Row],[Key]]="","",IF(tblSales[[#This Row],[ขนาด]]="16 oz",tblSales[[#This Row],[จำนวนแก้ว]],0))</f>
        <v/>
      </c>
      <c r="AI20" s="10" t="str">
        <f>IF(tblSales[[#This Row],[Key]]="","",IF(tblSales[[#This Row],[ขนาด]]="20 oz",tblSales[[#This Row],[จำนวนแก้ว]],0))</f>
        <v/>
      </c>
      <c r="AJ20" s="10" t="str">
        <f>IF(tblSales[[#This Row],[Key]]="","",IF(tblSales[[#This Row],[ขนาด]]="22 oz",tblSales[[#This Row],[จำนวนแก้ว]],0))</f>
        <v/>
      </c>
    </row>
    <row r="21" spans="1:36" x14ac:dyDescent="0.25">
      <c r="A21" s="4" t="str">
        <f>IF(tblSales[[#This Row],[วันที่]]="","","S"&amp;TEXT(tblSales[[#This Row],[วันที่]],"yymmdd")&amp;"-"&amp;TEXT(ROW()-5,"000"))</f>
        <v/>
      </c>
      <c r="B21" s="16"/>
      <c r="C21" s="6"/>
      <c r="D21" s="6"/>
      <c r="E21" s="20"/>
      <c r="F21" s="6"/>
      <c r="G21" s="6"/>
      <c r="H21" s="6"/>
      <c r="I21" s="6"/>
      <c r="J2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" s="8" t="str">
        <f>IF(tblSales[[#This Row],[Key]]="","",IFERROR(INDEX(ตารางรวม!$W:$W,MATCH(tblSales[[#This Row],[Key]],ตารางรวม!$Z:$Z,0)),"ไม่พบสูตร"))</f>
        <v/>
      </c>
      <c r="L21" s="8" t="str">
        <f>IF(tblSales[[#This Row],[Key]]="","",IFERROR(INDEX(ตารางรวม!$V:$V,MATCH(tblSales[[#This Row],[Key]],ตารางรวม!$Z:$Z,0)),"ไม่พบสูตร"))</f>
        <v/>
      </c>
      <c r="M21" s="8" t="str">
        <f>IF(tblSales[[#This Row],[Key]]="","",IFERROR(tblSales[[#This Row],[ราคาต่อแก้ว]]*tblSales[[#This Row],[จำนวนแก้ว]],""))</f>
        <v/>
      </c>
      <c r="N21" s="8" t="str">
        <f>IF(tblSales[[#This Row],[Key]]="","",IFERROR(tblSales[[#This Row],[ต้นทุนต่อแก้ว]]*tblSales[[#This Row],[จำนวนแก้ว]],""))</f>
        <v/>
      </c>
      <c r="O21" s="8" t="str">
        <f>IF(tblSales[[#This Row],[Key]]="","",IFERROR(tblSales[[#This Row],[ยอดขาย (บาท)]]-tblSales[[#This Row],[ต้นทุนรวม (บาท)]],""))</f>
        <v/>
      </c>
      <c r="P21" s="21" t="str">
        <f>IF(tblSales[[#This Row],[Key]]="","",IFERROR(tblSales[[#This Row],[กำไร (บาท)]]/tblSales[[#This Row],[ยอดขาย (บาท)]],""))</f>
        <v/>
      </c>
      <c r="Q21" s="10" t="str">
        <f>IF(tblSales[[#This Row],[Key]]="","",IFERROR(INDEX(ตารางรวม!$D:$D,MATCH(tblSales[[#This Row],[Key]],ตารางรวม!$Z:$Z,0))*tblSales[[#This Row],[จำนวนแก้ว]],0))</f>
        <v/>
      </c>
      <c r="R21" s="10" t="str">
        <f>IF(tblSales[[#This Row],[Key]]="","",IFERROR(INDEX(ตารางรวม!$E:$E,MATCH(tblSales[[#This Row],[Key]],ตารางรวม!$Z:$Z,0))*tblSales[[#This Row],[จำนวนแก้ว]],0))</f>
        <v/>
      </c>
      <c r="S21" s="10" t="str">
        <f>IF(tblSales[[#This Row],[Key]]="","",IFERROR(INDEX(ตารางรวม!$F:$F,MATCH(tblSales[[#This Row],[Key]],ตารางรวม!$Z:$Z,0))*tblSales[[#This Row],[จำนวนแก้ว]],0))</f>
        <v/>
      </c>
      <c r="T21" s="10" t="str">
        <f>IF(tblSales[[#This Row],[Key]]="","",IFERROR(INDEX(ตารางรวม!$G:$G,MATCH(tblSales[[#This Row],[Key]],ตารางรวม!$Z:$Z,0))*tblSales[[#This Row],[จำนวนแก้ว]],0))</f>
        <v/>
      </c>
      <c r="U21" s="10" t="str">
        <f>IF(tblSales[[#This Row],[Key]]="","",IFERROR(INDEX(ตารางรวม!$H:$H,MATCH(tblSales[[#This Row],[Key]],ตารางรวม!$Z:$Z,0))*tblSales[[#This Row],[จำนวนแก้ว]],0))</f>
        <v/>
      </c>
      <c r="V21" s="10" t="str">
        <f>IF(tblSales[[#This Row],[Key]]="","",IFERROR(INDEX(ตารางรวม!$I:$I,MATCH(tblSales[[#This Row],[Key]],ตารางรวม!$Z:$Z,0))*tblSales[[#This Row],[จำนวนแก้ว]],0))</f>
        <v/>
      </c>
      <c r="W21" s="10" t="str">
        <f>IF(tblSales[[#This Row],[Key]]="","",IFERROR(INDEX(ตารางรวม!$J:$J,MATCH(tblSales[[#This Row],[Key]],ตารางรวม!$Z:$Z,0))*tblSales[[#This Row],[จำนวนแก้ว]],0))</f>
        <v/>
      </c>
      <c r="X21" s="10" t="str">
        <f>IF(tblSales[[#This Row],[Key]]="","",IFERROR(INDEX(ตารางรวม!$K:$K,MATCH(tblSales[[#This Row],[Key]],ตารางรวม!$Z:$Z,0))*tblSales[[#This Row],[จำนวนแก้ว]],0))</f>
        <v/>
      </c>
      <c r="Y21" s="10" t="str">
        <f>IF(tblSales[[#This Row],[Key]]="","",IFERROR(INDEX(ตารางรวม!$L:$L,MATCH(tblSales[[#This Row],[Key]],ตารางรวม!$Z:$Z,0))*tblSales[[#This Row],[จำนวนแก้ว]],0))</f>
        <v/>
      </c>
      <c r="Z2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" s="10" t="str">
        <f>IF(tblSales[[#This Row],[Key]]="","",IF(tblSales[[#This Row],[ขนาด]]="16 oz",tblSales[[#This Row],[จำนวนแก้ว]],0))</f>
        <v/>
      </c>
      <c r="AI21" s="10" t="str">
        <f>IF(tblSales[[#This Row],[Key]]="","",IF(tblSales[[#This Row],[ขนาด]]="20 oz",tblSales[[#This Row],[จำนวนแก้ว]],0))</f>
        <v/>
      </c>
      <c r="AJ21" s="10" t="str">
        <f>IF(tblSales[[#This Row],[Key]]="","",IF(tblSales[[#This Row],[ขนาด]]="22 oz",tblSales[[#This Row],[จำนวนแก้ว]],0))</f>
        <v/>
      </c>
    </row>
    <row r="22" spans="1:36" x14ac:dyDescent="0.25">
      <c r="A22" s="4" t="str">
        <f>IF(tblSales[[#This Row],[วันที่]]="","","S"&amp;TEXT(tblSales[[#This Row],[วันที่]],"yymmdd")&amp;"-"&amp;TEXT(ROW()-5,"000"))</f>
        <v/>
      </c>
      <c r="B22" s="16"/>
      <c r="C22" s="6"/>
      <c r="D22" s="6"/>
      <c r="E22" s="20"/>
      <c r="F22" s="6"/>
      <c r="G22" s="6"/>
      <c r="H22" s="6"/>
      <c r="I22" s="6"/>
      <c r="J2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" s="8" t="str">
        <f>IF(tblSales[[#This Row],[Key]]="","",IFERROR(INDEX(ตารางรวม!$W:$W,MATCH(tblSales[[#This Row],[Key]],ตารางรวม!$Z:$Z,0)),"ไม่พบสูตร"))</f>
        <v/>
      </c>
      <c r="L22" s="8" t="str">
        <f>IF(tblSales[[#This Row],[Key]]="","",IFERROR(INDEX(ตารางรวม!$V:$V,MATCH(tblSales[[#This Row],[Key]],ตารางรวม!$Z:$Z,0)),"ไม่พบสูตร"))</f>
        <v/>
      </c>
      <c r="M22" s="8" t="str">
        <f>IF(tblSales[[#This Row],[Key]]="","",IFERROR(tblSales[[#This Row],[ราคาต่อแก้ว]]*tblSales[[#This Row],[จำนวนแก้ว]],""))</f>
        <v/>
      </c>
      <c r="N22" s="8" t="str">
        <f>IF(tblSales[[#This Row],[Key]]="","",IFERROR(tblSales[[#This Row],[ต้นทุนต่อแก้ว]]*tblSales[[#This Row],[จำนวนแก้ว]],""))</f>
        <v/>
      </c>
      <c r="O22" s="8" t="str">
        <f>IF(tblSales[[#This Row],[Key]]="","",IFERROR(tblSales[[#This Row],[ยอดขาย (บาท)]]-tblSales[[#This Row],[ต้นทุนรวม (บาท)]],""))</f>
        <v/>
      </c>
      <c r="P22" s="21" t="str">
        <f>IF(tblSales[[#This Row],[Key]]="","",IFERROR(tblSales[[#This Row],[กำไร (บาท)]]/tblSales[[#This Row],[ยอดขาย (บาท)]],""))</f>
        <v/>
      </c>
      <c r="Q22" s="10" t="str">
        <f>IF(tblSales[[#This Row],[Key]]="","",IFERROR(INDEX(ตารางรวม!$D:$D,MATCH(tblSales[[#This Row],[Key]],ตารางรวม!$Z:$Z,0))*tblSales[[#This Row],[จำนวนแก้ว]],0))</f>
        <v/>
      </c>
      <c r="R22" s="10" t="str">
        <f>IF(tblSales[[#This Row],[Key]]="","",IFERROR(INDEX(ตารางรวม!$E:$E,MATCH(tblSales[[#This Row],[Key]],ตารางรวม!$Z:$Z,0))*tblSales[[#This Row],[จำนวนแก้ว]],0))</f>
        <v/>
      </c>
      <c r="S22" s="10" t="str">
        <f>IF(tblSales[[#This Row],[Key]]="","",IFERROR(INDEX(ตารางรวม!$F:$F,MATCH(tblSales[[#This Row],[Key]],ตารางรวม!$Z:$Z,0))*tblSales[[#This Row],[จำนวนแก้ว]],0))</f>
        <v/>
      </c>
      <c r="T22" s="10" t="str">
        <f>IF(tblSales[[#This Row],[Key]]="","",IFERROR(INDEX(ตารางรวม!$G:$G,MATCH(tblSales[[#This Row],[Key]],ตารางรวม!$Z:$Z,0))*tblSales[[#This Row],[จำนวนแก้ว]],0))</f>
        <v/>
      </c>
      <c r="U22" s="10" t="str">
        <f>IF(tblSales[[#This Row],[Key]]="","",IFERROR(INDEX(ตารางรวม!$H:$H,MATCH(tblSales[[#This Row],[Key]],ตารางรวม!$Z:$Z,0))*tblSales[[#This Row],[จำนวนแก้ว]],0))</f>
        <v/>
      </c>
      <c r="V22" s="10" t="str">
        <f>IF(tblSales[[#This Row],[Key]]="","",IFERROR(INDEX(ตารางรวม!$I:$I,MATCH(tblSales[[#This Row],[Key]],ตารางรวม!$Z:$Z,0))*tblSales[[#This Row],[จำนวนแก้ว]],0))</f>
        <v/>
      </c>
      <c r="W22" s="10" t="str">
        <f>IF(tblSales[[#This Row],[Key]]="","",IFERROR(INDEX(ตารางรวม!$J:$J,MATCH(tblSales[[#This Row],[Key]],ตารางรวม!$Z:$Z,0))*tblSales[[#This Row],[จำนวนแก้ว]],0))</f>
        <v/>
      </c>
      <c r="X22" s="10" t="str">
        <f>IF(tblSales[[#This Row],[Key]]="","",IFERROR(INDEX(ตารางรวม!$K:$K,MATCH(tblSales[[#This Row],[Key]],ตารางรวม!$Z:$Z,0))*tblSales[[#This Row],[จำนวนแก้ว]],0))</f>
        <v/>
      </c>
      <c r="Y22" s="10" t="str">
        <f>IF(tblSales[[#This Row],[Key]]="","",IFERROR(INDEX(ตารางรวม!$L:$L,MATCH(tblSales[[#This Row],[Key]],ตารางรวม!$Z:$Z,0))*tblSales[[#This Row],[จำนวนแก้ว]],0))</f>
        <v/>
      </c>
      <c r="Z2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" s="10" t="str">
        <f>IF(tblSales[[#This Row],[Key]]="","",IF(tblSales[[#This Row],[ขนาด]]="16 oz",tblSales[[#This Row],[จำนวนแก้ว]],0))</f>
        <v/>
      </c>
      <c r="AI22" s="10" t="str">
        <f>IF(tblSales[[#This Row],[Key]]="","",IF(tblSales[[#This Row],[ขนาด]]="20 oz",tblSales[[#This Row],[จำนวนแก้ว]],0))</f>
        <v/>
      </c>
      <c r="AJ22" s="10" t="str">
        <f>IF(tblSales[[#This Row],[Key]]="","",IF(tblSales[[#This Row],[ขนาด]]="22 oz",tblSales[[#This Row],[จำนวนแก้ว]],0))</f>
        <v/>
      </c>
    </row>
    <row r="23" spans="1:36" x14ac:dyDescent="0.25">
      <c r="A23" s="4" t="str">
        <f>IF(tblSales[[#This Row],[วันที่]]="","","S"&amp;TEXT(tblSales[[#This Row],[วันที่]],"yymmdd")&amp;"-"&amp;TEXT(ROW()-5,"000"))</f>
        <v/>
      </c>
      <c r="B23" s="16"/>
      <c r="C23" s="6"/>
      <c r="D23" s="6"/>
      <c r="E23" s="20"/>
      <c r="F23" s="6"/>
      <c r="G23" s="6"/>
      <c r="H23" s="6"/>
      <c r="I23" s="6"/>
      <c r="J2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" s="8" t="str">
        <f>IF(tblSales[[#This Row],[Key]]="","",IFERROR(INDEX(ตารางรวม!$W:$W,MATCH(tblSales[[#This Row],[Key]],ตารางรวม!$Z:$Z,0)),"ไม่พบสูตร"))</f>
        <v/>
      </c>
      <c r="L23" s="8" t="str">
        <f>IF(tblSales[[#This Row],[Key]]="","",IFERROR(INDEX(ตารางรวม!$V:$V,MATCH(tblSales[[#This Row],[Key]],ตารางรวม!$Z:$Z,0)),"ไม่พบสูตร"))</f>
        <v/>
      </c>
      <c r="M23" s="8" t="str">
        <f>IF(tblSales[[#This Row],[Key]]="","",IFERROR(tblSales[[#This Row],[ราคาต่อแก้ว]]*tblSales[[#This Row],[จำนวนแก้ว]],""))</f>
        <v/>
      </c>
      <c r="N23" s="8" t="str">
        <f>IF(tblSales[[#This Row],[Key]]="","",IFERROR(tblSales[[#This Row],[ต้นทุนต่อแก้ว]]*tblSales[[#This Row],[จำนวนแก้ว]],""))</f>
        <v/>
      </c>
      <c r="O23" s="8" t="str">
        <f>IF(tblSales[[#This Row],[Key]]="","",IFERROR(tblSales[[#This Row],[ยอดขาย (บาท)]]-tblSales[[#This Row],[ต้นทุนรวม (บาท)]],""))</f>
        <v/>
      </c>
      <c r="P23" s="21" t="str">
        <f>IF(tblSales[[#This Row],[Key]]="","",IFERROR(tblSales[[#This Row],[กำไร (บาท)]]/tblSales[[#This Row],[ยอดขาย (บาท)]],""))</f>
        <v/>
      </c>
      <c r="Q23" s="10" t="str">
        <f>IF(tblSales[[#This Row],[Key]]="","",IFERROR(INDEX(ตารางรวม!$D:$D,MATCH(tblSales[[#This Row],[Key]],ตารางรวม!$Z:$Z,0))*tblSales[[#This Row],[จำนวนแก้ว]],0))</f>
        <v/>
      </c>
      <c r="R23" s="10" t="str">
        <f>IF(tblSales[[#This Row],[Key]]="","",IFERROR(INDEX(ตารางรวม!$E:$E,MATCH(tblSales[[#This Row],[Key]],ตารางรวม!$Z:$Z,0))*tblSales[[#This Row],[จำนวนแก้ว]],0))</f>
        <v/>
      </c>
      <c r="S23" s="10" t="str">
        <f>IF(tblSales[[#This Row],[Key]]="","",IFERROR(INDEX(ตารางรวม!$F:$F,MATCH(tblSales[[#This Row],[Key]],ตารางรวม!$Z:$Z,0))*tblSales[[#This Row],[จำนวนแก้ว]],0))</f>
        <v/>
      </c>
      <c r="T23" s="10" t="str">
        <f>IF(tblSales[[#This Row],[Key]]="","",IFERROR(INDEX(ตารางรวม!$G:$G,MATCH(tblSales[[#This Row],[Key]],ตารางรวม!$Z:$Z,0))*tblSales[[#This Row],[จำนวนแก้ว]],0))</f>
        <v/>
      </c>
      <c r="U23" s="10" t="str">
        <f>IF(tblSales[[#This Row],[Key]]="","",IFERROR(INDEX(ตารางรวม!$H:$H,MATCH(tblSales[[#This Row],[Key]],ตารางรวม!$Z:$Z,0))*tblSales[[#This Row],[จำนวนแก้ว]],0))</f>
        <v/>
      </c>
      <c r="V23" s="10" t="str">
        <f>IF(tblSales[[#This Row],[Key]]="","",IFERROR(INDEX(ตารางรวม!$I:$I,MATCH(tblSales[[#This Row],[Key]],ตารางรวม!$Z:$Z,0))*tblSales[[#This Row],[จำนวนแก้ว]],0))</f>
        <v/>
      </c>
      <c r="W23" s="10" t="str">
        <f>IF(tblSales[[#This Row],[Key]]="","",IFERROR(INDEX(ตารางรวม!$J:$J,MATCH(tblSales[[#This Row],[Key]],ตารางรวม!$Z:$Z,0))*tblSales[[#This Row],[จำนวนแก้ว]],0))</f>
        <v/>
      </c>
      <c r="X23" s="10" t="str">
        <f>IF(tblSales[[#This Row],[Key]]="","",IFERROR(INDEX(ตารางรวม!$K:$K,MATCH(tblSales[[#This Row],[Key]],ตารางรวม!$Z:$Z,0))*tblSales[[#This Row],[จำนวนแก้ว]],0))</f>
        <v/>
      </c>
      <c r="Y23" s="10" t="str">
        <f>IF(tblSales[[#This Row],[Key]]="","",IFERROR(INDEX(ตารางรวม!$L:$L,MATCH(tblSales[[#This Row],[Key]],ตารางรวม!$Z:$Z,0))*tblSales[[#This Row],[จำนวนแก้ว]],0))</f>
        <v/>
      </c>
      <c r="Z2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" s="10" t="str">
        <f>IF(tblSales[[#This Row],[Key]]="","",IF(tblSales[[#This Row],[ขนาด]]="16 oz",tblSales[[#This Row],[จำนวนแก้ว]],0))</f>
        <v/>
      </c>
      <c r="AI23" s="10" t="str">
        <f>IF(tblSales[[#This Row],[Key]]="","",IF(tblSales[[#This Row],[ขนาด]]="20 oz",tblSales[[#This Row],[จำนวนแก้ว]],0))</f>
        <v/>
      </c>
      <c r="AJ23" s="10" t="str">
        <f>IF(tblSales[[#This Row],[Key]]="","",IF(tblSales[[#This Row],[ขนาด]]="22 oz",tblSales[[#This Row],[จำนวนแก้ว]],0))</f>
        <v/>
      </c>
    </row>
    <row r="24" spans="1:36" x14ac:dyDescent="0.25">
      <c r="A24" s="4" t="str">
        <f>IF(tblSales[[#This Row],[วันที่]]="","","S"&amp;TEXT(tblSales[[#This Row],[วันที่]],"yymmdd")&amp;"-"&amp;TEXT(ROW()-5,"000"))</f>
        <v/>
      </c>
      <c r="B24" s="16"/>
      <c r="C24" s="6"/>
      <c r="D24" s="6"/>
      <c r="E24" s="20"/>
      <c r="F24" s="6"/>
      <c r="G24" s="6"/>
      <c r="H24" s="6"/>
      <c r="I24" s="6"/>
      <c r="J2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" s="8" t="str">
        <f>IF(tblSales[[#This Row],[Key]]="","",IFERROR(INDEX(ตารางรวม!$W:$W,MATCH(tblSales[[#This Row],[Key]],ตารางรวม!$Z:$Z,0)),"ไม่พบสูตร"))</f>
        <v/>
      </c>
      <c r="L24" s="8" t="str">
        <f>IF(tblSales[[#This Row],[Key]]="","",IFERROR(INDEX(ตารางรวม!$V:$V,MATCH(tblSales[[#This Row],[Key]],ตารางรวม!$Z:$Z,0)),"ไม่พบสูตร"))</f>
        <v/>
      </c>
      <c r="M24" s="8" t="str">
        <f>IF(tblSales[[#This Row],[Key]]="","",IFERROR(tblSales[[#This Row],[ราคาต่อแก้ว]]*tblSales[[#This Row],[จำนวนแก้ว]],""))</f>
        <v/>
      </c>
      <c r="N24" s="8" t="str">
        <f>IF(tblSales[[#This Row],[Key]]="","",IFERROR(tblSales[[#This Row],[ต้นทุนต่อแก้ว]]*tblSales[[#This Row],[จำนวนแก้ว]],""))</f>
        <v/>
      </c>
      <c r="O24" s="8" t="str">
        <f>IF(tblSales[[#This Row],[Key]]="","",IFERROR(tblSales[[#This Row],[ยอดขาย (บาท)]]-tblSales[[#This Row],[ต้นทุนรวม (บาท)]],""))</f>
        <v/>
      </c>
      <c r="P24" s="21" t="str">
        <f>IF(tblSales[[#This Row],[Key]]="","",IFERROR(tblSales[[#This Row],[กำไร (บาท)]]/tblSales[[#This Row],[ยอดขาย (บาท)]],""))</f>
        <v/>
      </c>
      <c r="Q24" s="10" t="str">
        <f>IF(tblSales[[#This Row],[Key]]="","",IFERROR(INDEX(ตารางรวม!$D:$D,MATCH(tblSales[[#This Row],[Key]],ตารางรวม!$Z:$Z,0))*tblSales[[#This Row],[จำนวนแก้ว]],0))</f>
        <v/>
      </c>
      <c r="R24" s="10" t="str">
        <f>IF(tblSales[[#This Row],[Key]]="","",IFERROR(INDEX(ตารางรวม!$E:$E,MATCH(tblSales[[#This Row],[Key]],ตารางรวม!$Z:$Z,0))*tblSales[[#This Row],[จำนวนแก้ว]],0))</f>
        <v/>
      </c>
      <c r="S24" s="10" t="str">
        <f>IF(tblSales[[#This Row],[Key]]="","",IFERROR(INDEX(ตารางรวม!$F:$F,MATCH(tblSales[[#This Row],[Key]],ตารางรวม!$Z:$Z,0))*tblSales[[#This Row],[จำนวนแก้ว]],0))</f>
        <v/>
      </c>
      <c r="T24" s="10" t="str">
        <f>IF(tblSales[[#This Row],[Key]]="","",IFERROR(INDEX(ตารางรวม!$G:$G,MATCH(tblSales[[#This Row],[Key]],ตารางรวม!$Z:$Z,0))*tblSales[[#This Row],[จำนวนแก้ว]],0))</f>
        <v/>
      </c>
      <c r="U24" s="10" t="str">
        <f>IF(tblSales[[#This Row],[Key]]="","",IFERROR(INDEX(ตารางรวม!$H:$H,MATCH(tblSales[[#This Row],[Key]],ตารางรวม!$Z:$Z,0))*tblSales[[#This Row],[จำนวนแก้ว]],0))</f>
        <v/>
      </c>
      <c r="V24" s="10" t="str">
        <f>IF(tblSales[[#This Row],[Key]]="","",IFERROR(INDEX(ตารางรวม!$I:$I,MATCH(tblSales[[#This Row],[Key]],ตารางรวม!$Z:$Z,0))*tblSales[[#This Row],[จำนวนแก้ว]],0))</f>
        <v/>
      </c>
      <c r="W24" s="10" t="str">
        <f>IF(tblSales[[#This Row],[Key]]="","",IFERROR(INDEX(ตารางรวม!$J:$J,MATCH(tblSales[[#This Row],[Key]],ตารางรวม!$Z:$Z,0))*tblSales[[#This Row],[จำนวนแก้ว]],0))</f>
        <v/>
      </c>
      <c r="X24" s="10" t="str">
        <f>IF(tblSales[[#This Row],[Key]]="","",IFERROR(INDEX(ตารางรวม!$K:$K,MATCH(tblSales[[#This Row],[Key]],ตารางรวม!$Z:$Z,0))*tblSales[[#This Row],[จำนวนแก้ว]],0))</f>
        <v/>
      </c>
      <c r="Y24" s="10" t="str">
        <f>IF(tblSales[[#This Row],[Key]]="","",IFERROR(INDEX(ตารางรวม!$L:$L,MATCH(tblSales[[#This Row],[Key]],ตารางรวม!$Z:$Z,0))*tblSales[[#This Row],[จำนวนแก้ว]],0))</f>
        <v/>
      </c>
      <c r="Z2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" s="10" t="str">
        <f>IF(tblSales[[#This Row],[Key]]="","",IF(tblSales[[#This Row],[ขนาด]]="16 oz",tblSales[[#This Row],[จำนวนแก้ว]],0))</f>
        <v/>
      </c>
      <c r="AI24" s="10" t="str">
        <f>IF(tblSales[[#This Row],[Key]]="","",IF(tblSales[[#This Row],[ขนาด]]="20 oz",tblSales[[#This Row],[จำนวนแก้ว]],0))</f>
        <v/>
      </c>
      <c r="AJ24" s="10" t="str">
        <f>IF(tblSales[[#This Row],[Key]]="","",IF(tblSales[[#This Row],[ขนาด]]="22 oz",tblSales[[#This Row],[จำนวนแก้ว]],0))</f>
        <v/>
      </c>
    </row>
    <row r="25" spans="1:36" x14ac:dyDescent="0.25">
      <c r="A25" s="4" t="str">
        <f>IF(tblSales[[#This Row],[วันที่]]="","","S"&amp;TEXT(tblSales[[#This Row],[วันที่]],"yymmdd")&amp;"-"&amp;TEXT(ROW()-5,"000"))</f>
        <v/>
      </c>
      <c r="B25" s="16"/>
      <c r="C25" s="6"/>
      <c r="D25" s="6"/>
      <c r="E25" s="20"/>
      <c r="F25" s="6"/>
      <c r="G25" s="6"/>
      <c r="H25" s="6"/>
      <c r="I25" s="6"/>
      <c r="J2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" s="8" t="str">
        <f>IF(tblSales[[#This Row],[Key]]="","",IFERROR(INDEX(ตารางรวม!$W:$W,MATCH(tblSales[[#This Row],[Key]],ตารางรวม!$Z:$Z,0)),"ไม่พบสูตร"))</f>
        <v/>
      </c>
      <c r="L25" s="8" t="str">
        <f>IF(tblSales[[#This Row],[Key]]="","",IFERROR(INDEX(ตารางรวม!$V:$V,MATCH(tblSales[[#This Row],[Key]],ตารางรวม!$Z:$Z,0)),"ไม่พบสูตร"))</f>
        <v/>
      </c>
      <c r="M25" s="8" t="str">
        <f>IF(tblSales[[#This Row],[Key]]="","",IFERROR(tblSales[[#This Row],[ราคาต่อแก้ว]]*tblSales[[#This Row],[จำนวนแก้ว]],""))</f>
        <v/>
      </c>
      <c r="N25" s="8" t="str">
        <f>IF(tblSales[[#This Row],[Key]]="","",IFERROR(tblSales[[#This Row],[ต้นทุนต่อแก้ว]]*tblSales[[#This Row],[จำนวนแก้ว]],""))</f>
        <v/>
      </c>
      <c r="O25" s="8" t="str">
        <f>IF(tblSales[[#This Row],[Key]]="","",IFERROR(tblSales[[#This Row],[ยอดขาย (บาท)]]-tblSales[[#This Row],[ต้นทุนรวม (บาท)]],""))</f>
        <v/>
      </c>
      <c r="P25" s="21" t="str">
        <f>IF(tblSales[[#This Row],[Key]]="","",IFERROR(tblSales[[#This Row],[กำไร (บาท)]]/tblSales[[#This Row],[ยอดขาย (บาท)]],""))</f>
        <v/>
      </c>
      <c r="Q25" s="10" t="str">
        <f>IF(tblSales[[#This Row],[Key]]="","",IFERROR(INDEX(ตารางรวม!$D:$D,MATCH(tblSales[[#This Row],[Key]],ตารางรวม!$Z:$Z,0))*tblSales[[#This Row],[จำนวนแก้ว]],0))</f>
        <v/>
      </c>
      <c r="R25" s="10" t="str">
        <f>IF(tblSales[[#This Row],[Key]]="","",IFERROR(INDEX(ตารางรวม!$E:$E,MATCH(tblSales[[#This Row],[Key]],ตารางรวม!$Z:$Z,0))*tblSales[[#This Row],[จำนวนแก้ว]],0))</f>
        <v/>
      </c>
      <c r="S25" s="10" t="str">
        <f>IF(tblSales[[#This Row],[Key]]="","",IFERROR(INDEX(ตารางรวม!$F:$F,MATCH(tblSales[[#This Row],[Key]],ตารางรวม!$Z:$Z,0))*tblSales[[#This Row],[จำนวนแก้ว]],0))</f>
        <v/>
      </c>
      <c r="T25" s="10" t="str">
        <f>IF(tblSales[[#This Row],[Key]]="","",IFERROR(INDEX(ตารางรวม!$G:$G,MATCH(tblSales[[#This Row],[Key]],ตารางรวม!$Z:$Z,0))*tblSales[[#This Row],[จำนวนแก้ว]],0))</f>
        <v/>
      </c>
      <c r="U25" s="10" t="str">
        <f>IF(tblSales[[#This Row],[Key]]="","",IFERROR(INDEX(ตารางรวม!$H:$H,MATCH(tblSales[[#This Row],[Key]],ตารางรวม!$Z:$Z,0))*tblSales[[#This Row],[จำนวนแก้ว]],0))</f>
        <v/>
      </c>
      <c r="V25" s="10" t="str">
        <f>IF(tblSales[[#This Row],[Key]]="","",IFERROR(INDEX(ตารางรวม!$I:$I,MATCH(tblSales[[#This Row],[Key]],ตารางรวม!$Z:$Z,0))*tblSales[[#This Row],[จำนวนแก้ว]],0))</f>
        <v/>
      </c>
      <c r="W25" s="10" t="str">
        <f>IF(tblSales[[#This Row],[Key]]="","",IFERROR(INDEX(ตารางรวม!$J:$J,MATCH(tblSales[[#This Row],[Key]],ตารางรวม!$Z:$Z,0))*tblSales[[#This Row],[จำนวนแก้ว]],0))</f>
        <v/>
      </c>
      <c r="X25" s="10" t="str">
        <f>IF(tblSales[[#This Row],[Key]]="","",IFERROR(INDEX(ตารางรวม!$K:$K,MATCH(tblSales[[#This Row],[Key]],ตารางรวม!$Z:$Z,0))*tblSales[[#This Row],[จำนวนแก้ว]],0))</f>
        <v/>
      </c>
      <c r="Y25" s="10" t="str">
        <f>IF(tblSales[[#This Row],[Key]]="","",IFERROR(INDEX(ตารางรวม!$L:$L,MATCH(tblSales[[#This Row],[Key]],ตารางรวม!$Z:$Z,0))*tblSales[[#This Row],[จำนวนแก้ว]],0))</f>
        <v/>
      </c>
      <c r="Z2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" s="10" t="str">
        <f>IF(tblSales[[#This Row],[Key]]="","",IF(tblSales[[#This Row],[ขนาด]]="16 oz",tblSales[[#This Row],[จำนวนแก้ว]],0))</f>
        <v/>
      </c>
      <c r="AI25" s="10" t="str">
        <f>IF(tblSales[[#This Row],[Key]]="","",IF(tblSales[[#This Row],[ขนาด]]="20 oz",tblSales[[#This Row],[จำนวนแก้ว]],0))</f>
        <v/>
      </c>
      <c r="AJ25" s="10" t="str">
        <f>IF(tblSales[[#This Row],[Key]]="","",IF(tblSales[[#This Row],[ขนาด]]="22 oz",tblSales[[#This Row],[จำนวนแก้ว]],0))</f>
        <v/>
      </c>
    </row>
    <row r="26" spans="1:36" x14ac:dyDescent="0.25">
      <c r="A26" s="4" t="str">
        <f>IF(tblSales[[#This Row],[วันที่]]="","","S"&amp;TEXT(tblSales[[#This Row],[วันที่]],"yymmdd")&amp;"-"&amp;TEXT(ROW()-5,"000"))</f>
        <v/>
      </c>
      <c r="B26" s="16"/>
      <c r="C26" s="6"/>
      <c r="D26" s="6"/>
      <c r="E26" s="20"/>
      <c r="F26" s="6"/>
      <c r="G26" s="6"/>
      <c r="H26" s="6"/>
      <c r="I26" s="6"/>
      <c r="J2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" s="8" t="str">
        <f>IF(tblSales[[#This Row],[Key]]="","",IFERROR(INDEX(ตารางรวม!$W:$W,MATCH(tblSales[[#This Row],[Key]],ตารางรวม!$Z:$Z,0)),"ไม่พบสูตร"))</f>
        <v/>
      </c>
      <c r="L26" s="8" t="str">
        <f>IF(tblSales[[#This Row],[Key]]="","",IFERROR(INDEX(ตารางรวม!$V:$V,MATCH(tblSales[[#This Row],[Key]],ตารางรวม!$Z:$Z,0)),"ไม่พบสูตร"))</f>
        <v/>
      </c>
      <c r="M26" s="8" t="str">
        <f>IF(tblSales[[#This Row],[Key]]="","",IFERROR(tblSales[[#This Row],[ราคาต่อแก้ว]]*tblSales[[#This Row],[จำนวนแก้ว]],""))</f>
        <v/>
      </c>
      <c r="N26" s="8" t="str">
        <f>IF(tblSales[[#This Row],[Key]]="","",IFERROR(tblSales[[#This Row],[ต้นทุนต่อแก้ว]]*tblSales[[#This Row],[จำนวนแก้ว]],""))</f>
        <v/>
      </c>
      <c r="O26" s="8" t="str">
        <f>IF(tblSales[[#This Row],[Key]]="","",IFERROR(tblSales[[#This Row],[ยอดขาย (บาท)]]-tblSales[[#This Row],[ต้นทุนรวม (บาท)]],""))</f>
        <v/>
      </c>
      <c r="P26" s="21" t="str">
        <f>IF(tblSales[[#This Row],[Key]]="","",IFERROR(tblSales[[#This Row],[กำไร (บาท)]]/tblSales[[#This Row],[ยอดขาย (บาท)]],""))</f>
        <v/>
      </c>
      <c r="Q26" s="10" t="str">
        <f>IF(tblSales[[#This Row],[Key]]="","",IFERROR(INDEX(ตารางรวม!$D:$D,MATCH(tblSales[[#This Row],[Key]],ตารางรวม!$Z:$Z,0))*tblSales[[#This Row],[จำนวนแก้ว]],0))</f>
        <v/>
      </c>
      <c r="R26" s="10" t="str">
        <f>IF(tblSales[[#This Row],[Key]]="","",IFERROR(INDEX(ตารางรวม!$E:$E,MATCH(tblSales[[#This Row],[Key]],ตารางรวม!$Z:$Z,0))*tblSales[[#This Row],[จำนวนแก้ว]],0))</f>
        <v/>
      </c>
      <c r="S26" s="10" t="str">
        <f>IF(tblSales[[#This Row],[Key]]="","",IFERROR(INDEX(ตารางรวม!$F:$F,MATCH(tblSales[[#This Row],[Key]],ตารางรวม!$Z:$Z,0))*tblSales[[#This Row],[จำนวนแก้ว]],0))</f>
        <v/>
      </c>
      <c r="T26" s="10" t="str">
        <f>IF(tblSales[[#This Row],[Key]]="","",IFERROR(INDEX(ตารางรวม!$G:$G,MATCH(tblSales[[#This Row],[Key]],ตารางรวม!$Z:$Z,0))*tblSales[[#This Row],[จำนวนแก้ว]],0))</f>
        <v/>
      </c>
      <c r="U26" s="10" t="str">
        <f>IF(tblSales[[#This Row],[Key]]="","",IFERROR(INDEX(ตารางรวม!$H:$H,MATCH(tblSales[[#This Row],[Key]],ตารางรวม!$Z:$Z,0))*tblSales[[#This Row],[จำนวนแก้ว]],0))</f>
        <v/>
      </c>
      <c r="V26" s="10" t="str">
        <f>IF(tblSales[[#This Row],[Key]]="","",IFERROR(INDEX(ตารางรวม!$I:$I,MATCH(tblSales[[#This Row],[Key]],ตารางรวม!$Z:$Z,0))*tblSales[[#This Row],[จำนวนแก้ว]],0))</f>
        <v/>
      </c>
      <c r="W26" s="10" t="str">
        <f>IF(tblSales[[#This Row],[Key]]="","",IFERROR(INDEX(ตารางรวม!$J:$J,MATCH(tblSales[[#This Row],[Key]],ตารางรวม!$Z:$Z,0))*tblSales[[#This Row],[จำนวนแก้ว]],0))</f>
        <v/>
      </c>
      <c r="X26" s="10" t="str">
        <f>IF(tblSales[[#This Row],[Key]]="","",IFERROR(INDEX(ตารางรวม!$K:$K,MATCH(tblSales[[#This Row],[Key]],ตารางรวม!$Z:$Z,0))*tblSales[[#This Row],[จำนวนแก้ว]],0))</f>
        <v/>
      </c>
      <c r="Y26" s="10" t="str">
        <f>IF(tblSales[[#This Row],[Key]]="","",IFERROR(INDEX(ตารางรวม!$L:$L,MATCH(tblSales[[#This Row],[Key]],ตารางรวม!$Z:$Z,0))*tblSales[[#This Row],[จำนวนแก้ว]],0))</f>
        <v/>
      </c>
      <c r="Z2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" s="10" t="str">
        <f>IF(tblSales[[#This Row],[Key]]="","",IF(tblSales[[#This Row],[ขนาด]]="16 oz",tblSales[[#This Row],[จำนวนแก้ว]],0))</f>
        <v/>
      </c>
      <c r="AI26" s="10" t="str">
        <f>IF(tblSales[[#This Row],[Key]]="","",IF(tblSales[[#This Row],[ขนาด]]="20 oz",tblSales[[#This Row],[จำนวนแก้ว]],0))</f>
        <v/>
      </c>
      <c r="AJ26" s="10" t="str">
        <f>IF(tblSales[[#This Row],[Key]]="","",IF(tblSales[[#This Row],[ขนาด]]="22 oz",tblSales[[#This Row],[จำนวนแก้ว]],0))</f>
        <v/>
      </c>
    </row>
    <row r="27" spans="1:36" x14ac:dyDescent="0.25">
      <c r="A27" s="4" t="str">
        <f>IF(tblSales[[#This Row],[วันที่]]="","","S"&amp;TEXT(tblSales[[#This Row],[วันที่]],"yymmdd")&amp;"-"&amp;TEXT(ROW()-5,"000"))</f>
        <v/>
      </c>
      <c r="B27" s="16"/>
      <c r="C27" s="6"/>
      <c r="D27" s="6"/>
      <c r="E27" s="20"/>
      <c r="F27" s="6"/>
      <c r="G27" s="6"/>
      <c r="H27" s="6"/>
      <c r="I27" s="6"/>
      <c r="J2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" s="8" t="str">
        <f>IF(tblSales[[#This Row],[Key]]="","",IFERROR(INDEX(ตารางรวม!$W:$W,MATCH(tblSales[[#This Row],[Key]],ตารางรวม!$Z:$Z,0)),"ไม่พบสูตร"))</f>
        <v/>
      </c>
      <c r="L27" s="8" t="str">
        <f>IF(tblSales[[#This Row],[Key]]="","",IFERROR(INDEX(ตารางรวม!$V:$V,MATCH(tblSales[[#This Row],[Key]],ตารางรวม!$Z:$Z,0)),"ไม่พบสูตร"))</f>
        <v/>
      </c>
      <c r="M27" s="8" t="str">
        <f>IF(tblSales[[#This Row],[Key]]="","",IFERROR(tblSales[[#This Row],[ราคาต่อแก้ว]]*tblSales[[#This Row],[จำนวนแก้ว]],""))</f>
        <v/>
      </c>
      <c r="N27" s="8" t="str">
        <f>IF(tblSales[[#This Row],[Key]]="","",IFERROR(tblSales[[#This Row],[ต้นทุนต่อแก้ว]]*tblSales[[#This Row],[จำนวนแก้ว]],""))</f>
        <v/>
      </c>
      <c r="O27" s="8" t="str">
        <f>IF(tblSales[[#This Row],[Key]]="","",IFERROR(tblSales[[#This Row],[ยอดขาย (บาท)]]-tblSales[[#This Row],[ต้นทุนรวม (บาท)]],""))</f>
        <v/>
      </c>
      <c r="P27" s="21" t="str">
        <f>IF(tblSales[[#This Row],[Key]]="","",IFERROR(tblSales[[#This Row],[กำไร (บาท)]]/tblSales[[#This Row],[ยอดขาย (บาท)]],""))</f>
        <v/>
      </c>
      <c r="Q27" s="10" t="str">
        <f>IF(tblSales[[#This Row],[Key]]="","",IFERROR(INDEX(ตารางรวม!$D:$D,MATCH(tblSales[[#This Row],[Key]],ตารางรวม!$Z:$Z,0))*tblSales[[#This Row],[จำนวนแก้ว]],0))</f>
        <v/>
      </c>
      <c r="R27" s="10" t="str">
        <f>IF(tblSales[[#This Row],[Key]]="","",IFERROR(INDEX(ตารางรวม!$E:$E,MATCH(tblSales[[#This Row],[Key]],ตารางรวม!$Z:$Z,0))*tblSales[[#This Row],[จำนวนแก้ว]],0))</f>
        <v/>
      </c>
      <c r="S27" s="10" t="str">
        <f>IF(tblSales[[#This Row],[Key]]="","",IFERROR(INDEX(ตารางรวม!$F:$F,MATCH(tblSales[[#This Row],[Key]],ตารางรวม!$Z:$Z,0))*tblSales[[#This Row],[จำนวนแก้ว]],0))</f>
        <v/>
      </c>
      <c r="T27" s="10" t="str">
        <f>IF(tblSales[[#This Row],[Key]]="","",IFERROR(INDEX(ตารางรวม!$G:$G,MATCH(tblSales[[#This Row],[Key]],ตารางรวม!$Z:$Z,0))*tblSales[[#This Row],[จำนวนแก้ว]],0))</f>
        <v/>
      </c>
      <c r="U27" s="10" t="str">
        <f>IF(tblSales[[#This Row],[Key]]="","",IFERROR(INDEX(ตารางรวม!$H:$H,MATCH(tblSales[[#This Row],[Key]],ตารางรวม!$Z:$Z,0))*tblSales[[#This Row],[จำนวนแก้ว]],0))</f>
        <v/>
      </c>
      <c r="V27" s="10" t="str">
        <f>IF(tblSales[[#This Row],[Key]]="","",IFERROR(INDEX(ตารางรวม!$I:$I,MATCH(tblSales[[#This Row],[Key]],ตารางรวม!$Z:$Z,0))*tblSales[[#This Row],[จำนวนแก้ว]],0))</f>
        <v/>
      </c>
      <c r="W27" s="10" t="str">
        <f>IF(tblSales[[#This Row],[Key]]="","",IFERROR(INDEX(ตารางรวม!$J:$J,MATCH(tblSales[[#This Row],[Key]],ตารางรวม!$Z:$Z,0))*tblSales[[#This Row],[จำนวนแก้ว]],0))</f>
        <v/>
      </c>
      <c r="X27" s="10" t="str">
        <f>IF(tblSales[[#This Row],[Key]]="","",IFERROR(INDEX(ตารางรวม!$K:$K,MATCH(tblSales[[#This Row],[Key]],ตารางรวม!$Z:$Z,0))*tblSales[[#This Row],[จำนวนแก้ว]],0))</f>
        <v/>
      </c>
      <c r="Y27" s="10" t="str">
        <f>IF(tblSales[[#This Row],[Key]]="","",IFERROR(INDEX(ตารางรวม!$L:$L,MATCH(tblSales[[#This Row],[Key]],ตารางรวม!$Z:$Z,0))*tblSales[[#This Row],[จำนวนแก้ว]],0))</f>
        <v/>
      </c>
      <c r="Z2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" s="10" t="str">
        <f>IF(tblSales[[#This Row],[Key]]="","",IF(tblSales[[#This Row],[ขนาด]]="16 oz",tblSales[[#This Row],[จำนวนแก้ว]],0))</f>
        <v/>
      </c>
      <c r="AI27" s="10" t="str">
        <f>IF(tblSales[[#This Row],[Key]]="","",IF(tblSales[[#This Row],[ขนาด]]="20 oz",tblSales[[#This Row],[จำนวนแก้ว]],0))</f>
        <v/>
      </c>
      <c r="AJ27" s="10" t="str">
        <f>IF(tblSales[[#This Row],[Key]]="","",IF(tblSales[[#This Row],[ขนาด]]="22 oz",tblSales[[#This Row],[จำนวนแก้ว]],0))</f>
        <v/>
      </c>
    </row>
    <row r="28" spans="1:36" x14ac:dyDescent="0.25">
      <c r="A28" s="4" t="str">
        <f>IF(tblSales[[#This Row],[วันที่]]="","","S"&amp;TEXT(tblSales[[#This Row],[วันที่]],"yymmdd")&amp;"-"&amp;TEXT(ROW()-5,"000"))</f>
        <v/>
      </c>
      <c r="B28" s="16"/>
      <c r="C28" s="6"/>
      <c r="D28" s="6"/>
      <c r="E28" s="20"/>
      <c r="F28" s="6"/>
      <c r="G28" s="6"/>
      <c r="H28" s="6"/>
      <c r="I28" s="6"/>
      <c r="J2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" s="8" t="str">
        <f>IF(tblSales[[#This Row],[Key]]="","",IFERROR(INDEX(ตารางรวม!$W:$W,MATCH(tblSales[[#This Row],[Key]],ตารางรวม!$Z:$Z,0)),"ไม่พบสูตร"))</f>
        <v/>
      </c>
      <c r="L28" s="8" t="str">
        <f>IF(tblSales[[#This Row],[Key]]="","",IFERROR(INDEX(ตารางรวม!$V:$V,MATCH(tblSales[[#This Row],[Key]],ตารางรวม!$Z:$Z,0)),"ไม่พบสูตร"))</f>
        <v/>
      </c>
      <c r="M28" s="8" t="str">
        <f>IF(tblSales[[#This Row],[Key]]="","",IFERROR(tblSales[[#This Row],[ราคาต่อแก้ว]]*tblSales[[#This Row],[จำนวนแก้ว]],""))</f>
        <v/>
      </c>
      <c r="N28" s="8" t="str">
        <f>IF(tblSales[[#This Row],[Key]]="","",IFERROR(tblSales[[#This Row],[ต้นทุนต่อแก้ว]]*tblSales[[#This Row],[จำนวนแก้ว]],""))</f>
        <v/>
      </c>
      <c r="O28" s="8" t="str">
        <f>IF(tblSales[[#This Row],[Key]]="","",IFERROR(tblSales[[#This Row],[ยอดขาย (บาท)]]-tblSales[[#This Row],[ต้นทุนรวม (บาท)]],""))</f>
        <v/>
      </c>
      <c r="P28" s="21" t="str">
        <f>IF(tblSales[[#This Row],[Key]]="","",IFERROR(tblSales[[#This Row],[กำไร (บาท)]]/tblSales[[#This Row],[ยอดขาย (บาท)]],""))</f>
        <v/>
      </c>
      <c r="Q28" s="10" t="str">
        <f>IF(tblSales[[#This Row],[Key]]="","",IFERROR(INDEX(ตารางรวม!$D:$D,MATCH(tblSales[[#This Row],[Key]],ตารางรวม!$Z:$Z,0))*tblSales[[#This Row],[จำนวนแก้ว]],0))</f>
        <v/>
      </c>
      <c r="R28" s="10" t="str">
        <f>IF(tblSales[[#This Row],[Key]]="","",IFERROR(INDEX(ตารางรวม!$E:$E,MATCH(tblSales[[#This Row],[Key]],ตารางรวม!$Z:$Z,0))*tblSales[[#This Row],[จำนวนแก้ว]],0))</f>
        <v/>
      </c>
      <c r="S28" s="10" t="str">
        <f>IF(tblSales[[#This Row],[Key]]="","",IFERROR(INDEX(ตารางรวม!$F:$F,MATCH(tblSales[[#This Row],[Key]],ตารางรวม!$Z:$Z,0))*tblSales[[#This Row],[จำนวนแก้ว]],0))</f>
        <v/>
      </c>
      <c r="T28" s="10" t="str">
        <f>IF(tblSales[[#This Row],[Key]]="","",IFERROR(INDEX(ตารางรวม!$G:$G,MATCH(tblSales[[#This Row],[Key]],ตารางรวม!$Z:$Z,0))*tblSales[[#This Row],[จำนวนแก้ว]],0))</f>
        <v/>
      </c>
      <c r="U28" s="10" t="str">
        <f>IF(tblSales[[#This Row],[Key]]="","",IFERROR(INDEX(ตารางรวม!$H:$H,MATCH(tblSales[[#This Row],[Key]],ตารางรวม!$Z:$Z,0))*tblSales[[#This Row],[จำนวนแก้ว]],0))</f>
        <v/>
      </c>
      <c r="V28" s="10" t="str">
        <f>IF(tblSales[[#This Row],[Key]]="","",IFERROR(INDEX(ตารางรวม!$I:$I,MATCH(tblSales[[#This Row],[Key]],ตารางรวม!$Z:$Z,0))*tblSales[[#This Row],[จำนวนแก้ว]],0))</f>
        <v/>
      </c>
      <c r="W28" s="10" t="str">
        <f>IF(tblSales[[#This Row],[Key]]="","",IFERROR(INDEX(ตารางรวม!$J:$J,MATCH(tblSales[[#This Row],[Key]],ตารางรวม!$Z:$Z,0))*tblSales[[#This Row],[จำนวนแก้ว]],0))</f>
        <v/>
      </c>
      <c r="X28" s="10" t="str">
        <f>IF(tblSales[[#This Row],[Key]]="","",IFERROR(INDEX(ตารางรวม!$K:$K,MATCH(tblSales[[#This Row],[Key]],ตารางรวม!$Z:$Z,0))*tblSales[[#This Row],[จำนวนแก้ว]],0))</f>
        <v/>
      </c>
      <c r="Y28" s="10" t="str">
        <f>IF(tblSales[[#This Row],[Key]]="","",IFERROR(INDEX(ตารางรวม!$L:$L,MATCH(tblSales[[#This Row],[Key]],ตารางรวม!$Z:$Z,0))*tblSales[[#This Row],[จำนวนแก้ว]],0))</f>
        <v/>
      </c>
      <c r="Z2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" s="10" t="str">
        <f>IF(tblSales[[#This Row],[Key]]="","",IF(tblSales[[#This Row],[ขนาด]]="16 oz",tblSales[[#This Row],[จำนวนแก้ว]],0))</f>
        <v/>
      </c>
      <c r="AI28" s="10" t="str">
        <f>IF(tblSales[[#This Row],[Key]]="","",IF(tblSales[[#This Row],[ขนาด]]="20 oz",tblSales[[#This Row],[จำนวนแก้ว]],0))</f>
        <v/>
      </c>
      <c r="AJ28" s="10" t="str">
        <f>IF(tblSales[[#This Row],[Key]]="","",IF(tblSales[[#This Row],[ขนาด]]="22 oz",tblSales[[#This Row],[จำนวนแก้ว]],0))</f>
        <v/>
      </c>
    </row>
    <row r="29" spans="1:36" x14ac:dyDescent="0.25">
      <c r="A29" s="4" t="str">
        <f>IF(tblSales[[#This Row],[วันที่]]="","","S"&amp;TEXT(tblSales[[#This Row],[วันที่]],"yymmdd")&amp;"-"&amp;TEXT(ROW()-5,"000"))</f>
        <v/>
      </c>
      <c r="B29" s="16"/>
      <c r="C29" s="6"/>
      <c r="D29" s="6"/>
      <c r="E29" s="20"/>
      <c r="F29" s="6"/>
      <c r="G29" s="6"/>
      <c r="H29" s="6"/>
      <c r="I29" s="6"/>
      <c r="J2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" s="8" t="str">
        <f>IF(tblSales[[#This Row],[Key]]="","",IFERROR(INDEX(ตารางรวม!$W:$W,MATCH(tblSales[[#This Row],[Key]],ตารางรวม!$Z:$Z,0)),"ไม่พบสูตร"))</f>
        <v/>
      </c>
      <c r="L29" s="8" t="str">
        <f>IF(tblSales[[#This Row],[Key]]="","",IFERROR(INDEX(ตารางรวม!$V:$V,MATCH(tblSales[[#This Row],[Key]],ตารางรวม!$Z:$Z,0)),"ไม่พบสูตร"))</f>
        <v/>
      </c>
      <c r="M29" s="8" t="str">
        <f>IF(tblSales[[#This Row],[Key]]="","",IFERROR(tblSales[[#This Row],[ราคาต่อแก้ว]]*tblSales[[#This Row],[จำนวนแก้ว]],""))</f>
        <v/>
      </c>
      <c r="N29" s="8" t="str">
        <f>IF(tblSales[[#This Row],[Key]]="","",IFERROR(tblSales[[#This Row],[ต้นทุนต่อแก้ว]]*tblSales[[#This Row],[จำนวนแก้ว]],""))</f>
        <v/>
      </c>
      <c r="O29" s="8" t="str">
        <f>IF(tblSales[[#This Row],[Key]]="","",IFERROR(tblSales[[#This Row],[ยอดขาย (บาท)]]-tblSales[[#This Row],[ต้นทุนรวม (บาท)]],""))</f>
        <v/>
      </c>
      <c r="P29" s="21" t="str">
        <f>IF(tblSales[[#This Row],[Key]]="","",IFERROR(tblSales[[#This Row],[กำไร (บาท)]]/tblSales[[#This Row],[ยอดขาย (บาท)]],""))</f>
        <v/>
      </c>
      <c r="Q29" s="10" t="str">
        <f>IF(tblSales[[#This Row],[Key]]="","",IFERROR(INDEX(ตารางรวม!$D:$D,MATCH(tblSales[[#This Row],[Key]],ตารางรวม!$Z:$Z,0))*tblSales[[#This Row],[จำนวนแก้ว]],0))</f>
        <v/>
      </c>
      <c r="R29" s="10" t="str">
        <f>IF(tblSales[[#This Row],[Key]]="","",IFERROR(INDEX(ตารางรวม!$E:$E,MATCH(tblSales[[#This Row],[Key]],ตารางรวม!$Z:$Z,0))*tblSales[[#This Row],[จำนวนแก้ว]],0))</f>
        <v/>
      </c>
      <c r="S29" s="10" t="str">
        <f>IF(tblSales[[#This Row],[Key]]="","",IFERROR(INDEX(ตารางรวม!$F:$F,MATCH(tblSales[[#This Row],[Key]],ตารางรวม!$Z:$Z,0))*tblSales[[#This Row],[จำนวนแก้ว]],0))</f>
        <v/>
      </c>
      <c r="T29" s="10" t="str">
        <f>IF(tblSales[[#This Row],[Key]]="","",IFERROR(INDEX(ตารางรวม!$G:$G,MATCH(tblSales[[#This Row],[Key]],ตารางรวม!$Z:$Z,0))*tblSales[[#This Row],[จำนวนแก้ว]],0))</f>
        <v/>
      </c>
      <c r="U29" s="10" t="str">
        <f>IF(tblSales[[#This Row],[Key]]="","",IFERROR(INDEX(ตารางรวม!$H:$H,MATCH(tblSales[[#This Row],[Key]],ตารางรวม!$Z:$Z,0))*tblSales[[#This Row],[จำนวนแก้ว]],0))</f>
        <v/>
      </c>
      <c r="V29" s="10" t="str">
        <f>IF(tblSales[[#This Row],[Key]]="","",IFERROR(INDEX(ตารางรวม!$I:$I,MATCH(tblSales[[#This Row],[Key]],ตารางรวม!$Z:$Z,0))*tblSales[[#This Row],[จำนวนแก้ว]],0))</f>
        <v/>
      </c>
      <c r="W29" s="10" t="str">
        <f>IF(tblSales[[#This Row],[Key]]="","",IFERROR(INDEX(ตารางรวม!$J:$J,MATCH(tblSales[[#This Row],[Key]],ตารางรวม!$Z:$Z,0))*tblSales[[#This Row],[จำนวนแก้ว]],0))</f>
        <v/>
      </c>
      <c r="X29" s="10" t="str">
        <f>IF(tblSales[[#This Row],[Key]]="","",IFERROR(INDEX(ตารางรวม!$K:$K,MATCH(tblSales[[#This Row],[Key]],ตารางรวม!$Z:$Z,0))*tblSales[[#This Row],[จำนวนแก้ว]],0))</f>
        <v/>
      </c>
      <c r="Y29" s="10" t="str">
        <f>IF(tblSales[[#This Row],[Key]]="","",IFERROR(INDEX(ตารางรวม!$L:$L,MATCH(tblSales[[#This Row],[Key]],ตารางรวม!$Z:$Z,0))*tblSales[[#This Row],[จำนวนแก้ว]],0))</f>
        <v/>
      </c>
      <c r="Z2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" s="10" t="str">
        <f>IF(tblSales[[#This Row],[Key]]="","",IF(tblSales[[#This Row],[ขนาด]]="16 oz",tblSales[[#This Row],[จำนวนแก้ว]],0))</f>
        <v/>
      </c>
      <c r="AI29" s="10" t="str">
        <f>IF(tblSales[[#This Row],[Key]]="","",IF(tblSales[[#This Row],[ขนาด]]="20 oz",tblSales[[#This Row],[จำนวนแก้ว]],0))</f>
        <v/>
      </c>
      <c r="AJ29" s="10" t="str">
        <f>IF(tblSales[[#This Row],[Key]]="","",IF(tblSales[[#This Row],[ขนาด]]="22 oz",tblSales[[#This Row],[จำนวนแก้ว]],0))</f>
        <v/>
      </c>
    </row>
    <row r="30" spans="1:36" x14ac:dyDescent="0.25">
      <c r="A30" s="4" t="str">
        <f>IF(tblSales[[#This Row],[วันที่]]="","","S"&amp;TEXT(tblSales[[#This Row],[วันที่]],"yymmdd")&amp;"-"&amp;TEXT(ROW()-5,"000"))</f>
        <v/>
      </c>
      <c r="B30" s="16"/>
      <c r="C30" s="6"/>
      <c r="D30" s="6"/>
      <c r="E30" s="20"/>
      <c r="F30" s="6"/>
      <c r="G30" s="6"/>
      <c r="H30" s="6"/>
      <c r="I30" s="6"/>
      <c r="J3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" s="8" t="str">
        <f>IF(tblSales[[#This Row],[Key]]="","",IFERROR(INDEX(ตารางรวม!$W:$W,MATCH(tblSales[[#This Row],[Key]],ตารางรวม!$Z:$Z,0)),"ไม่พบสูตร"))</f>
        <v/>
      </c>
      <c r="L30" s="8" t="str">
        <f>IF(tblSales[[#This Row],[Key]]="","",IFERROR(INDEX(ตารางรวม!$V:$V,MATCH(tblSales[[#This Row],[Key]],ตารางรวม!$Z:$Z,0)),"ไม่พบสูตร"))</f>
        <v/>
      </c>
      <c r="M30" s="8" t="str">
        <f>IF(tblSales[[#This Row],[Key]]="","",IFERROR(tblSales[[#This Row],[ราคาต่อแก้ว]]*tblSales[[#This Row],[จำนวนแก้ว]],""))</f>
        <v/>
      </c>
      <c r="N30" s="8" t="str">
        <f>IF(tblSales[[#This Row],[Key]]="","",IFERROR(tblSales[[#This Row],[ต้นทุนต่อแก้ว]]*tblSales[[#This Row],[จำนวนแก้ว]],""))</f>
        <v/>
      </c>
      <c r="O30" s="8" t="str">
        <f>IF(tblSales[[#This Row],[Key]]="","",IFERROR(tblSales[[#This Row],[ยอดขาย (บาท)]]-tblSales[[#This Row],[ต้นทุนรวม (บาท)]],""))</f>
        <v/>
      </c>
      <c r="P30" s="21" t="str">
        <f>IF(tblSales[[#This Row],[Key]]="","",IFERROR(tblSales[[#This Row],[กำไร (บาท)]]/tblSales[[#This Row],[ยอดขาย (บาท)]],""))</f>
        <v/>
      </c>
      <c r="Q30" s="10" t="str">
        <f>IF(tblSales[[#This Row],[Key]]="","",IFERROR(INDEX(ตารางรวม!$D:$D,MATCH(tblSales[[#This Row],[Key]],ตารางรวม!$Z:$Z,0))*tblSales[[#This Row],[จำนวนแก้ว]],0))</f>
        <v/>
      </c>
      <c r="R30" s="10" t="str">
        <f>IF(tblSales[[#This Row],[Key]]="","",IFERROR(INDEX(ตารางรวม!$E:$E,MATCH(tblSales[[#This Row],[Key]],ตารางรวม!$Z:$Z,0))*tblSales[[#This Row],[จำนวนแก้ว]],0))</f>
        <v/>
      </c>
      <c r="S30" s="10" t="str">
        <f>IF(tblSales[[#This Row],[Key]]="","",IFERROR(INDEX(ตารางรวม!$F:$F,MATCH(tblSales[[#This Row],[Key]],ตารางรวม!$Z:$Z,0))*tblSales[[#This Row],[จำนวนแก้ว]],0))</f>
        <v/>
      </c>
      <c r="T30" s="10" t="str">
        <f>IF(tblSales[[#This Row],[Key]]="","",IFERROR(INDEX(ตารางรวม!$G:$G,MATCH(tblSales[[#This Row],[Key]],ตารางรวม!$Z:$Z,0))*tblSales[[#This Row],[จำนวนแก้ว]],0))</f>
        <v/>
      </c>
      <c r="U30" s="10" t="str">
        <f>IF(tblSales[[#This Row],[Key]]="","",IFERROR(INDEX(ตารางรวม!$H:$H,MATCH(tblSales[[#This Row],[Key]],ตารางรวม!$Z:$Z,0))*tblSales[[#This Row],[จำนวนแก้ว]],0))</f>
        <v/>
      </c>
      <c r="V30" s="10" t="str">
        <f>IF(tblSales[[#This Row],[Key]]="","",IFERROR(INDEX(ตารางรวม!$I:$I,MATCH(tblSales[[#This Row],[Key]],ตารางรวม!$Z:$Z,0))*tblSales[[#This Row],[จำนวนแก้ว]],0))</f>
        <v/>
      </c>
      <c r="W30" s="10" t="str">
        <f>IF(tblSales[[#This Row],[Key]]="","",IFERROR(INDEX(ตารางรวม!$J:$J,MATCH(tblSales[[#This Row],[Key]],ตารางรวม!$Z:$Z,0))*tblSales[[#This Row],[จำนวนแก้ว]],0))</f>
        <v/>
      </c>
      <c r="X30" s="10" t="str">
        <f>IF(tblSales[[#This Row],[Key]]="","",IFERROR(INDEX(ตารางรวม!$K:$K,MATCH(tblSales[[#This Row],[Key]],ตารางรวม!$Z:$Z,0))*tblSales[[#This Row],[จำนวนแก้ว]],0))</f>
        <v/>
      </c>
      <c r="Y30" s="10" t="str">
        <f>IF(tblSales[[#This Row],[Key]]="","",IFERROR(INDEX(ตารางรวม!$L:$L,MATCH(tblSales[[#This Row],[Key]],ตารางรวม!$Z:$Z,0))*tblSales[[#This Row],[จำนวนแก้ว]],0))</f>
        <v/>
      </c>
      <c r="Z30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" s="10" t="str">
        <f>IF(tblSales[[#This Row],[Key]]="","",IF(tblSales[[#This Row],[ขนาด]]="16 oz",tblSales[[#This Row],[จำนวนแก้ว]],0))</f>
        <v/>
      </c>
      <c r="AI30" s="10" t="str">
        <f>IF(tblSales[[#This Row],[Key]]="","",IF(tblSales[[#This Row],[ขนาด]]="20 oz",tblSales[[#This Row],[จำนวนแก้ว]],0))</f>
        <v/>
      </c>
      <c r="AJ30" s="10" t="str">
        <f>IF(tblSales[[#This Row],[Key]]="","",IF(tblSales[[#This Row],[ขนาด]]="22 oz",tblSales[[#This Row],[จำนวนแก้ว]],0))</f>
        <v/>
      </c>
    </row>
    <row r="31" spans="1:36" x14ac:dyDescent="0.25">
      <c r="A31" s="4" t="str">
        <f>IF(tblSales[[#This Row],[วันที่]]="","","S"&amp;TEXT(tblSales[[#This Row],[วันที่]],"yymmdd")&amp;"-"&amp;TEXT(ROW()-5,"000"))</f>
        <v/>
      </c>
      <c r="B31" s="16"/>
      <c r="C31" s="6"/>
      <c r="D31" s="6"/>
      <c r="E31" s="20"/>
      <c r="F31" s="6"/>
      <c r="G31" s="6"/>
      <c r="H31" s="6"/>
      <c r="I31" s="6"/>
      <c r="J3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1" s="8" t="str">
        <f>IF(tblSales[[#This Row],[Key]]="","",IFERROR(INDEX(ตารางรวม!$W:$W,MATCH(tblSales[[#This Row],[Key]],ตารางรวม!$Z:$Z,0)),"ไม่พบสูตร"))</f>
        <v/>
      </c>
      <c r="L31" s="8" t="str">
        <f>IF(tblSales[[#This Row],[Key]]="","",IFERROR(INDEX(ตารางรวม!$V:$V,MATCH(tblSales[[#This Row],[Key]],ตารางรวม!$Z:$Z,0)),"ไม่พบสูตร"))</f>
        <v/>
      </c>
      <c r="M31" s="8" t="str">
        <f>IF(tblSales[[#This Row],[Key]]="","",IFERROR(tblSales[[#This Row],[ราคาต่อแก้ว]]*tblSales[[#This Row],[จำนวนแก้ว]],""))</f>
        <v/>
      </c>
      <c r="N31" s="8" t="str">
        <f>IF(tblSales[[#This Row],[Key]]="","",IFERROR(tblSales[[#This Row],[ต้นทุนต่อแก้ว]]*tblSales[[#This Row],[จำนวนแก้ว]],""))</f>
        <v/>
      </c>
      <c r="O31" s="8" t="str">
        <f>IF(tblSales[[#This Row],[Key]]="","",IFERROR(tblSales[[#This Row],[ยอดขาย (บาท)]]-tblSales[[#This Row],[ต้นทุนรวม (บาท)]],""))</f>
        <v/>
      </c>
      <c r="P31" s="21" t="str">
        <f>IF(tblSales[[#This Row],[Key]]="","",IFERROR(tblSales[[#This Row],[กำไร (บาท)]]/tblSales[[#This Row],[ยอดขาย (บาท)]],""))</f>
        <v/>
      </c>
      <c r="Q31" s="10" t="str">
        <f>IF(tblSales[[#This Row],[Key]]="","",IFERROR(INDEX(ตารางรวม!$D:$D,MATCH(tblSales[[#This Row],[Key]],ตารางรวม!$Z:$Z,0))*tblSales[[#This Row],[จำนวนแก้ว]],0))</f>
        <v/>
      </c>
      <c r="R31" s="10" t="str">
        <f>IF(tblSales[[#This Row],[Key]]="","",IFERROR(INDEX(ตารางรวม!$E:$E,MATCH(tblSales[[#This Row],[Key]],ตารางรวม!$Z:$Z,0))*tblSales[[#This Row],[จำนวนแก้ว]],0))</f>
        <v/>
      </c>
      <c r="S31" s="10" t="str">
        <f>IF(tblSales[[#This Row],[Key]]="","",IFERROR(INDEX(ตารางรวม!$F:$F,MATCH(tblSales[[#This Row],[Key]],ตารางรวม!$Z:$Z,0))*tblSales[[#This Row],[จำนวนแก้ว]],0))</f>
        <v/>
      </c>
      <c r="T31" s="10" t="str">
        <f>IF(tblSales[[#This Row],[Key]]="","",IFERROR(INDEX(ตารางรวม!$G:$G,MATCH(tblSales[[#This Row],[Key]],ตารางรวม!$Z:$Z,0))*tblSales[[#This Row],[จำนวนแก้ว]],0))</f>
        <v/>
      </c>
      <c r="U31" s="10" t="str">
        <f>IF(tblSales[[#This Row],[Key]]="","",IFERROR(INDEX(ตารางรวม!$H:$H,MATCH(tblSales[[#This Row],[Key]],ตารางรวม!$Z:$Z,0))*tblSales[[#This Row],[จำนวนแก้ว]],0))</f>
        <v/>
      </c>
      <c r="V31" s="10" t="str">
        <f>IF(tblSales[[#This Row],[Key]]="","",IFERROR(INDEX(ตารางรวม!$I:$I,MATCH(tblSales[[#This Row],[Key]],ตารางรวม!$Z:$Z,0))*tblSales[[#This Row],[จำนวนแก้ว]],0))</f>
        <v/>
      </c>
      <c r="W31" s="10" t="str">
        <f>IF(tblSales[[#This Row],[Key]]="","",IFERROR(INDEX(ตารางรวม!$J:$J,MATCH(tblSales[[#This Row],[Key]],ตารางรวม!$Z:$Z,0))*tblSales[[#This Row],[จำนวนแก้ว]],0))</f>
        <v/>
      </c>
      <c r="X31" s="10" t="str">
        <f>IF(tblSales[[#This Row],[Key]]="","",IFERROR(INDEX(ตารางรวม!$K:$K,MATCH(tblSales[[#This Row],[Key]],ตารางรวม!$Z:$Z,0))*tblSales[[#This Row],[จำนวนแก้ว]],0))</f>
        <v/>
      </c>
      <c r="Y31" s="10" t="str">
        <f>IF(tblSales[[#This Row],[Key]]="","",IFERROR(INDEX(ตารางรวม!$L:$L,MATCH(tblSales[[#This Row],[Key]],ตารางรวม!$Z:$Z,0))*tblSales[[#This Row],[จำนวนแก้ว]],0))</f>
        <v/>
      </c>
      <c r="Z31" s="10" t="str">
        <f>IF(tblSales[[#This Row],[Key]]="","",IFERROR(INDEX(ตารางรวม!$M:$M,MATCH(tblSales[[#This Row],[Key]],ตารางรวม!$Z:$Z,0))*tblSales[[#This Row],[จำนวนแก้ว]],0))</f>
        <v/>
      </c>
      <c r="AA31" s="10" t="str">
        <f>IF(tblSales[[#This Row],[Key]]="","",IFERROR(INDEX(ตารางรวม!$N:$N,MATCH(tblSales[[#This Row],[Key]],ตารางรวม!$Z:$Z,0))*tblSales[[#This Row],[จำนวนแก้ว]],0))</f>
        <v/>
      </c>
      <c r="AB31" s="10" t="str">
        <f>IF(tblSales[[#This Row],[Key]]="","",IFERROR(INDEX(ตารางรวม!$O:$O,MATCH(tblSales[[#This Row],[Key]],ตารางรวม!$Z:$Z,0))*tblSales[[#This Row],[จำนวนแก้ว]],0))</f>
        <v/>
      </c>
      <c r="AC31" s="10" t="str">
        <f>IF(tblSales[[#This Row],[Key]]="","",IFERROR(INDEX(ตารางรวม!$P:$P,MATCH(tblSales[[#This Row],[Key]],ตารางรวม!$Z:$Z,0))*tblSales[[#This Row],[จำนวนแก้ว]],0))</f>
        <v/>
      </c>
      <c r="AD31" s="10" t="str">
        <f>IF(tblSales[[#This Row],[Key]]="","",IFERROR(INDEX(ตารางรวม!$Q:$Q,MATCH(tblSales[[#This Row],[Key]],ตารางรวม!$Z:$Z,0))*tblSales[[#This Row],[จำนวนแก้ว]],0))</f>
        <v/>
      </c>
      <c r="AE31" s="10" t="str">
        <f>IF(tblSales[[#This Row],[Key]]="","",IFERROR(INDEX(ตารางรวม!$R:$R,MATCH(tblSales[[#This Row],[Key]],ตารางรวม!$Z:$Z,0))*tblSales[[#This Row],[จำนวนแก้ว]],0))</f>
        <v/>
      </c>
      <c r="AF31" s="10" t="str">
        <f>IF(tblSales[[#This Row],[Key]]="","",IFERROR(INDEX(ตารางรวม!$S:$S,MATCH(tblSales[[#This Row],[Key]],ตารางรวม!$Z:$Z,0))*tblSales[[#This Row],[จำนวนแก้ว]],0))</f>
        <v/>
      </c>
      <c r="AG31" s="10" t="str">
        <f>IF(tblSales[[#This Row],[Key]]="","",IFERROR(INDEX(ตารางรวม!$T:$T,MATCH(tblSales[[#This Row],[Key]],ตารางรวม!$Z:$Z,0))*tblSales[[#This Row],[จำนวนแก้ว]],0))</f>
        <v/>
      </c>
      <c r="AH31" s="10" t="str">
        <f>IF(tblSales[[#This Row],[Key]]="","",IF(tblSales[[#This Row],[ขนาด]]="16 oz",tblSales[[#This Row],[จำนวนแก้ว]],0))</f>
        <v/>
      </c>
      <c r="AI31" s="10" t="str">
        <f>IF(tblSales[[#This Row],[Key]]="","",IF(tblSales[[#This Row],[ขนาด]]="20 oz",tblSales[[#This Row],[จำนวนแก้ว]],0))</f>
        <v/>
      </c>
      <c r="AJ31" s="10" t="str">
        <f>IF(tblSales[[#This Row],[Key]]="","",IF(tblSales[[#This Row],[ขนาด]]="22 oz",tblSales[[#This Row],[จำนวนแก้ว]],0))</f>
        <v/>
      </c>
    </row>
    <row r="32" spans="1:36" x14ac:dyDescent="0.25">
      <c r="A32" s="4" t="str">
        <f>IF(tblSales[[#This Row],[วันที่]]="","","S"&amp;TEXT(tblSales[[#This Row],[วันที่]],"yymmdd")&amp;"-"&amp;TEXT(ROW()-5,"000"))</f>
        <v/>
      </c>
      <c r="B32" s="16"/>
      <c r="C32" s="6"/>
      <c r="D32" s="6"/>
      <c r="E32" s="20"/>
      <c r="F32" s="6"/>
      <c r="G32" s="6"/>
      <c r="H32" s="6"/>
      <c r="I32" s="6"/>
      <c r="J3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2" s="8" t="str">
        <f>IF(tblSales[[#This Row],[Key]]="","",IFERROR(INDEX(ตารางรวม!$W:$W,MATCH(tblSales[[#This Row],[Key]],ตารางรวม!$Z:$Z,0)),"ไม่พบสูตร"))</f>
        <v/>
      </c>
      <c r="L32" s="8" t="str">
        <f>IF(tblSales[[#This Row],[Key]]="","",IFERROR(INDEX(ตารางรวม!$V:$V,MATCH(tblSales[[#This Row],[Key]],ตารางรวม!$Z:$Z,0)),"ไม่พบสูตร"))</f>
        <v/>
      </c>
      <c r="M32" s="8" t="str">
        <f>IF(tblSales[[#This Row],[Key]]="","",IFERROR(tblSales[[#This Row],[ราคาต่อแก้ว]]*tblSales[[#This Row],[จำนวนแก้ว]],""))</f>
        <v/>
      </c>
      <c r="N32" s="8" t="str">
        <f>IF(tblSales[[#This Row],[Key]]="","",IFERROR(tblSales[[#This Row],[ต้นทุนต่อแก้ว]]*tblSales[[#This Row],[จำนวนแก้ว]],""))</f>
        <v/>
      </c>
      <c r="O32" s="8" t="str">
        <f>IF(tblSales[[#This Row],[Key]]="","",IFERROR(tblSales[[#This Row],[ยอดขาย (บาท)]]-tblSales[[#This Row],[ต้นทุนรวม (บาท)]],""))</f>
        <v/>
      </c>
      <c r="P32" s="21" t="str">
        <f>IF(tblSales[[#This Row],[Key]]="","",IFERROR(tblSales[[#This Row],[กำไร (บาท)]]/tblSales[[#This Row],[ยอดขาย (บาท)]],""))</f>
        <v/>
      </c>
      <c r="Q32" s="10" t="str">
        <f>IF(tblSales[[#This Row],[Key]]="","",IFERROR(INDEX(ตารางรวม!$D:$D,MATCH(tblSales[[#This Row],[Key]],ตารางรวม!$Z:$Z,0))*tblSales[[#This Row],[จำนวนแก้ว]],0))</f>
        <v/>
      </c>
      <c r="R32" s="10" t="str">
        <f>IF(tblSales[[#This Row],[Key]]="","",IFERROR(INDEX(ตารางรวม!$E:$E,MATCH(tblSales[[#This Row],[Key]],ตารางรวม!$Z:$Z,0))*tblSales[[#This Row],[จำนวนแก้ว]],0))</f>
        <v/>
      </c>
      <c r="S32" s="10" t="str">
        <f>IF(tblSales[[#This Row],[Key]]="","",IFERROR(INDEX(ตารางรวม!$F:$F,MATCH(tblSales[[#This Row],[Key]],ตารางรวม!$Z:$Z,0))*tblSales[[#This Row],[จำนวนแก้ว]],0))</f>
        <v/>
      </c>
      <c r="T32" s="10" t="str">
        <f>IF(tblSales[[#This Row],[Key]]="","",IFERROR(INDEX(ตารางรวม!$G:$G,MATCH(tblSales[[#This Row],[Key]],ตารางรวม!$Z:$Z,0))*tblSales[[#This Row],[จำนวนแก้ว]],0))</f>
        <v/>
      </c>
      <c r="U32" s="10" t="str">
        <f>IF(tblSales[[#This Row],[Key]]="","",IFERROR(INDEX(ตารางรวม!$H:$H,MATCH(tblSales[[#This Row],[Key]],ตารางรวม!$Z:$Z,0))*tblSales[[#This Row],[จำนวนแก้ว]],0))</f>
        <v/>
      </c>
      <c r="V32" s="10" t="str">
        <f>IF(tblSales[[#This Row],[Key]]="","",IFERROR(INDEX(ตารางรวม!$I:$I,MATCH(tblSales[[#This Row],[Key]],ตารางรวม!$Z:$Z,0))*tblSales[[#This Row],[จำนวนแก้ว]],0))</f>
        <v/>
      </c>
      <c r="W32" s="10" t="str">
        <f>IF(tblSales[[#This Row],[Key]]="","",IFERROR(INDEX(ตารางรวม!$J:$J,MATCH(tblSales[[#This Row],[Key]],ตารางรวม!$Z:$Z,0))*tblSales[[#This Row],[จำนวนแก้ว]],0))</f>
        <v/>
      </c>
      <c r="X32" s="10" t="str">
        <f>IF(tblSales[[#This Row],[Key]]="","",IFERROR(INDEX(ตารางรวม!$K:$K,MATCH(tblSales[[#This Row],[Key]],ตารางรวม!$Z:$Z,0))*tblSales[[#This Row],[จำนวนแก้ว]],0))</f>
        <v/>
      </c>
      <c r="Y32" s="10" t="str">
        <f>IF(tblSales[[#This Row],[Key]]="","",IFERROR(INDEX(ตารางรวม!$L:$L,MATCH(tblSales[[#This Row],[Key]],ตารางรวม!$Z:$Z,0))*tblSales[[#This Row],[จำนวนแก้ว]],0))</f>
        <v/>
      </c>
      <c r="Z32" s="10" t="str">
        <f>IF(tblSales[[#This Row],[Key]]="","",IFERROR(INDEX(ตารางรวม!$M:$M,MATCH(tblSales[[#This Row],[Key]],ตารางรวม!$Z:$Z,0))*tblSales[[#This Row],[จำนวนแก้ว]],0))</f>
        <v/>
      </c>
      <c r="AA32" s="10" t="str">
        <f>IF(tblSales[[#This Row],[Key]]="","",IFERROR(INDEX(ตารางรวม!$N:$N,MATCH(tblSales[[#This Row],[Key]],ตารางรวม!$Z:$Z,0))*tblSales[[#This Row],[จำนวนแก้ว]],0))</f>
        <v/>
      </c>
      <c r="AB32" s="10" t="str">
        <f>IF(tblSales[[#This Row],[Key]]="","",IFERROR(INDEX(ตารางรวม!$O:$O,MATCH(tblSales[[#This Row],[Key]],ตารางรวม!$Z:$Z,0))*tblSales[[#This Row],[จำนวนแก้ว]],0))</f>
        <v/>
      </c>
      <c r="AC32" s="10" t="str">
        <f>IF(tblSales[[#This Row],[Key]]="","",IFERROR(INDEX(ตารางรวม!$P:$P,MATCH(tblSales[[#This Row],[Key]],ตารางรวม!$Z:$Z,0))*tblSales[[#This Row],[จำนวนแก้ว]],0))</f>
        <v/>
      </c>
      <c r="AD32" s="10" t="str">
        <f>IF(tblSales[[#This Row],[Key]]="","",IFERROR(INDEX(ตารางรวม!$Q:$Q,MATCH(tblSales[[#This Row],[Key]],ตารางรวม!$Z:$Z,0))*tblSales[[#This Row],[จำนวนแก้ว]],0))</f>
        <v/>
      </c>
      <c r="AE32" s="10" t="str">
        <f>IF(tblSales[[#This Row],[Key]]="","",IFERROR(INDEX(ตารางรวม!$R:$R,MATCH(tblSales[[#This Row],[Key]],ตารางรวม!$Z:$Z,0))*tblSales[[#This Row],[จำนวนแก้ว]],0))</f>
        <v/>
      </c>
      <c r="AF32" s="10" t="str">
        <f>IF(tblSales[[#This Row],[Key]]="","",IFERROR(INDEX(ตารางรวม!$S:$S,MATCH(tblSales[[#This Row],[Key]],ตารางรวม!$Z:$Z,0))*tblSales[[#This Row],[จำนวนแก้ว]],0))</f>
        <v/>
      </c>
      <c r="AG32" s="10" t="str">
        <f>IF(tblSales[[#This Row],[Key]]="","",IFERROR(INDEX(ตารางรวม!$T:$T,MATCH(tblSales[[#This Row],[Key]],ตารางรวม!$Z:$Z,0))*tblSales[[#This Row],[จำนวนแก้ว]],0))</f>
        <v/>
      </c>
      <c r="AH32" s="10" t="str">
        <f>IF(tblSales[[#This Row],[Key]]="","",IF(tblSales[[#This Row],[ขนาด]]="16 oz",tblSales[[#This Row],[จำนวนแก้ว]],0))</f>
        <v/>
      </c>
      <c r="AI32" s="10" t="str">
        <f>IF(tblSales[[#This Row],[Key]]="","",IF(tblSales[[#This Row],[ขนาด]]="20 oz",tblSales[[#This Row],[จำนวนแก้ว]],0))</f>
        <v/>
      </c>
      <c r="AJ32" s="10" t="str">
        <f>IF(tblSales[[#This Row],[Key]]="","",IF(tblSales[[#This Row],[ขนาด]]="22 oz",tblSales[[#This Row],[จำนวนแก้ว]],0))</f>
        <v/>
      </c>
    </row>
    <row r="33" spans="1:36" x14ac:dyDescent="0.25">
      <c r="A33" s="4" t="str">
        <f>IF(tblSales[[#This Row],[วันที่]]="","","S"&amp;TEXT(tblSales[[#This Row],[วันที่]],"yymmdd")&amp;"-"&amp;TEXT(ROW()-5,"000"))</f>
        <v/>
      </c>
      <c r="B33" s="16"/>
      <c r="C33" s="6"/>
      <c r="D33" s="6"/>
      <c r="E33" s="20"/>
      <c r="F33" s="6"/>
      <c r="G33" s="6"/>
      <c r="H33" s="6"/>
      <c r="I33" s="6"/>
      <c r="J3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3" s="8" t="str">
        <f>IF(tblSales[[#This Row],[Key]]="","",IFERROR(INDEX(ตารางรวม!$W:$W,MATCH(tblSales[[#This Row],[Key]],ตารางรวม!$Z:$Z,0)),"ไม่พบสูตร"))</f>
        <v/>
      </c>
      <c r="L33" s="8" t="str">
        <f>IF(tblSales[[#This Row],[Key]]="","",IFERROR(INDEX(ตารางรวม!$V:$V,MATCH(tblSales[[#This Row],[Key]],ตารางรวม!$Z:$Z,0)),"ไม่พบสูตร"))</f>
        <v/>
      </c>
      <c r="M33" s="8" t="str">
        <f>IF(tblSales[[#This Row],[Key]]="","",IFERROR(tblSales[[#This Row],[ราคาต่อแก้ว]]*tblSales[[#This Row],[จำนวนแก้ว]],""))</f>
        <v/>
      </c>
      <c r="N33" s="8" t="str">
        <f>IF(tblSales[[#This Row],[Key]]="","",IFERROR(tblSales[[#This Row],[ต้นทุนต่อแก้ว]]*tblSales[[#This Row],[จำนวนแก้ว]],""))</f>
        <v/>
      </c>
      <c r="O33" s="8" t="str">
        <f>IF(tblSales[[#This Row],[Key]]="","",IFERROR(tblSales[[#This Row],[ยอดขาย (บาท)]]-tblSales[[#This Row],[ต้นทุนรวม (บาท)]],""))</f>
        <v/>
      </c>
      <c r="P33" s="21" t="str">
        <f>IF(tblSales[[#This Row],[Key]]="","",IFERROR(tblSales[[#This Row],[กำไร (บาท)]]/tblSales[[#This Row],[ยอดขาย (บาท)]],""))</f>
        <v/>
      </c>
      <c r="Q33" s="10" t="str">
        <f>IF(tblSales[[#This Row],[Key]]="","",IFERROR(INDEX(ตารางรวม!$D:$D,MATCH(tblSales[[#This Row],[Key]],ตารางรวม!$Z:$Z,0))*tblSales[[#This Row],[จำนวนแก้ว]],0))</f>
        <v/>
      </c>
      <c r="R33" s="10" t="str">
        <f>IF(tblSales[[#This Row],[Key]]="","",IFERROR(INDEX(ตารางรวม!$E:$E,MATCH(tblSales[[#This Row],[Key]],ตารางรวม!$Z:$Z,0))*tblSales[[#This Row],[จำนวนแก้ว]],0))</f>
        <v/>
      </c>
      <c r="S33" s="10" t="str">
        <f>IF(tblSales[[#This Row],[Key]]="","",IFERROR(INDEX(ตารางรวม!$F:$F,MATCH(tblSales[[#This Row],[Key]],ตารางรวม!$Z:$Z,0))*tblSales[[#This Row],[จำนวนแก้ว]],0))</f>
        <v/>
      </c>
      <c r="T33" s="10" t="str">
        <f>IF(tblSales[[#This Row],[Key]]="","",IFERROR(INDEX(ตารางรวม!$G:$G,MATCH(tblSales[[#This Row],[Key]],ตารางรวม!$Z:$Z,0))*tblSales[[#This Row],[จำนวนแก้ว]],0))</f>
        <v/>
      </c>
      <c r="U33" s="10" t="str">
        <f>IF(tblSales[[#This Row],[Key]]="","",IFERROR(INDEX(ตารางรวม!$H:$H,MATCH(tblSales[[#This Row],[Key]],ตารางรวม!$Z:$Z,0))*tblSales[[#This Row],[จำนวนแก้ว]],0))</f>
        <v/>
      </c>
      <c r="V33" s="10" t="str">
        <f>IF(tblSales[[#This Row],[Key]]="","",IFERROR(INDEX(ตารางรวม!$I:$I,MATCH(tblSales[[#This Row],[Key]],ตารางรวม!$Z:$Z,0))*tblSales[[#This Row],[จำนวนแก้ว]],0))</f>
        <v/>
      </c>
      <c r="W33" s="10" t="str">
        <f>IF(tblSales[[#This Row],[Key]]="","",IFERROR(INDEX(ตารางรวม!$J:$J,MATCH(tblSales[[#This Row],[Key]],ตารางรวม!$Z:$Z,0))*tblSales[[#This Row],[จำนวนแก้ว]],0))</f>
        <v/>
      </c>
      <c r="X33" s="10" t="str">
        <f>IF(tblSales[[#This Row],[Key]]="","",IFERROR(INDEX(ตารางรวม!$K:$K,MATCH(tblSales[[#This Row],[Key]],ตารางรวม!$Z:$Z,0))*tblSales[[#This Row],[จำนวนแก้ว]],0))</f>
        <v/>
      </c>
      <c r="Y33" s="10" t="str">
        <f>IF(tblSales[[#This Row],[Key]]="","",IFERROR(INDEX(ตารางรวม!$L:$L,MATCH(tblSales[[#This Row],[Key]],ตารางรวม!$Z:$Z,0))*tblSales[[#This Row],[จำนวนแก้ว]],0))</f>
        <v/>
      </c>
      <c r="Z33" s="10" t="str">
        <f>IF(tblSales[[#This Row],[Key]]="","",IFERROR(INDEX(ตารางรวม!$M:$M,MATCH(tblSales[[#This Row],[Key]],ตารางรวม!$Z:$Z,0))*tblSales[[#This Row],[จำนวนแก้ว]],0))</f>
        <v/>
      </c>
      <c r="AA33" s="10" t="str">
        <f>IF(tblSales[[#This Row],[Key]]="","",IFERROR(INDEX(ตารางรวม!$N:$N,MATCH(tblSales[[#This Row],[Key]],ตารางรวม!$Z:$Z,0))*tblSales[[#This Row],[จำนวนแก้ว]],0))</f>
        <v/>
      </c>
      <c r="AB33" s="10" t="str">
        <f>IF(tblSales[[#This Row],[Key]]="","",IFERROR(INDEX(ตารางรวม!$O:$O,MATCH(tblSales[[#This Row],[Key]],ตารางรวม!$Z:$Z,0))*tblSales[[#This Row],[จำนวนแก้ว]],0))</f>
        <v/>
      </c>
      <c r="AC33" s="10" t="str">
        <f>IF(tblSales[[#This Row],[Key]]="","",IFERROR(INDEX(ตารางรวม!$P:$P,MATCH(tblSales[[#This Row],[Key]],ตารางรวม!$Z:$Z,0))*tblSales[[#This Row],[จำนวนแก้ว]],0))</f>
        <v/>
      </c>
      <c r="AD33" s="10" t="str">
        <f>IF(tblSales[[#This Row],[Key]]="","",IFERROR(INDEX(ตารางรวม!$Q:$Q,MATCH(tblSales[[#This Row],[Key]],ตารางรวม!$Z:$Z,0))*tblSales[[#This Row],[จำนวนแก้ว]],0))</f>
        <v/>
      </c>
      <c r="AE33" s="10" t="str">
        <f>IF(tblSales[[#This Row],[Key]]="","",IFERROR(INDEX(ตารางรวม!$R:$R,MATCH(tblSales[[#This Row],[Key]],ตารางรวม!$Z:$Z,0))*tblSales[[#This Row],[จำนวนแก้ว]],0))</f>
        <v/>
      </c>
      <c r="AF33" s="10" t="str">
        <f>IF(tblSales[[#This Row],[Key]]="","",IFERROR(INDEX(ตารางรวม!$S:$S,MATCH(tblSales[[#This Row],[Key]],ตารางรวม!$Z:$Z,0))*tblSales[[#This Row],[จำนวนแก้ว]],0))</f>
        <v/>
      </c>
      <c r="AG33" s="10" t="str">
        <f>IF(tblSales[[#This Row],[Key]]="","",IFERROR(INDEX(ตารางรวม!$T:$T,MATCH(tblSales[[#This Row],[Key]],ตารางรวม!$Z:$Z,0))*tblSales[[#This Row],[จำนวนแก้ว]],0))</f>
        <v/>
      </c>
      <c r="AH33" s="10" t="str">
        <f>IF(tblSales[[#This Row],[Key]]="","",IF(tblSales[[#This Row],[ขนาด]]="16 oz",tblSales[[#This Row],[จำนวนแก้ว]],0))</f>
        <v/>
      </c>
      <c r="AI33" s="10" t="str">
        <f>IF(tblSales[[#This Row],[Key]]="","",IF(tblSales[[#This Row],[ขนาด]]="20 oz",tblSales[[#This Row],[จำนวนแก้ว]],0))</f>
        <v/>
      </c>
      <c r="AJ33" s="10" t="str">
        <f>IF(tblSales[[#This Row],[Key]]="","",IF(tblSales[[#This Row],[ขนาด]]="22 oz",tblSales[[#This Row],[จำนวนแก้ว]],0))</f>
        <v/>
      </c>
    </row>
    <row r="34" spans="1:36" x14ac:dyDescent="0.25">
      <c r="A34" s="4" t="str">
        <f>IF(tblSales[[#This Row],[วันที่]]="","","S"&amp;TEXT(tblSales[[#This Row],[วันที่]],"yymmdd")&amp;"-"&amp;TEXT(ROW()-5,"000"))</f>
        <v/>
      </c>
      <c r="B34" s="16"/>
      <c r="C34" s="6"/>
      <c r="D34" s="6"/>
      <c r="E34" s="20"/>
      <c r="F34" s="6"/>
      <c r="G34" s="6"/>
      <c r="H34" s="6"/>
      <c r="I34" s="6"/>
      <c r="J3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4" s="8" t="str">
        <f>IF(tblSales[[#This Row],[Key]]="","",IFERROR(INDEX(ตารางรวม!$W:$W,MATCH(tblSales[[#This Row],[Key]],ตารางรวม!$Z:$Z,0)),"ไม่พบสูตร"))</f>
        <v/>
      </c>
      <c r="L34" s="8" t="str">
        <f>IF(tblSales[[#This Row],[Key]]="","",IFERROR(INDEX(ตารางรวม!$V:$V,MATCH(tblSales[[#This Row],[Key]],ตารางรวม!$Z:$Z,0)),"ไม่พบสูตร"))</f>
        <v/>
      </c>
      <c r="M34" s="8" t="str">
        <f>IF(tblSales[[#This Row],[Key]]="","",IFERROR(tblSales[[#This Row],[ราคาต่อแก้ว]]*tblSales[[#This Row],[จำนวนแก้ว]],""))</f>
        <v/>
      </c>
      <c r="N34" s="8" t="str">
        <f>IF(tblSales[[#This Row],[Key]]="","",IFERROR(tblSales[[#This Row],[ต้นทุนต่อแก้ว]]*tblSales[[#This Row],[จำนวนแก้ว]],""))</f>
        <v/>
      </c>
      <c r="O34" s="8" t="str">
        <f>IF(tblSales[[#This Row],[Key]]="","",IFERROR(tblSales[[#This Row],[ยอดขาย (บาท)]]-tblSales[[#This Row],[ต้นทุนรวม (บาท)]],""))</f>
        <v/>
      </c>
      <c r="P34" s="21" t="str">
        <f>IF(tblSales[[#This Row],[Key]]="","",IFERROR(tblSales[[#This Row],[กำไร (บาท)]]/tblSales[[#This Row],[ยอดขาย (บาท)]],""))</f>
        <v/>
      </c>
      <c r="Q34" s="10" t="str">
        <f>IF(tblSales[[#This Row],[Key]]="","",IFERROR(INDEX(ตารางรวม!$D:$D,MATCH(tblSales[[#This Row],[Key]],ตารางรวม!$Z:$Z,0))*tblSales[[#This Row],[จำนวนแก้ว]],0))</f>
        <v/>
      </c>
      <c r="R34" s="10" t="str">
        <f>IF(tblSales[[#This Row],[Key]]="","",IFERROR(INDEX(ตารางรวม!$E:$E,MATCH(tblSales[[#This Row],[Key]],ตารางรวม!$Z:$Z,0))*tblSales[[#This Row],[จำนวนแก้ว]],0))</f>
        <v/>
      </c>
      <c r="S34" s="10" t="str">
        <f>IF(tblSales[[#This Row],[Key]]="","",IFERROR(INDEX(ตารางรวม!$F:$F,MATCH(tblSales[[#This Row],[Key]],ตารางรวม!$Z:$Z,0))*tblSales[[#This Row],[จำนวนแก้ว]],0))</f>
        <v/>
      </c>
      <c r="T34" s="10" t="str">
        <f>IF(tblSales[[#This Row],[Key]]="","",IFERROR(INDEX(ตารางรวม!$G:$G,MATCH(tblSales[[#This Row],[Key]],ตารางรวม!$Z:$Z,0))*tblSales[[#This Row],[จำนวนแก้ว]],0))</f>
        <v/>
      </c>
      <c r="U34" s="10" t="str">
        <f>IF(tblSales[[#This Row],[Key]]="","",IFERROR(INDEX(ตารางรวม!$H:$H,MATCH(tblSales[[#This Row],[Key]],ตารางรวม!$Z:$Z,0))*tblSales[[#This Row],[จำนวนแก้ว]],0))</f>
        <v/>
      </c>
      <c r="V34" s="10" t="str">
        <f>IF(tblSales[[#This Row],[Key]]="","",IFERROR(INDEX(ตารางรวม!$I:$I,MATCH(tblSales[[#This Row],[Key]],ตารางรวม!$Z:$Z,0))*tblSales[[#This Row],[จำนวนแก้ว]],0))</f>
        <v/>
      </c>
      <c r="W34" s="10" t="str">
        <f>IF(tblSales[[#This Row],[Key]]="","",IFERROR(INDEX(ตารางรวม!$J:$J,MATCH(tblSales[[#This Row],[Key]],ตารางรวม!$Z:$Z,0))*tblSales[[#This Row],[จำนวนแก้ว]],0))</f>
        <v/>
      </c>
      <c r="X34" s="10" t="str">
        <f>IF(tblSales[[#This Row],[Key]]="","",IFERROR(INDEX(ตารางรวม!$K:$K,MATCH(tblSales[[#This Row],[Key]],ตารางรวม!$Z:$Z,0))*tblSales[[#This Row],[จำนวนแก้ว]],0))</f>
        <v/>
      </c>
      <c r="Y34" s="10" t="str">
        <f>IF(tblSales[[#This Row],[Key]]="","",IFERROR(INDEX(ตารางรวม!$L:$L,MATCH(tblSales[[#This Row],[Key]],ตารางรวม!$Z:$Z,0))*tblSales[[#This Row],[จำนวนแก้ว]],0))</f>
        <v/>
      </c>
      <c r="Z34" s="10" t="str">
        <f>IF(tblSales[[#This Row],[Key]]="","",IFERROR(INDEX(ตารางรวม!$M:$M,MATCH(tblSales[[#This Row],[Key]],ตารางรวม!$Z:$Z,0))*tblSales[[#This Row],[จำนวนแก้ว]],0))</f>
        <v/>
      </c>
      <c r="AA34" s="10" t="str">
        <f>IF(tblSales[[#This Row],[Key]]="","",IFERROR(INDEX(ตารางรวม!$N:$N,MATCH(tblSales[[#This Row],[Key]],ตารางรวม!$Z:$Z,0))*tblSales[[#This Row],[จำนวนแก้ว]],0))</f>
        <v/>
      </c>
      <c r="AB34" s="10" t="str">
        <f>IF(tblSales[[#This Row],[Key]]="","",IFERROR(INDEX(ตารางรวม!$O:$O,MATCH(tblSales[[#This Row],[Key]],ตารางรวม!$Z:$Z,0))*tblSales[[#This Row],[จำนวนแก้ว]],0))</f>
        <v/>
      </c>
      <c r="AC34" s="10" t="str">
        <f>IF(tblSales[[#This Row],[Key]]="","",IFERROR(INDEX(ตารางรวม!$P:$P,MATCH(tblSales[[#This Row],[Key]],ตารางรวม!$Z:$Z,0))*tblSales[[#This Row],[จำนวนแก้ว]],0))</f>
        <v/>
      </c>
      <c r="AD34" s="10" t="str">
        <f>IF(tblSales[[#This Row],[Key]]="","",IFERROR(INDEX(ตารางรวม!$Q:$Q,MATCH(tblSales[[#This Row],[Key]],ตารางรวม!$Z:$Z,0))*tblSales[[#This Row],[จำนวนแก้ว]],0))</f>
        <v/>
      </c>
      <c r="AE34" s="10" t="str">
        <f>IF(tblSales[[#This Row],[Key]]="","",IFERROR(INDEX(ตารางรวม!$R:$R,MATCH(tblSales[[#This Row],[Key]],ตารางรวม!$Z:$Z,0))*tblSales[[#This Row],[จำนวนแก้ว]],0))</f>
        <v/>
      </c>
      <c r="AF34" s="10" t="str">
        <f>IF(tblSales[[#This Row],[Key]]="","",IFERROR(INDEX(ตารางรวม!$S:$S,MATCH(tblSales[[#This Row],[Key]],ตารางรวม!$Z:$Z,0))*tblSales[[#This Row],[จำนวนแก้ว]],0))</f>
        <v/>
      </c>
      <c r="AG34" s="10" t="str">
        <f>IF(tblSales[[#This Row],[Key]]="","",IFERROR(INDEX(ตารางรวม!$T:$T,MATCH(tblSales[[#This Row],[Key]],ตารางรวม!$Z:$Z,0))*tblSales[[#This Row],[จำนวนแก้ว]],0))</f>
        <v/>
      </c>
      <c r="AH34" s="10" t="str">
        <f>IF(tblSales[[#This Row],[Key]]="","",IF(tblSales[[#This Row],[ขนาด]]="16 oz",tblSales[[#This Row],[จำนวนแก้ว]],0))</f>
        <v/>
      </c>
      <c r="AI34" s="10" t="str">
        <f>IF(tblSales[[#This Row],[Key]]="","",IF(tblSales[[#This Row],[ขนาด]]="20 oz",tblSales[[#This Row],[จำนวนแก้ว]],0))</f>
        <v/>
      </c>
      <c r="AJ34" s="10" t="str">
        <f>IF(tblSales[[#This Row],[Key]]="","",IF(tblSales[[#This Row],[ขนาด]]="22 oz",tblSales[[#This Row],[จำนวนแก้ว]],0))</f>
        <v/>
      </c>
    </row>
    <row r="35" spans="1:36" x14ac:dyDescent="0.25">
      <c r="A35" s="4" t="str">
        <f>IF(tblSales[[#This Row],[วันที่]]="","","S"&amp;TEXT(tblSales[[#This Row],[วันที่]],"yymmdd")&amp;"-"&amp;TEXT(ROW()-5,"000"))</f>
        <v/>
      </c>
      <c r="B35" s="16"/>
      <c r="C35" s="6"/>
      <c r="D35" s="6"/>
      <c r="E35" s="20"/>
      <c r="F35" s="6"/>
      <c r="G35" s="6"/>
      <c r="H35" s="6"/>
      <c r="I35" s="6"/>
      <c r="J3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5" s="8" t="str">
        <f>IF(tblSales[[#This Row],[Key]]="","",IFERROR(INDEX(ตารางรวม!$W:$W,MATCH(tblSales[[#This Row],[Key]],ตารางรวม!$Z:$Z,0)),"ไม่พบสูตร"))</f>
        <v/>
      </c>
      <c r="L35" s="8" t="str">
        <f>IF(tblSales[[#This Row],[Key]]="","",IFERROR(INDEX(ตารางรวม!$V:$V,MATCH(tblSales[[#This Row],[Key]],ตารางรวม!$Z:$Z,0)),"ไม่พบสูตร"))</f>
        <v/>
      </c>
      <c r="M35" s="8" t="str">
        <f>IF(tblSales[[#This Row],[Key]]="","",IFERROR(tblSales[[#This Row],[ราคาต่อแก้ว]]*tblSales[[#This Row],[จำนวนแก้ว]],""))</f>
        <v/>
      </c>
      <c r="N35" s="8" t="str">
        <f>IF(tblSales[[#This Row],[Key]]="","",IFERROR(tblSales[[#This Row],[ต้นทุนต่อแก้ว]]*tblSales[[#This Row],[จำนวนแก้ว]],""))</f>
        <v/>
      </c>
      <c r="O35" s="8" t="str">
        <f>IF(tblSales[[#This Row],[Key]]="","",IFERROR(tblSales[[#This Row],[ยอดขาย (บาท)]]-tblSales[[#This Row],[ต้นทุนรวม (บาท)]],""))</f>
        <v/>
      </c>
      <c r="P35" s="21" t="str">
        <f>IF(tblSales[[#This Row],[Key]]="","",IFERROR(tblSales[[#This Row],[กำไร (บาท)]]/tblSales[[#This Row],[ยอดขาย (บาท)]],""))</f>
        <v/>
      </c>
      <c r="Q35" s="10" t="str">
        <f>IF(tblSales[[#This Row],[Key]]="","",IFERROR(INDEX(ตารางรวม!$D:$D,MATCH(tblSales[[#This Row],[Key]],ตารางรวม!$Z:$Z,0))*tblSales[[#This Row],[จำนวนแก้ว]],0))</f>
        <v/>
      </c>
      <c r="R35" s="10" t="str">
        <f>IF(tblSales[[#This Row],[Key]]="","",IFERROR(INDEX(ตารางรวม!$E:$E,MATCH(tblSales[[#This Row],[Key]],ตารางรวม!$Z:$Z,0))*tblSales[[#This Row],[จำนวนแก้ว]],0))</f>
        <v/>
      </c>
      <c r="S35" s="10" t="str">
        <f>IF(tblSales[[#This Row],[Key]]="","",IFERROR(INDEX(ตารางรวม!$F:$F,MATCH(tblSales[[#This Row],[Key]],ตารางรวม!$Z:$Z,0))*tblSales[[#This Row],[จำนวนแก้ว]],0))</f>
        <v/>
      </c>
      <c r="T35" s="10" t="str">
        <f>IF(tblSales[[#This Row],[Key]]="","",IFERROR(INDEX(ตารางรวม!$G:$G,MATCH(tblSales[[#This Row],[Key]],ตารางรวม!$Z:$Z,0))*tblSales[[#This Row],[จำนวนแก้ว]],0))</f>
        <v/>
      </c>
      <c r="U35" s="10" t="str">
        <f>IF(tblSales[[#This Row],[Key]]="","",IFERROR(INDEX(ตารางรวม!$H:$H,MATCH(tblSales[[#This Row],[Key]],ตารางรวม!$Z:$Z,0))*tblSales[[#This Row],[จำนวนแก้ว]],0))</f>
        <v/>
      </c>
      <c r="V35" s="10" t="str">
        <f>IF(tblSales[[#This Row],[Key]]="","",IFERROR(INDEX(ตารางรวม!$I:$I,MATCH(tblSales[[#This Row],[Key]],ตารางรวม!$Z:$Z,0))*tblSales[[#This Row],[จำนวนแก้ว]],0))</f>
        <v/>
      </c>
      <c r="W35" s="10" t="str">
        <f>IF(tblSales[[#This Row],[Key]]="","",IFERROR(INDEX(ตารางรวม!$J:$J,MATCH(tblSales[[#This Row],[Key]],ตารางรวม!$Z:$Z,0))*tblSales[[#This Row],[จำนวนแก้ว]],0))</f>
        <v/>
      </c>
      <c r="X35" s="10" t="str">
        <f>IF(tblSales[[#This Row],[Key]]="","",IFERROR(INDEX(ตารางรวม!$K:$K,MATCH(tblSales[[#This Row],[Key]],ตารางรวม!$Z:$Z,0))*tblSales[[#This Row],[จำนวนแก้ว]],0))</f>
        <v/>
      </c>
      <c r="Y35" s="10" t="str">
        <f>IF(tblSales[[#This Row],[Key]]="","",IFERROR(INDEX(ตารางรวม!$L:$L,MATCH(tblSales[[#This Row],[Key]],ตารางรวม!$Z:$Z,0))*tblSales[[#This Row],[จำนวนแก้ว]],0))</f>
        <v/>
      </c>
      <c r="Z35" s="10" t="str">
        <f>IF(tblSales[[#This Row],[Key]]="","",IFERROR(INDEX(ตารางรวม!$M:$M,MATCH(tblSales[[#This Row],[Key]],ตารางรวม!$Z:$Z,0))*tblSales[[#This Row],[จำนวนแก้ว]],0))</f>
        <v/>
      </c>
      <c r="AA35" s="10" t="str">
        <f>IF(tblSales[[#This Row],[Key]]="","",IFERROR(INDEX(ตารางรวม!$N:$N,MATCH(tblSales[[#This Row],[Key]],ตารางรวม!$Z:$Z,0))*tblSales[[#This Row],[จำนวนแก้ว]],0))</f>
        <v/>
      </c>
      <c r="AB35" s="10" t="str">
        <f>IF(tblSales[[#This Row],[Key]]="","",IFERROR(INDEX(ตารางรวม!$O:$O,MATCH(tblSales[[#This Row],[Key]],ตารางรวม!$Z:$Z,0))*tblSales[[#This Row],[จำนวนแก้ว]],0))</f>
        <v/>
      </c>
      <c r="AC35" s="10" t="str">
        <f>IF(tblSales[[#This Row],[Key]]="","",IFERROR(INDEX(ตารางรวม!$P:$P,MATCH(tblSales[[#This Row],[Key]],ตารางรวม!$Z:$Z,0))*tblSales[[#This Row],[จำนวนแก้ว]],0))</f>
        <v/>
      </c>
      <c r="AD35" s="10" t="str">
        <f>IF(tblSales[[#This Row],[Key]]="","",IFERROR(INDEX(ตารางรวม!$Q:$Q,MATCH(tblSales[[#This Row],[Key]],ตารางรวม!$Z:$Z,0))*tblSales[[#This Row],[จำนวนแก้ว]],0))</f>
        <v/>
      </c>
      <c r="AE35" s="10" t="str">
        <f>IF(tblSales[[#This Row],[Key]]="","",IFERROR(INDEX(ตารางรวม!$R:$R,MATCH(tblSales[[#This Row],[Key]],ตารางรวม!$Z:$Z,0))*tblSales[[#This Row],[จำนวนแก้ว]],0))</f>
        <v/>
      </c>
      <c r="AF35" s="10" t="str">
        <f>IF(tblSales[[#This Row],[Key]]="","",IFERROR(INDEX(ตารางรวม!$S:$S,MATCH(tblSales[[#This Row],[Key]],ตารางรวม!$Z:$Z,0))*tblSales[[#This Row],[จำนวนแก้ว]],0))</f>
        <v/>
      </c>
      <c r="AG35" s="10" t="str">
        <f>IF(tblSales[[#This Row],[Key]]="","",IFERROR(INDEX(ตารางรวม!$T:$T,MATCH(tblSales[[#This Row],[Key]],ตารางรวม!$Z:$Z,0))*tblSales[[#This Row],[จำนวนแก้ว]],0))</f>
        <v/>
      </c>
      <c r="AH35" s="10" t="str">
        <f>IF(tblSales[[#This Row],[Key]]="","",IF(tblSales[[#This Row],[ขนาด]]="16 oz",tblSales[[#This Row],[จำนวนแก้ว]],0))</f>
        <v/>
      </c>
      <c r="AI35" s="10" t="str">
        <f>IF(tblSales[[#This Row],[Key]]="","",IF(tblSales[[#This Row],[ขนาด]]="20 oz",tblSales[[#This Row],[จำนวนแก้ว]],0))</f>
        <v/>
      </c>
      <c r="AJ35" s="10" t="str">
        <f>IF(tblSales[[#This Row],[Key]]="","",IF(tblSales[[#This Row],[ขนาด]]="22 oz",tblSales[[#This Row],[จำนวนแก้ว]],0))</f>
        <v/>
      </c>
    </row>
    <row r="36" spans="1:36" x14ac:dyDescent="0.25">
      <c r="A36" s="4" t="str">
        <f>IF(tblSales[[#This Row],[วันที่]]="","","S"&amp;TEXT(tblSales[[#This Row],[วันที่]],"yymmdd")&amp;"-"&amp;TEXT(ROW()-5,"000"))</f>
        <v/>
      </c>
      <c r="B36" s="16"/>
      <c r="C36" s="6"/>
      <c r="D36" s="6"/>
      <c r="E36" s="20"/>
      <c r="F36" s="6"/>
      <c r="G36" s="6"/>
      <c r="H36" s="6"/>
      <c r="I36" s="6"/>
      <c r="J3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6" s="8" t="str">
        <f>IF(tblSales[[#This Row],[Key]]="","",IFERROR(INDEX(ตารางรวม!$W:$W,MATCH(tblSales[[#This Row],[Key]],ตารางรวม!$Z:$Z,0)),"ไม่พบสูตร"))</f>
        <v/>
      </c>
      <c r="L36" s="8" t="str">
        <f>IF(tblSales[[#This Row],[Key]]="","",IFERROR(INDEX(ตารางรวม!$V:$V,MATCH(tblSales[[#This Row],[Key]],ตารางรวม!$Z:$Z,0)),"ไม่พบสูตร"))</f>
        <v/>
      </c>
      <c r="M36" s="8" t="str">
        <f>IF(tblSales[[#This Row],[Key]]="","",IFERROR(tblSales[[#This Row],[ราคาต่อแก้ว]]*tblSales[[#This Row],[จำนวนแก้ว]],""))</f>
        <v/>
      </c>
      <c r="N36" s="8" t="str">
        <f>IF(tblSales[[#This Row],[Key]]="","",IFERROR(tblSales[[#This Row],[ต้นทุนต่อแก้ว]]*tblSales[[#This Row],[จำนวนแก้ว]],""))</f>
        <v/>
      </c>
      <c r="O36" s="8" t="str">
        <f>IF(tblSales[[#This Row],[Key]]="","",IFERROR(tblSales[[#This Row],[ยอดขาย (บาท)]]-tblSales[[#This Row],[ต้นทุนรวม (บาท)]],""))</f>
        <v/>
      </c>
      <c r="P36" s="21" t="str">
        <f>IF(tblSales[[#This Row],[Key]]="","",IFERROR(tblSales[[#This Row],[กำไร (บาท)]]/tblSales[[#This Row],[ยอดขาย (บาท)]],""))</f>
        <v/>
      </c>
      <c r="Q36" s="10" t="str">
        <f>IF(tblSales[[#This Row],[Key]]="","",IFERROR(INDEX(ตารางรวม!$D:$D,MATCH(tblSales[[#This Row],[Key]],ตารางรวม!$Z:$Z,0))*tblSales[[#This Row],[จำนวนแก้ว]],0))</f>
        <v/>
      </c>
      <c r="R36" s="10" t="str">
        <f>IF(tblSales[[#This Row],[Key]]="","",IFERROR(INDEX(ตารางรวม!$E:$E,MATCH(tblSales[[#This Row],[Key]],ตารางรวม!$Z:$Z,0))*tblSales[[#This Row],[จำนวนแก้ว]],0))</f>
        <v/>
      </c>
      <c r="S36" s="10" t="str">
        <f>IF(tblSales[[#This Row],[Key]]="","",IFERROR(INDEX(ตารางรวม!$F:$F,MATCH(tblSales[[#This Row],[Key]],ตารางรวม!$Z:$Z,0))*tblSales[[#This Row],[จำนวนแก้ว]],0))</f>
        <v/>
      </c>
      <c r="T36" s="10" t="str">
        <f>IF(tblSales[[#This Row],[Key]]="","",IFERROR(INDEX(ตารางรวม!$G:$G,MATCH(tblSales[[#This Row],[Key]],ตารางรวม!$Z:$Z,0))*tblSales[[#This Row],[จำนวนแก้ว]],0))</f>
        <v/>
      </c>
      <c r="U36" s="10" t="str">
        <f>IF(tblSales[[#This Row],[Key]]="","",IFERROR(INDEX(ตารางรวม!$H:$H,MATCH(tblSales[[#This Row],[Key]],ตารางรวม!$Z:$Z,0))*tblSales[[#This Row],[จำนวนแก้ว]],0))</f>
        <v/>
      </c>
      <c r="V36" s="10" t="str">
        <f>IF(tblSales[[#This Row],[Key]]="","",IFERROR(INDEX(ตารางรวม!$I:$I,MATCH(tblSales[[#This Row],[Key]],ตารางรวม!$Z:$Z,0))*tblSales[[#This Row],[จำนวนแก้ว]],0))</f>
        <v/>
      </c>
      <c r="W36" s="10" t="str">
        <f>IF(tblSales[[#This Row],[Key]]="","",IFERROR(INDEX(ตารางรวม!$J:$J,MATCH(tblSales[[#This Row],[Key]],ตารางรวม!$Z:$Z,0))*tblSales[[#This Row],[จำนวนแก้ว]],0))</f>
        <v/>
      </c>
      <c r="X36" s="10" t="str">
        <f>IF(tblSales[[#This Row],[Key]]="","",IFERROR(INDEX(ตารางรวม!$K:$K,MATCH(tblSales[[#This Row],[Key]],ตารางรวม!$Z:$Z,0))*tblSales[[#This Row],[จำนวนแก้ว]],0))</f>
        <v/>
      </c>
      <c r="Y36" s="10" t="str">
        <f>IF(tblSales[[#This Row],[Key]]="","",IFERROR(INDEX(ตารางรวม!$L:$L,MATCH(tblSales[[#This Row],[Key]],ตารางรวม!$Z:$Z,0))*tblSales[[#This Row],[จำนวนแก้ว]],0))</f>
        <v/>
      </c>
      <c r="Z36" s="10" t="str">
        <f>IF(tblSales[[#This Row],[Key]]="","",IFERROR(INDEX(ตารางรวม!$M:$M,MATCH(tblSales[[#This Row],[Key]],ตารางรวม!$Z:$Z,0))*tblSales[[#This Row],[จำนวนแก้ว]],0))</f>
        <v/>
      </c>
      <c r="AA36" s="10" t="str">
        <f>IF(tblSales[[#This Row],[Key]]="","",IFERROR(INDEX(ตารางรวม!$N:$N,MATCH(tblSales[[#This Row],[Key]],ตารางรวม!$Z:$Z,0))*tblSales[[#This Row],[จำนวนแก้ว]],0))</f>
        <v/>
      </c>
      <c r="AB36" s="10" t="str">
        <f>IF(tblSales[[#This Row],[Key]]="","",IFERROR(INDEX(ตารางรวม!$O:$O,MATCH(tblSales[[#This Row],[Key]],ตารางรวม!$Z:$Z,0))*tblSales[[#This Row],[จำนวนแก้ว]],0))</f>
        <v/>
      </c>
      <c r="AC36" s="10" t="str">
        <f>IF(tblSales[[#This Row],[Key]]="","",IFERROR(INDEX(ตารางรวม!$P:$P,MATCH(tblSales[[#This Row],[Key]],ตารางรวม!$Z:$Z,0))*tblSales[[#This Row],[จำนวนแก้ว]],0))</f>
        <v/>
      </c>
      <c r="AD36" s="10" t="str">
        <f>IF(tblSales[[#This Row],[Key]]="","",IFERROR(INDEX(ตารางรวม!$Q:$Q,MATCH(tblSales[[#This Row],[Key]],ตารางรวม!$Z:$Z,0))*tblSales[[#This Row],[จำนวนแก้ว]],0))</f>
        <v/>
      </c>
      <c r="AE36" s="10" t="str">
        <f>IF(tblSales[[#This Row],[Key]]="","",IFERROR(INDEX(ตารางรวม!$R:$R,MATCH(tblSales[[#This Row],[Key]],ตารางรวม!$Z:$Z,0))*tblSales[[#This Row],[จำนวนแก้ว]],0))</f>
        <v/>
      </c>
      <c r="AF36" s="10" t="str">
        <f>IF(tblSales[[#This Row],[Key]]="","",IFERROR(INDEX(ตารางรวม!$S:$S,MATCH(tblSales[[#This Row],[Key]],ตารางรวม!$Z:$Z,0))*tblSales[[#This Row],[จำนวนแก้ว]],0))</f>
        <v/>
      </c>
      <c r="AG36" s="10" t="str">
        <f>IF(tblSales[[#This Row],[Key]]="","",IFERROR(INDEX(ตารางรวม!$T:$T,MATCH(tblSales[[#This Row],[Key]],ตารางรวม!$Z:$Z,0))*tblSales[[#This Row],[จำนวนแก้ว]],0))</f>
        <v/>
      </c>
      <c r="AH36" s="10" t="str">
        <f>IF(tblSales[[#This Row],[Key]]="","",IF(tblSales[[#This Row],[ขนาด]]="16 oz",tblSales[[#This Row],[จำนวนแก้ว]],0))</f>
        <v/>
      </c>
      <c r="AI36" s="10" t="str">
        <f>IF(tblSales[[#This Row],[Key]]="","",IF(tblSales[[#This Row],[ขนาด]]="20 oz",tblSales[[#This Row],[จำนวนแก้ว]],0))</f>
        <v/>
      </c>
      <c r="AJ36" s="10" t="str">
        <f>IF(tblSales[[#This Row],[Key]]="","",IF(tblSales[[#This Row],[ขนาด]]="22 oz",tblSales[[#This Row],[จำนวนแก้ว]],0))</f>
        <v/>
      </c>
    </row>
    <row r="37" spans="1:36" x14ac:dyDescent="0.25">
      <c r="A37" s="4" t="str">
        <f>IF(tblSales[[#This Row],[วันที่]]="","","S"&amp;TEXT(tblSales[[#This Row],[วันที่]],"yymmdd")&amp;"-"&amp;TEXT(ROW()-5,"000"))</f>
        <v/>
      </c>
      <c r="B37" s="16"/>
      <c r="C37" s="6"/>
      <c r="D37" s="6"/>
      <c r="E37" s="20"/>
      <c r="F37" s="6"/>
      <c r="G37" s="6"/>
      <c r="H37" s="6"/>
      <c r="I37" s="6"/>
      <c r="J3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7" s="8" t="str">
        <f>IF(tblSales[[#This Row],[Key]]="","",IFERROR(INDEX(ตารางรวม!$W:$W,MATCH(tblSales[[#This Row],[Key]],ตารางรวม!$Z:$Z,0)),"ไม่พบสูตร"))</f>
        <v/>
      </c>
      <c r="L37" s="8" t="str">
        <f>IF(tblSales[[#This Row],[Key]]="","",IFERROR(INDEX(ตารางรวม!$V:$V,MATCH(tblSales[[#This Row],[Key]],ตารางรวม!$Z:$Z,0)),"ไม่พบสูตร"))</f>
        <v/>
      </c>
      <c r="M37" s="8" t="str">
        <f>IF(tblSales[[#This Row],[Key]]="","",IFERROR(tblSales[[#This Row],[ราคาต่อแก้ว]]*tblSales[[#This Row],[จำนวนแก้ว]],""))</f>
        <v/>
      </c>
      <c r="N37" s="8" t="str">
        <f>IF(tblSales[[#This Row],[Key]]="","",IFERROR(tblSales[[#This Row],[ต้นทุนต่อแก้ว]]*tblSales[[#This Row],[จำนวนแก้ว]],""))</f>
        <v/>
      </c>
      <c r="O37" s="8" t="str">
        <f>IF(tblSales[[#This Row],[Key]]="","",IFERROR(tblSales[[#This Row],[ยอดขาย (บาท)]]-tblSales[[#This Row],[ต้นทุนรวม (บาท)]],""))</f>
        <v/>
      </c>
      <c r="P37" s="21" t="str">
        <f>IF(tblSales[[#This Row],[Key]]="","",IFERROR(tblSales[[#This Row],[กำไร (บาท)]]/tblSales[[#This Row],[ยอดขาย (บาท)]],""))</f>
        <v/>
      </c>
      <c r="Q37" s="10" t="str">
        <f>IF(tblSales[[#This Row],[Key]]="","",IFERROR(INDEX(ตารางรวม!$D:$D,MATCH(tblSales[[#This Row],[Key]],ตารางรวม!$Z:$Z,0))*tblSales[[#This Row],[จำนวนแก้ว]],0))</f>
        <v/>
      </c>
      <c r="R37" s="10" t="str">
        <f>IF(tblSales[[#This Row],[Key]]="","",IFERROR(INDEX(ตารางรวม!$E:$E,MATCH(tblSales[[#This Row],[Key]],ตารางรวม!$Z:$Z,0))*tblSales[[#This Row],[จำนวนแก้ว]],0))</f>
        <v/>
      </c>
      <c r="S37" s="10" t="str">
        <f>IF(tblSales[[#This Row],[Key]]="","",IFERROR(INDEX(ตารางรวม!$F:$F,MATCH(tblSales[[#This Row],[Key]],ตารางรวม!$Z:$Z,0))*tblSales[[#This Row],[จำนวนแก้ว]],0))</f>
        <v/>
      </c>
      <c r="T37" s="10" t="str">
        <f>IF(tblSales[[#This Row],[Key]]="","",IFERROR(INDEX(ตารางรวม!$G:$G,MATCH(tblSales[[#This Row],[Key]],ตารางรวม!$Z:$Z,0))*tblSales[[#This Row],[จำนวนแก้ว]],0))</f>
        <v/>
      </c>
      <c r="U37" s="10" t="str">
        <f>IF(tblSales[[#This Row],[Key]]="","",IFERROR(INDEX(ตารางรวม!$H:$H,MATCH(tblSales[[#This Row],[Key]],ตารางรวม!$Z:$Z,0))*tblSales[[#This Row],[จำนวนแก้ว]],0))</f>
        <v/>
      </c>
      <c r="V37" s="10" t="str">
        <f>IF(tblSales[[#This Row],[Key]]="","",IFERROR(INDEX(ตารางรวม!$I:$I,MATCH(tblSales[[#This Row],[Key]],ตารางรวม!$Z:$Z,0))*tblSales[[#This Row],[จำนวนแก้ว]],0))</f>
        <v/>
      </c>
      <c r="W37" s="10" t="str">
        <f>IF(tblSales[[#This Row],[Key]]="","",IFERROR(INDEX(ตารางรวม!$J:$J,MATCH(tblSales[[#This Row],[Key]],ตารางรวม!$Z:$Z,0))*tblSales[[#This Row],[จำนวนแก้ว]],0))</f>
        <v/>
      </c>
      <c r="X37" s="10" t="str">
        <f>IF(tblSales[[#This Row],[Key]]="","",IFERROR(INDEX(ตารางรวม!$K:$K,MATCH(tblSales[[#This Row],[Key]],ตารางรวม!$Z:$Z,0))*tblSales[[#This Row],[จำนวนแก้ว]],0))</f>
        <v/>
      </c>
      <c r="Y37" s="10" t="str">
        <f>IF(tblSales[[#This Row],[Key]]="","",IFERROR(INDEX(ตารางรวม!$L:$L,MATCH(tblSales[[#This Row],[Key]],ตารางรวม!$Z:$Z,0))*tblSales[[#This Row],[จำนวนแก้ว]],0))</f>
        <v/>
      </c>
      <c r="Z37" s="10" t="str">
        <f>IF(tblSales[[#This Row],[Key]]="","",IFERROR(INDEX(ตารางรวม!$M:$M,MATCH(tblSales[[#This Row],[Key]],ตารางรวม!$Z:$Z,0))*tblSales[[#This Row],[จำนวนแก้ว]],0))</f>
        <v/>
      </c>
      <c r="AA37" s="10" t="str">
        <f>IF(tblSales[[#This Row],[Key]]="","",IFERROR(INDEX(ตารางรวม!$N:$N,MATCH(tblSales[[#This Row],[Key]],ตารางรวม!$Z:$Z,0))*tblSales[[#This Row],[จำนวนแก้ว]],0))</f>
        <v/>
      </c>
      <c r="AB37" s="10" t="str">
        <f>IF(tblSales[[#This Row],[Key]]="","",IFERROR(INDEX(ตารางรวม!$O:$O,MATCH(tblSales[[#This Row],[Key]],ตารางรวม!$Z:$Z,0))*tblSales[[#This Row],[จำนวนแก้ว]],0))</f>
        <v/>
      </c>
      <c r="AC37" s="10" t="str">
        <f>IF(tblSales[[#This Row],[Key]]="","",IFERROR(INDEX(ตารางรวม!$P:$P,MATCH(tblSales[[#This Row],[Key]],ตารางรวม!$Z:$Z,0))*tblSales[[#This Row],[จำนวนแก้ว]],0))</f>
        <v/>
      </c>
      <c r="AD37" s="10" t="str">
        <f>IF(tblSales[[#This Row],[Key]]="","",IFERROR(INDEX(ตารางรวม!$Q:$Q,MATCH(tblSales[[#This Row],[Key]],ตารางรวม!$Z:$Z,0))*tblSales[[#This Row],[จำนวนแก้ว]],0))</f>
        <v/>
      </c>
      <c r="AE37" s="10" t="str">
        <f>IF(tblSales[[#This Row],[Key]]="","",IFERROR(INDEX(ตารางรวม!$R:$R,MATCH(tblSales[[#This Row],[Key]],ตารางรวม!$Z:$Z,0))*tblSales[[#This Row],[จำนวนแก้ว]],0))</f>
        <v/>
      </c>
      <c r="AF37" s="10" t="str">
        <f>IF(tblSales[[#This Row],[Key]]="","",IFERROR(INDEX(ตารางรวม!$S:$S,MATCH(tblSales[[#This Row],[Key]],ตารางรวม!$Z:$Z,0))*tblSales[[#This Row],[จำนวนแก้ว]],0))</f>
        <v/>
      </c>
      <c r="AG37" s="10" t="str">
        <f>IF(tblSales[[#This Row],[Key]]="","",IFERROR(INDEX(ตารางรวม!$T:$T,MATCH(tblSales[[#This Row],[Key]],ตารางรวม!$Z:$Z,0))*tblSales[[#This Row],[จำนวนแก้ว]],0))</f>
        <v/>
      </c>
      <c r="AH37" s="10" t="str">
        <f>IF(tblSales[[#This Row],[Key]]="","",IF(tblSales[[#This Row],[ขนาด]]="16 oz",tblSales[[#This Row],[จำนวนแก้ว]],0))</f>
        <v/>
      </c>
      <c r="AI37" s="10" t="str">
        <f>IF(tblSales[[#This Row],[Key]]="","",IF(tblSales[[#This Row],[ขนาด]]="20 oz",tblSales[[#This Row],[จำนวนแก้ว]],0))</f>
        <v/>
      </c>
      <c r="AJ37" s="10" t="str">
        <f>IF(tblSales[[#This Row],[Key]]="","",IF(tblSales[[#This Row],[ขนาด]]="22 oz",tblSales[[#This Row],[จำนวนแก้ว]],0))</f>
        <v/>
      </c>
    </row>
    <row r="38" spans="1:36" x14ac:dyDescent="0.25">
      <c r="A38" s="4" t="str">
        <f>IF(tblSales[[#This Row],[วันที่]]="","","S"&amp;TEXT(tblSales[[#This Row],[วันที่]],"yymmdd")&amp;"-"&amp;TEXT(ROW()-5,"000"))</f>
        <v/>
      </c>
      <c r="B38" s="16"/>
      <c r="C38" s="6"/>
      <c r="D38" s="6"/>
      <c r="E38" s="20"/>
      <c r="F38" s="6"/>
      <c r="G38" s="6"/>
      <c r="H38" s="6"/>
      <c r="I38" s="6"/>
      <c r="J3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8" s="8" t="str">
        <f>IF(tblSales[[#This Row],[Key]]="","",IFERROR(INDEX(ตารางรวม!$W:$W,MATCH(tblSales[[#This Row],[Key]],ตารางรวม!$Z:$Z,0)),"ไม่พบสูตร"))</f>
        <v/>
      </c>
      <c r="L38" s="8" t="str">
        <f>IF(tblSales[[#This Row],[Key]]="","",IFERROR(INDEX(ตารางรวม!$V:$V,MATCH(tblSales[[#This Row],[Key]],ตารางรวม!$Z:$Z,0)),"ไม่พบสูตร"))</f>
        <v/>
      </c>
      <c r="M38" s="8" t="str">
        <f>IF(tblSales[[#This Row],[Key]]="","",IFERROR(tblSales[[#This Row],[ราคาต่อแก้ว]]*tblSales[[#This Row],[จำนวนแก้ว]],""))</f>
        <v/>
      </c>
      <c r="N38" s="8" t="str">
        <f>IF(tblSales[[#This Row],[Key]]="","",IFERROR(tblSales[[#This Row],[ต้นทุนต่อแก้ว]]*tblSales[[#This Row],[จำนวนแก้ว]],""))</f>
        <v/>
      </c>
      <c r="O38" s="8" t="str">
        <f>IF(tblSales[[#This Row],[Key]]="","",IFERROR(tblSales[[#This Row],[ยอดขาย (บาท)]]-tblSales[[#This Row],[ต้นทุนรวม (บาท)]],""))</f>
        <v/>
      </c>
      <c r="P38" s="21" t="str">
        <f>IF(tblSales[[#This Row],[Key]]="","",IFERROR(tblSales[[#This Row],[กำไร (บาท)]]/tblSales[[#This Row],[ยอดขาย (บาท)]],""))</f>
        <v/>
      </c>
      <c r="Q38" s="10" t="str">
        <f>IF(tblSales[[#This Row],[Key]]="","",IFERROR(INDEX(ตารางรวม!$D:$D,MATCH(tblSales[[#This Row],[Key]],ตารางรวม!$Z:$Z,0))*tblSales[[#This Row],[จำนวนแก้ว]],0))</f>
        <v/>
      </c>
      <c r="R38" s="10" t="str">
        <f>IF(tblSales[[#This Row],[Key]]="","",IFERROR(INDEX(ตารางรวม!$E:$E,MATCH(tblSales[[#This Row],[Key]],ตารางรวม!$Z:$Z,0))*tblSales[[#This Row],[จำนวนแก้ว]],0))</f>
        <v/>
      </c>
      <c r="S38" s="10" t="str">
        <f>IF(tblSales[[#This Row],[Key]]="","",IFERROR(INDEX(ตารางรวม!$F:$F,MATCH(tblSales[[#This Row],[Key]],ตารางรวม!$Z:$Z,0))*tblSales[[#This Row],[จำนวนแก้ว]],0))</f>
        <v/>
      </c>
      <c r="T38" s="10" t="str">
        <f>IF(tblSales[[#This Row],[Key]]="","",IFERROR(INDEX(ตารางรวม!$G:$G,MATCH(tblSales[[#This Row],[Key]],ตารางรวม!$Z:$Z,0))*tblSales[[#This Row],[จำนวนแก้ว]],0))</f>
        <v/>
      </c>
      <c r="U38" s="10" t="str">
        <f>IF(tblSales[[#This Row],[Key]]="","",IFERROR(INDEX(ตารางรวม!$H:$H,MATCH(tblSales[[#This Row],[Key]],ตารางรวม!$Z:$Z,0))*tblSales[[#This Row],[จำนวนแก้ว]],0))</f>
        <v/>
      </c>
      <c r="V38" s="10" t="str">
        <f>IF(tblSales[[#This Row],[Key]]="","",IFERROR(INDEX(ตารางรวม!$I:$I,MATCH(tblSales[[#This Row],[Key]],ตารางรวม!$Z:$Z,0))*tblSales[[#This Row],[จำนวนแก้ว]],0))</f>
        <v/>
      </c>
      <c r="W38" s="10" t="str">
        <f>IF(tblSales[[#This Row],[Key]]="","",IFERROR(INDEX(ตารางรวม!$J:$J,MATCH(tblSales[[#This Row],[Key]],ตารางรวม!$Z:$Z,0))*tblSales[[#This Row],[จำนวนแก้ว]],0))</f>
        <v/>
      </c>
      <c r="X38" s="10" t="str">
        <f>IF(tblSales[[#This Row],[Key]]="","",IFERROR(INDEX(ตารางรวม!$K:$K,MATCH(tblSales[[#This Row],[Key]],ตารางรวม!$Z:$Z,0))*tblSales[[#This Row],[จำนวนแก้ว]],0))</f>
        <v/>
      </c>
      <c r="Y38" s="10" t="str">
        <f>IF(tblSales[[#This Row],[Key]]="","",IFERROR(INDEX(ตารางรวม!$L:$L,MATCH(tblSales[[#This Row],[Key]],ตารางรวม!$Z:$Z,0))*tblSales[[#This Row],[จำนวนแก้ว]],0))</f>
        <v/>
      </c>
      <c r="Z38" s="10" t="str">
        <f>IF(tblSales[[#This Row],[Key]]="","",IFERROR(INDEX(ตารางรวม!$M:$M,MATCH(tblSales[[#This Row],[Key]],ตารางรวม!$Z:$Z,0))*tblSales[[#This Row],[จำนวนแก้ว]],0))</f>
        <v/>
      </c>
      <c r="AA38" s="10" t="str">
        <f>IF(tblSales[[#This Row],[Key]]="","",IFERROR(INDEX(ตารางรวม!$N:$N,MATCH(tblSales[[#This Row],[Key]],ตารางรวม!$Z:$Z,0))*tblSales[[#This Row],[จำนวนแก้ว]],0))</f>
        <v/>
      </c>
      <c r="AB38" s="10" t="str">
        <f>IF(tblSales[[#This Row],[Key]]="","",IFERROR(INDEX(ตารางรวม!$O:$O,MATCH(tblSales[[#This Row],[Key]],ตารางรวม!$Z:$Z,0))*tblSales[[#This Row],[จำนวนแก้ว]],0))</f>
        <v/>
      </c>
      <c r="AC38" s="10" t="str">
        <f>IF(tblSales[[#This Row],[Key]]="","",IFERROR(INDEX(ตารางรวม!$P:$P,MATCH(tblSales[[#This Row],[Key]],ตารางรวม!$Z:$Z,0))*tblSales[[#This Row],[จำนวนแก้ว]],0))</f>
        <v/>
      </c>
      <c r="AD38" s="10" t="str">
        <f>IF(tblSales[[#This Row],[Key]]="","",IFERROR(INDEX(ตารางรวม!$Q:$Q,MATCH(tblSales[[#This Row],[Key]],ตารางรวม!$Z:$Z,0))*tblSales[[#This Row],[จำนวนแก้ว]],0))</f>
        <v/>
      </c>
      <c r="AE38" s="10" t="str">
        <f>IF(tblSales[[#This Row],[Key]]="","",IFERROR(INDEX(ตารางรวม!$R:$R,MATCH(tblSales[[#This Row],[Key]],ตารางรวม!$Z:$Z,0))*tblSales[[#This Row],[จำนวนแก้ว]],0))</f>
        <v/>
      </c>
      <c r="AF38" s="10" t="str">
        <f>IF(tblSales[[#This Row],[Key]]="","",IFERROR(INDEX(ตารางรวม!$S:$S,MATCH(tblSales[[#This Row],[Key]],ตารางรวม!$Z:$Z,0))*tblSales[[#This Row],[จำนวนแก้ว]],0))</f>
        <v/>
      </c>
      <c r="AG38" s="10" t="str">
        <f>IF(tblSales[[#This Row],[Key]]="","",IFERROR(INDEX(ตารางรวม!$T:$T,MATCH(tblSales[[#This Row],[Key]],ตารางรวม!$Z:$Z,0))*tblSales[[#This Row],[จำนวนแก้ว]],0))</f>
        <v/>
      </c>
      <c r="AH38" s="10" t="str">
        <f>IF(tblSales[[#This Row],[Key]]="","",IF(tblSales[[#This Row],[ขนาด]]="16 oz",tblSales[[#This Row],[จำนวนแก้ว]],0))</f>
        <v/>
      </c>
      <c r="AI38" s="10" t="str">
        <f>IF(tblSales[[#This Row],[Key]]="","",IF(tblSales[[#This Row],[ขนาด]]="20 oz",tblSales[[#This Row],[จำนวนแก้ว]],0))</f>
        <v/>
      </c>
      <c r="AJ38" s="10" t="str">
        <f>IF(tblSales[[#This Row],[Key]]="","",IF(tblSales[[#This Row],[ขนาด]]="22 oz",tblSales[[#This Row],[จำนวนแก้ว]],0))</f>
        <v/>
      </c>
    </row>
    <row r="39" spans="1:36" x14ac:dyDescent="0.25">
      <c r="A39" s="4" t="str">
        <f>IF(tblSales[[#This Row],[วันที่]]="","","S"&amp;TEXT(tblSales[[#This Row],[วันที่]],"yymmdd")&amp;"-"&amp;TEXT(ROW()-5,"000"))</f>
        <v/>
      </c>
      <c r="B39" s="16"/>
      <c r="C39" s="6"/>
      <c r="D39" s="6"/>
      <c r="E39" s="20"/>
      <c r="F39" s="6"/>
      <c r="G39" s="6"/>
      <c r="H39" s="6"/>
      <c r="I39" s="6"/>
      <c r="J3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9" s="8" t="str">
        <f>IF(tblSales[[#This Row],[Key]]="","",IFERROR(INDEX(ตารางรวม!$W:$W,MATCH(tblSales[[#This Row],[Key]],ตารางรวม!$Z:$Z,0)),"ไม่พบสูตร"))</f>
        <v/>
      </c>
      <c r="L39" s="8" t="str">
        <f>IF(tblSales[[#This Row],[Key]]="","",IFERROR(INDEX(ตารางรวม!$V:$V,MATCH(tblSales[[#This Row],[Key]],ตารางรวม!$Z:$Z,0)),"ไม่พบสูตร"))</f>
        <v/>
      </c>
      <c r="M39" s="8" t="str">
        <f>IF(tblSales[[#This Row],[Key]]="","",IFERROR(tblSales[[#This Row],[ราคาต่อแก้ว]]*tblSales[[#This Row],[จำนวนแก้ว]],""))</f>
        <v/>
      </c>
      <c r="N39" s="8" t="str">
        <f>IF(tblSales[[#This Row],[Key]]="","",IFERROR(tblSales[[#This Row],[ต้นทุนต่อแก้ว]]*tblSales[[#This Row],[จำนวนแก้ว]],""))</f>
        <v/>
      </c>
      <c r="O39" s="8" t="str">
        <f>IF(tblSales[[#This Row],[Key]]="","",IFERROR(tblSales[[#This Row],[ยอดขาย (บาท)]]-tblSales[[#This Row],[ต้นทุนรวม (บาท)]],""))</f>
        <v/>
      </c>
      <c r="P39" s="21" t="str">
        <f>IF(tblSales[[#This Row],[Key]]="","",IFERROR(tblSales[[#This Row],[กำไร (บาท)]]/tblSales[[#This Row],[ยอดขาย (บาท)]],""))</f>
        <v/>
      </c>
      <c r="Q39" s="10" t="str">
        <f>IF(tblSales[[#This Row],[Key]]="","",IFERROR(INDEX(ตารางรวม!$D:$D,MATCH(tblSales[[#This Row],[Key]],ตารางรวม!$Z:$Z,0))*tblSales[[#This Row],[จำนวนแก้ว]],0))</f>
        <v/>
      </c>
      <c r="R39" s="10" t="str">
        <f>IF(tblSales[[#This Row],[Key]]="","",IFERROR(INDEX(ตารางรวม!$E:$E,MATCH(tblSales[[#This Row],[Key]],ตารางรวม!$Z:$Z,0))*tblSales[[#This Row],[จำนวนแก้ว]],0))</f>
        <v/>
      </c>
      <c r="S39" s="10" t="str">
        <f>IF(tblSales[[#This Row],[Key]]="","",IFERROR(INDEX(ตารางรวม!$F:$F,MATCH(tblSales[[#This Row],[Key]],ตารางรวม!$Z:$Z,0))*tblSales[[#This Row],[จำนวนแก้ว]],0))</f>
        <v/>
      </c>
      <c r="T39" s="10" t="str">
        <f>IF(tblSales[[#This Row],[Key]]="","",IFERROR(INDEX(ตารางรวม!$G:$G,MATCH(tblSales[[#This Row],[Key]],ตารางรวม!$Z:$Z,0))*tblSales[[#This Row],[จำนวนแก้ว]],0))</f>
        <v/>
      </c>
      <c r="U39" s="10" t="str">
        <f>IF(tblSales[[#This Row],[Key]]="","",IFERROR(INDEX(ตารางรวม!$H:$H,MATCH(tblSales[[#This Row],[Key]],ตารางรวม!$Z:$Z,0))*tblSales[[#This Row],[จำนวนแก้ว]],0))</f>
        <v/>
      </c>
      <c r="V39" s="10" t="str">
        <f>IF(tblSales[[#This Row],[Key]]="","",IFERROR(INDEX(ตารางรวม!$I:$I,MATCH(tblSales[[#This Row],[Key]],ตารางรวม!$Z:$Z,0))*tblSales[[#This Row],[จำนวนแก้ว]],0))</f>
        <v/>
      </c>
      <c r="W39" s="10" t="str">
        <f>IF(tblSales[[#This Row],[Key]]="","",IFERROR(INDEX(ตารางรวม!$J:$J,MATCH(tblSales[[#This Row],[Key]],ตารางรวม!$Z:$Z,0))*tblSales[[#This Row],[จำนวนแก้ว]],0))</f>
        <v/>
      </c>
      <c r="X39" s="10" t="str">
        <f>IF(tblSales[[#This Row],[Key]]="","",IFERROR(INDEX(ตารางรวม!$K:$K,MATCH(tblSales[[#This Row],[Key]],ตารางรวม!$Z:$Z,0))*tblSales[[#This Row],[จำนวนแก้ว]],0))</f>
        <v/>
      </c>
      <c r="Y39" s="10" t="str">
        <f>IF(tblSales[[#This Row],[Key]]="","",IFERROR(INDEX(ตารางรวม!$L:$L,MATCH(tblSales[[#This Row],[Key]],ตารางรวม!$Z:$Z,0))*tblSales[[#This Row],[จำนวนแก้ว]],0))</f>
        <v/>
      </c>
      <c r="Z39" s="10" t="str">
        <f>IF(tblSales[[#This Row],[Key]]="","",IFERROR(INDEX(ตารางรวม!$M:$M,MATCH(tblSales[[#This Row],[Key]],ตารางรวม!$Z:$Z,0))*tblSales[[#This Row],[จำนวนแก้ว]],0))</f>
        <v/>
      </c>
      <c r="AA39" s="10" t="str">
        <f>IF(tblSales[[#This Row],[Key]]="","",IFERROR(INDEX(ตารางรวม!$N:$N,MATCH(tblSales[[#This Row],[Key]],ตารางรวม!$Z:$Z,0))*tblSales[[#This Row],[จำนวนแก้ว]],0))</f>
        <v/>
      </c>
      <c r="AB39" s="10" t="str">
        <f>IF(tblSales[[#This Row],[Key]]="","",IFERROR(INDEX(ตารางรวม!$O:$O,MATCH(tblSales[[#This Row],[Key]],ตารางรวม!$Z:$Z,0))*tblSales[[#This Row],[จำนวนแก้ว]],0))</f>
        <v/>
      </c>
      <c r="AC39" s="10" t="str">
        <f>IF(tblSales[[#This Row],[Key]]="","",IFERROR(INDEX(ตารางรวม!$P:$P,MATCH(tblSales[[#This Row],[Key]],ตารางรวม!$Z:$Z,0))*tblSales[[#This Row],[จำนวนแก้ว]],0))</f>
        <v/>
      </c>
      <c r="AD39" s="10" t="str">
        <f>IF(tblSales[[#This Row],[Key]]="","",IFERROR(INDEX(ตารางรวม!$Q:$Q,MATCH(tblSales[[#This Row],[Key]],ตารางรวม!$Z:$Z,0))*tblSales[[#This Row],[จำนวนแก้ว]],0))</f>
        <v/>
      </c>
      <c r="AE39" s="10" t="str">
        <f>IF(tblSales[[#This Row],[Key]]="","",IFERROR(INDEX(ตารางรวม!$R:$R,MATCH(tblSales[[#This Row],[Key]],ตารางรวม!$Z:$Z,0))*tblSales[[#This Row],[จำนวนแก้ว]],0))</f>
        <v/>
      </c>
      <c r="AF39" s="10" t="str">
        <f>IF(tblSales[[#This Row],[Key]]="","",IFERROR(INDEX(ตารางรวม!$S:$S,MATCH(tblSales[[#This Row],[Key]],ตารางรวม!$Z:$Z,0))*tblSales[[#This Row],[จำนวนแก้ว]],0))</f>
        <v/>
      </c>
      <c r="AG39" s="10" t="str">
        <f>IF(tblSales[[#This Row],[Key]]="","",IFERROR(INDEX(ตารางรวม!$T:$T,MATCH(tblSales[[#This Row],[Key]],ตารางรวม!$Z:$Z,0))*tblSales[[#This Row],[จำนวนแก้ว]],0))</f>
        <v/>
      </c>
      <c r="AH39" s="10" t="str">
        <f>IF(tblSales[[#This Row],[Key]]="","",IF(tblSales[[#This Row],[ขนาด]]="16 oz",tblSales[[#This Row],[จำนวนแก้ว]],0))</f>
        <v/>
      </c>
      <c r="AI39" s="10" t="str">
        <f>IF(tblSales[[#This Row],[Key]]="","",IF(tblSales[[#This Row],[ขนาด]]="20 oz",tblSales[[#This Row],[จำนวนแก้ว]],0))</f>
        <v/>
      </c>
      <c r="AJ39" s="10" t="str">
        <f>IF(tblSales[[#This Row],[Key]]="","",IF(tblSales[[#This Row],[ขนาด]]="22 oz",tblSales[[#This Row],[จำนวนแก้ว]],0))</f>
        <v/>
      </c>
    </row>
    <row r="40" spans="1:36" x14ac:dyDescent="0.25">
      <c r="A40" s="4" t="str">
        <f>IF(tblSales[[#This Row],[วันที่]]="","","S"&amp;TEXT(tblSales[[#This Row],[วันที่]],"yymmdd")&amp;"-"&amp;TEXT(ROW()-5,"000"))</f>
        <v/>
      </c>
      <c r="B40" s="16"/>
      <c r="C40" s="6"/>
      <c r="D40" s="6"/>
      <c r="E40" s="20"/>
      <c r="F40" s="6"/>
      <c r="G40" s="6"/>
      <c r="H40" s="6"/>
      <c r="I40" s="6"/>
      <c r="J4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0" s="8" t="str">
        <f>IF(tblSales[[#This Row],[Key]]="","",IFERROR(INDEX(ตารางรวม!$W:$W,MATCH(tblSales[[#This Row],[Key]],ตารางรวม!$Z:$Z,0)),"ไม่พบสูตร"))</f>
        <v/>
      </c>
      <c r="L40" s="8" t="str">
        <f>IF(tblSales[[#This Row],[Key]]="","",IFERROR(INDEX(ตารางรวม!$V:$V,MATCH(tblSales[[#This Row],[Key]],ตารางรวม!$Z:$Z,0)),"ไม่พบสูตร"))</f>
        <v/>
      </c>
      <c r="M40" s="8" t="str">
        <f>IF(tblSales[[#This Row],[Key]]="","",IFERROR(tblSales[[#This Row],[ราคาต่อแก้ว]]*tblSales[[#This Row],[จำนวนแก้ว]],""))</f>
        <v/>
      </c>
      <c r="N40" s="8" t="str">
        <f>IF(tblSales[[#This Row],[Key]]="","",IFERROR(tblSales[[#This Row],[ต้นทุนต่อแก้ว]]*tblSales[[#This Row],[จำนวนแก้ว]],""))</f>
        <v/>
      </c>
      <c r="O40" s="8" t="str">
        <f>IF(tblSales[[#This Row],[Key]]="","",IFERROR(tblSales[[#This Row],[ยอดขาย (บาท)]]-tblSales[[#This Row],[ต้นทุนรวม (บาท)]],""))</f>
        <v/>
      </c>
      <c r="P40" s="21" t="str">
        <f>IF(tblSales[[#This Row],[Key]]="","",IFERROR(tblSales[[#This Row],[กำไร (บาท)]]/tblSales[[#This Row],[ยอดขาย (บาท)]],""))</f>
        <v/>
      </c>
      <c r="Q40" s="10" t="str">
        <f>IF(tblSales[[#This Row],[Key]]="","",IFERROR(INDEX(ตารางรวม!$D:$D,MATCH(tblSales[[#This Row],[Key]],ตารางรวม!$Z:$Z,0))*tblSales[[#This Row],[จำนวนแก้ว]],0))</f>
        <v/>
      </c>
      <c r="R40" s="10" t="str">
        <f>IF(tblSales[[#This Row],[Key]]="","",IFERROR(INDEX(ตารางรวม!$E:$E,MATCH(tblSales[[#This Row],[Key]],ตารางรวม!$Z:$Z,0))*tblSales[[#This Row],[จำนวนแก้ว]],0))</f>
        <v/>
      </c>
      <c r="S40" s="10" t="str">
        <f>IF(tblSales[[#This Row],[Key]]="","",IFERROR(INDEX(ตารางรวม!$F:$F,MATCH(tblSales[[#This Row],[Key]],ตารางรวม!$Z:$Z,0))*tblSales[[#This Row],[จำนวนแก้ว]],0))</f>
        <v/>
      </c>
      <c r="T40" s="10" t="str">
        <f>IF(tblSales[[#This Row],[Key]]="","",IFERROR(INDEX(ตารางรวม!$G:$G,MATCH(tblSales[[#This Row],[Key]],ตารางรวม!$Z:$Z,0))*tblSales[[#This Row],[จำนวนแก้ว]],0))</f>
        <v/>
      </c>
      <c r="U40" s="10" t="str">
        <f>IF(tblSales[[#This Row],[Key]]="","",IFERROR(INDEX(ตารางรวม!$H:$H,MATCH(tblSales[[#This Row],[Key]],ตารางรวม!$Z:$Z,0))*tblSales[[#This Row],[จำนวนแก้ว]],0))</f>
        <v/>
      </c>
      <c r="V40" s="10" t="str">
        <f>IF(tblSales[[#This Row],[Key]]="","",IFERROR(INDEX(ตารางรวม!$I:$I,MATCH(tblSales[[#This Row],[Key]],ตารางรวม!$Z:$Z,0))*tblSales[[#This Row],[จำนวนแก้ว]],0))</f>
        <v/>
      </c>
      <c r="W40" s="10" t="str">
        <f>IF(tblSales[[#This Row],[Key]]="","",IFERROR(INDEX(ตารางรวม!$J:$J,MATCH(tblSales[[#This Row],[Key]],ตารางรวม!$Z:$Z,0))*tblSales[[#This Row],[จำนวนแก้ว]],0))</f>
        <v/>
      </c>
      <c r="X40" s="10" t="str">
        <f>IF(tblSales[[#This Row],[Key]]="","",IFERROR(INDEX(ตารางรวม!$K:$K,MATCH(tblSales[[#This Row],[Key]],ตารางรวม!$Z:$Z,0))*tblSales[[#This Row],[จำนวนแก้ว]],0))</f>
        <v/>
      </c>
      <c r="Y40" s="10" t="str">
        <f>IF(tblSales[[#This Row],[Key]]="","",IFERROR(INDEX(ตารางรวม!$L:$L,MATCH(tblSales[[#This Row],[Key]],ตารางรวม!$Z:$Z,0))*tblSales[[#This Row],[จำนวนแก้ว]],0))</f>
        <v/>
      </c>
      <c r="Z40" s="10" t="str">
        <f>IF(tblSales[[#This Row],[Key]]="","",IFERROR(INDEX(ตารางรวม!$M:$M,MATCH(tblSales[[#This Row],[Key]],ตารางรวม!$Z:$Z,0))*tblSales[[#This Row],[จำนวนแก้ว]],0))</f>
        <v/>
      </c>
      <c r="AA40" s="10" t="str">
        <f>IF(tblSales[[#This Row],[Key]]="","",IFERROR(INDEX(ตารางรวม!$N:$N,MATCH(tblSales[[#This Row],[Key]],ตารางรวม!$Z:$Z,0))*tblSales[[#This Row],[จำนวนแก้ว]],0))</f>
        <v/>
      </c>
      <c r="AB40" s="10" t="str">
        <f>IF(tblSales[[#This Row],[Key]]="","",IFERROR(INDEX(ตารางรวม!$O:$O,MATCH(tblSales[[#This Row],[Key]],ตารางรวม!$Z:$Z,0))*tblSales[[#This Row],[จำนวนแก้ว]],0))</f>
        <v/>
      </c>
      <c r="AC40" s="10" t="str">
        <f>IF(tblSales[[#This Row],[Key]]="","",IFERROR(INDEX(ตารางรวม!$P:$P,MATCH(tblSales[[#This Row],[Key]],ตารางรวม!$Z:$Z,0))*tblSales[[#This Row],[จำนวนแก้ว]],0))</f>
        <v/>
      </c>
      <c r="AD40" s="10" t="str">
        <f>IF(tblSales[[#This Row],[Key]]="","",IFERROR(INDEX(ตารางรวม!$Q:$Q,MATCH(tblSales[[#This Row],[Key]],ตารางรวม!$Z:$Z,0))*tblSales[[#This Row],[จำนวนแก้ว]],0))</f>
        <v/>
      </c>
      <c r="AE40" s="10" t="str">
        <f>IF(tblSales[[#This Row],[Key]]="","",IFERROR(INDEX(ตารางรวม!$R:$R,MATCH(tblSales[[#This Row],[Key]],ตารางรวม!$Z:$Z,0))*tblSales[[#This Row],[จำนวนแก้ว]],0))</f>
        <v/>
      </c>
      <c r="AF40" s="10" t="str">
        <f>IF(tblSales[[#This Row],[Key]]="","",IFERROR(INDEX(ตารางรวม!$S:$S,MATCH(tblSales[[#This Row],[Key]],ตารางรวม!$Z:$Z,0))*tblSales[[#This Row],[จำนวนแก้ว]],0))</f>
        <v/>
      </c>
      <c r="AG40" s="10" t="str">
        <f>IF(tblSales[[#This Row],[Key]]="","",IFERROR(INDEX(ตารางรวม!$T:$T,MATCH(tblSales[[#This Row],[Key]],ตารางรวม!$Z:$Z,0))*tblSales[[#This Row],[จำนวนแก้ว]],0))</f>
        <v/>
      </c>
      <c r="AH40" s="10" t="str">
        <f>IF(tblSales[[#This Row],[Key]]="","",IF(tblSales[[#This Row],[ขนาด]]="16 oz",tblSales[[#This Row],[จำนวนแก้ว]],0))</f>
        <v/>
      </c>
      <c r="AI40" s="10" t="str">
        <f>IF(tblSales[[#This Row],[Key]]="","",IF(tblSales[[#This Row],[ขนาด]]="20 oz",tblSales[[#This Row],[จำนวนแก้ว]],0))</f>
        <v/>
      </c>
      <c r="AJ40" s="10" t="str">
        <f>IF(tblSales[[#This Row],[Key]]="","",IF(tblSales[[#This Row],[ขนาด]]="22 oz",tblSales[[#This Row],[จำนวนแก้ว]],0))</f>
        <v/>
      </c>
    </row>
    <row r="41" spans="1:36" x14ac:dyDescent="0.25">
      <c r="A41" s="4" t="str">
        <f>IF(tblSales[[#This Row],[วันที่]]="","","S"&amp;TEXT(tblSales[[#This Row],[วันที่]],"yymmdd")&amp;"-"&amp;TEXT(ROW()-5,"000"))</f>
        <v/>
      </c>
      <c r="B41" s="16"/>
      <c r="C41" s="6"/>
      <c r="D41" s="6"/>
      <c r="E41" s="20"/>
      <c r="F41" s="6"/>
      <c r="G41" s="6"/>
      <c r="H41" s="6"/>
      <c r="I41" s="6"/>
      <c r="J4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1" s="8" t="str">
        <f>IF(tblSales[[#This Row],[Key]]="","",IFERROR(INDEX(ตารางรวม!$W:$W,MATCH(tblSales[[#This Row],[Key]],ตารางรวม!$Z:$Z,0)),"ไม่พบสูตร"))</f>
        <v/>
      </c>
      <c r="L41" s="8" t="str">
        <f>IF(tblSales[[#This Row],[Key]]="","",IFERROR(INDEX(ตารางรวม!$V:$V,MATCH(tblSales[[#This Row],[Key]],ตารางรวม!$Z:$Z,0)),"ไม่พบสูตร"))</f>
        <v/>
      </c>
      <c r="M41" s="8" t="str">
        <f>IF(tblSales[[#This Row],[Key]]="","",IFERROR(tblSales[[#This Row],[ราคาต่อแก้ว]]*tblSales[[#This Row],[จำนวนแก้ว]],""))</f>
        <v/>
      </c>
      <c r="N41" s="8" t="str">
        <f>IF(tblSales[[#This Row],[Key]]="","",IFERROR(tblSales[[#This Row],[ต้นทุนต่อแก้ว]]*tblSales[[#This Row],[จำนวนแก้ว]],""))</f>
        <v/>
      </c>
      <c r="O41" s="8" t="str">
        <f>IF(tblSales[[#This Row],[Key]]="","",IFERROR(tblSales[[#This Row],[ยอดขาย (บาท)]]-tblSales[[#This Row],[ต้นทุนรวม (บาท)]],""))</f>
        <v/>
      </c>
      <c r="P41" s="21" t="str">
        <f>IF(tblSales[[#This Row],[Key]]="","",IFERROR(tblSales[[#This Row],[กำไร (บาท)]]/tblSales[[#This Row],[ยอดขาย (บาท)]],""))</f>
        <v/>
      </c>
      <c r="Q41" s="10" t="str">
        <f>IF(tblSales[[#This Row],[Key]]="","",IFERROR(INDEX(ตารางรวม!$D:$D,MATCH(tblSales[[#This Row],[Key]],ตารางรวม!$Z:$Z,0))*tblSales[[#This Row],[จำนวนแก้ว]],0))</f>
        <v/>
      </c>
      <c r="R41" s="10" t="str">
        <f>IF(tblSales[[#This Row],[Key]]="","",IFERROR(INDEX(ตารางรวม!$E:$E,MATCH(tblSales[[#This Row],[Key]],ตารางรวม!$Z:$Z,0))*tblSales[[#This Row],[จำนวนแก้ว]],0))</f>
        <v/>
      </c>
      <c r="S41" s="10" t="str">
        <f>IF(tblSales[[#This Row],[Key]]="","",IFERROR(INDEX(ตารางรวม!$F:$F,MATCH(tblSales[[#This Row],[Key]],ตารางรวม!$Z:$Z,0))*tblSales[[#This Row],[จำนวนแก้ว]],0))</f>
        <v/>
      </c>
      <c r="T41" s="10" t="str">
        <f>IF(tblSales[[#This Row],[Key]]="","",IFERROR(INDEX(ตารางรวม!$G:$G,MATCH(tblSales[[#This Row],[Key]],ตารางรวม!$Z:$Z,0))*tblSales[[#This Row],[จำนวนแก้ว]],0))</f>
        <v/>
      </c>
      <c r="U41" s="10" t="str">
        <f>IF(tblSales[[#This Row],[Key]]="","",IFERROR(INDEX(ตารางรวม!$H:$H,MATCH(tblSales[[#This Row],[Key]],ตารางรวม!$Z:$Z,0))*tblSales[[#This Row],[จำนวนแก้ว]],0))</f>
        <v/>
      </c>
      <c r="V41" s="10" t="str">
        <f>IF(tblSales[[#This Row],[Key]]="","",IFERROR(INDEX(ตารางรวม!$I:$I,MATCH(tblSales[[#This Row],[Key]],ตารางรวม!$Z:$Z,0))*tblSales[[#This Row],[จำนวนแก้ว]],0))</f>
        <v/>
      </c>
      <c r="W41" s="10" t="str">
        <f>IF(tblSales[[#This Row],[Key]]="","",IFERROR(INDEX(ตารางรวม!$J:$J,MATCH(tblSales[[#This Row],[Key]],ตารางรวม!$Z:$Z,0))*tblSales[[#This Row],[จำนวนแก้ว]],0))</f>
        <v/>
      </c>
      <c r="X41" s="10" t="str">
        <f>IF(tblSales[[#This Row],[Key]]="","",IFERROR(INDEX(ตารางรวม!$K:$K,MATCH(tblSales[[#This Row],[Key]],ตารางรวม!$Z:$Z,0))*tblSales[[#This Row],[จำนวนแก้ว]],0))</f>
        <v/>
      </c>
      <c r="Y41" s="10" t="str">
        <f>IF(tblSales[[#This Row],[Key]]="","",IFERROR(INDEX(ตารางรวม!$L:$L,MATCH(tblSales[[#This Row],[Key]],ตารางรวม!$Z:$Z,0))*tblSales[[#This Row],[จำนวนแก้ว]],0))</f>
        <v/>
      </c>
      <c r="Z41" s="10" t="str">
        <f>IF(tblSales[[#This Row],[Key]]="","",IFERROR(INDEX(ตารางรวม!$M:$M,MATCH(tblSales[[#This Row],[Key]],ตารางรวม!$Z:$Z,0))*tblSales[[#This Row],[จำนวนแก้ว]],0))</f>
        <v/>
      </c>
      <c r="AA41" s="10" t="str">
        <f>IF(tblSales[[#This Row],[Key]]="","",IFERROR(INDEX(ตารางรวม!$N:$N,MATCH(tblSales[[#This Row],[Key]],ตารางรวม!$Z:$Z,0))*tblSales[[#This Row],[จำนวนแก้ว]],0))</f>
        <v/>
      </c>
      <c r="AB41" s="10" t="str">
        <f>IF(tblSales[[#This Row],[Key]]="","",IFERROR(INDEX(ตารางรวม!$O:$O,MATCH(tblSales[[#This Row],[Key]],ตารางรวม!$Z:$Z,0))*tblSales[[#This Row],[จำนวนแก้ว]],0))</f>
        <v/>
      </c>
      <c r="AC41" s="10" t="str">
        <f>IF(tblSales[[#This Row],[Key]]="","",IFERROR(INDEX(ตารางรวม!$P:$P,MATCH(tblSales[[#This Row],[Key]],ตารางรวม!$Z:$Z,0))*tblSales[[#This Row],[จำนวนแก้ว]],0))</f>
        <v/>
      </c>
      <c r="AD41" s="10" t="str">
        <f>IF(tblSales[[#This Row],[Key]]="","",IFERROR(INDEX(ตารางรวม!$Q:$Q,MATCH(tblSales[[#This Row],[Key]],ตารางรวม!$Z:$Z,0))*tblSales[[#This Row],[จำนวนแก้ว]],0))</f>
        <v/>
      </c>
      <c r="AE41" s="10" t="str">
        <f>IF(tblSales[[#This Row],[Key]]="","",IFERROR(INDEX(ตารางรวม!$R:$R,MATCH(tblSales[[#This Row],[Key]],ตารางรวม!$Z:$Z,0))*tblSales[[#This Row],[จำนวนแก้ว]],0))</f>
        <v/>
      </c>
      <c r="AF41" s="10" t="str">
        <f>IF(tblSales[[#This Row],[Key]]="","",IFERROR(INDEX(ตารางรวม!$S:$S,MATCH(tblSales[[#This Row],[Key]],ตารางรวม!$Z:$Z,0))*tblSales[[#This Row],[จำนวนแก้ว]],0))</f>
        <v/>
      </c>
      <c r="AG41" s="10" t="str">
        <f>IF(tblSales[[#This Row],[Key]]="","",IFERROR(INDEX(ตารางรวม!$T:$T,MATCH(tblSales[[#This Row],[Key]],ตารางรวม!$Z:$Z,0))*tblSales[[#This Row],[จำนวนแก้ว]],0))</f>
        <v/>
      </c>
      <c r="AH41" s="10" t="str">
        <f>IF(tblSales[[#This Row],[Key]]="","",IF(tblSales[[#This Row],[ขนาด]]="16 oz",tblSales[[#This Row],[จำนวนแก้ว]],0))</f>
        <v/>
      </c>
      <c r="AI41" s="10" t="str">
        <f>IF(tblSales[[#This Row],[Key]]="","",IF(tblSales[[#This Row],[ขนาด]]="20 oz",tblSales[[#This Row],[จำนวนแก้ว]],0))</f>
        <v/>
      </c>
      <c r="AJ41" s="10" t="str">
        <f>IF(tblSales[[#This Row],[Key]]="","",IF(tblSales[[#This Row],[ขนาด]]="22 oz",tblSales[[#This Row],[จำนวนแก้ว]],0))</f>
        <v/>
      </c>
    </row>
    <row r="42" spans="1:36" x14ac:dyDescent="0.25">
      <c r="A42" s="4" t="str">
        <f>IF(tblSales[[#This Row],[วันที่]]="","","S"&amp;TEXT(tblSales[[#This Row],[วันที่]],"yymmdd")&amp;"-"&amp;TEXT(ROW()-5,"000"))</f>
        <v/>
      </c>
      <c r="B42" s="16"/>
      <c r="C42" s="6"/>
      <c r="D42" s="6"/>
      <c r="E42" s="20"/>
      <c r="F42" s="6"/>
      <c r="G42" s="6"/>
      <c r="H42" s="6"/>
      <c r="I42" s="6"/>
      <c r="J4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2" s="8" t="str">
        <f>IF(tblSales[[#This Row],[Key]]="","",IFERROR(INDEX(ตารางรวม!$W:$W,MATCH(tblSales[[#This Row],[Key]],ตารางรวม!$Z:$Z,0)),"ไม่พบสูตร"))</f>
        <v/>
      </c>
      <c r="L42" s="8" t="str">
        <f>IF(tblSales[[#This Row],[Key]]="","",IFERROR(INDEX(ตารางรวม!$V:$V,MATCH(tblSales[[#This Row],[Key]],ตารางรวม!$Z:$Z,0)),"ไม่พบสูตร"))</f>
        <v/>
      </c>
      <c r="M42" s="8" t="str">
        <f>IF(tblSales[[#This Row],[Key]]="","",IFERROR(tblSales[[#This Row],[ราคาต่อแก้ว]]*tblSales[[#This Row],[จำนวนแก้ว]],""))</f>
        <v/>
      </c>
      <c r="N42" s="8" t="str">
        <f>IF(tblSales[[#This Row],[Key]]="","",IFERROR(tblSales[[#This Row],[ต้นทุนต่อแก้ว]]*tblSales[[#This Row],[จำนวนแก้ว]],""))</f>
        <v/>
      </c>
      <c r="O42" s="8" t="str">
        <f>IF(tblSales[[#This Row],[Key]]="","",IFERROR(tblSales[[#This Row],[ยอดขาย (บาท)]]-tblSales[[#This Row],[ต้นทุนรวม (บาท)]],""))</f>
        <v/>
      </c>
      <c r="P42" s="21" t="str">
        <f>IF(tblSales[[#This Row],[Key]]="","",IFERROR(tblSales[[#This Row],[กำไร (บาท)]]/tblSales[[#This Row],[ยอดขาย (บาท)]],""))</f>
        <v/>
      </c>
      <c r="Q42" s="10" t="str">
        <f>IF(tblSales[[#This Row],[Key]]="","",IFERROR(INDEX(ตารางรวม!$D:$D,MATCH(tblSales[[#This Row],[Key]],ตารางรวม!$Z:$Z,0))*tblSales[[#This Row],[จำนวนแก้ว]],0))</f>
        <v/>
      </c>
      <c r="R42" s="10" t="str">
        <f>IF(tblSales[[#This Row],[Key]]="","",IFERROR(INDEX(ตารางรวม!$E:$E,MATCH(tblSales[[#This Row],[Key]],ตารางรวม!$Z:$Z,0))*tblSales[[#This Row],[จำนวนแก้ว]],0))</f>
        <v/>
      </c>
      <c r="S42" s="10" t="str">
        <f>IF(tblSales[[#This Row],[Key]]="","",IFERROR(INDEX(ตารางรวม!$F:$F,MATCH(tblSales[[#This Row],[Key]],ตารางรวม!$Z:$Z,0))*tblSales[[#This Row],[จำนวนแก้ว]],0))</f>
        <v/>
      </c>
      <c r="T42" s="10" t="str">
        <f>IF(tblSales[[#This Row],[Key]]="","",IFERROR(INDEX(ตารางรวม!$G:$G,MATCH(tblSales[[#This Row],[Key]],ตารางรวม!$Z:$Z,0))*tblSales[[#This Row],[จำนวนแก้ว]],0))</f>
        <v/>
      </c>
      <c r="U42" s="10" t="str">
        <f>IF(tblSales[[#This Row],[Key]]="","",IFERROR(INDEX(ตารางรวม!$H:$H,MATCH(tblSales[[#This Row],[Key]],ตารางรวม!$Z:$Z,0))*tblSales[[#This Row],[จำนวนแก้ว]],0))</f>
        <v/>
      </c>
      <c r="V42" s="10" t="str">
        <f>IF(tblSales[[#This Row],[Key]]="","",IFERROR(INDEX(ตารางรวม!$I:$I,MATCH(tblSales[[#This Row],[Key]],ตารางรวม!$Z:$Z,0))*tblSales[[#This Row],[จำนวนแก้ว]],0))</f>
        <v/>
      </c>
      <c r="W42" s="10" t="str">
        <f>IF(tblSales[[#This Row],[Key]]="","",IFERROR(INDEX(ตารางรวม!$J:$J,MATCH(tblSales[[#This Row],[Key]],ตารางรวม!$Z:$Z,0))*tblSales[[#This Row],[จำนวนแก้ว]],0))</f>
        <v/>
      </c>
      <c r="X42" s="10" t="str">
        <f>IF(tblSales[[#This Row],[Key]]="","",IFERROR(INDEX(ตารางรวม!$K:$K,MATCH(tblSales[[#This Row],[Key]],ตารางรวม!$Z:$Z,0))*tblSales[[#This Row],[จำนวนแก้ว]],0))</f>
        <v/>
      </c>
      <c r="Y42" s="10" t="str">
        <f>IF(tblSales[[#This Row],[Key]]="","",IFERROR(INDEX(ตารางรวม!$L:$L,MATCH(tblSales[[#This Row],[Key]],ตารางรวม!$Z:$Z,0))*tblSales[[#This Row],[จำนวนแก้ว]],0))</f>
        <v/>
      </c>
      <c r="Z42" s="10" t="str">
        <f>IF(tblSales[[#This Row],[Key]]="","",IFERROR(INDEX(ตารางรวม!$M:$M,MATCH(tblSales[[#This Row],[Key]],ตารางรวม!$Z:$Z,0))*tblSales[[#This Row],[จำนวนแก้ว]],0))</f>
        <v/>
      </c>
      <c r="AA42" s="10" t="str">
        <f>IF(tblSales[[#This Row],[Key]]="","",IFERROR(INDEX(ตารางรวม!$N:$N,MATCH(tblSales[[#This Row],[Key]],ตารางรวม!$Z:$Z,0))*tblSales[[#This Row],[จำนวนแก้ว]],0))</f>
        <v/>
      </c>
      <c r="AB42" s="10" t="str">
        <f>IF(tblSales[[#This Row],[Key]]="","",IFERROR(INDEX(ตารางรวม!$O:$O,MATCH(tblSales[[#This Row],[Key]],ตารางรวม!$Z:$Z,0))*tblSales[[#This Row],[จำนวนแก้ว]],0))</f>
        <v/>
      </c>
      <c r="AC42" s="10" t="str">
        <f>IF(tblSales[[#This Row],[Key]]="","",IFERROR(INDEX(ตารางรวม!$P:$P,MATCH(tblSales[[#This Row],[Key]],ตารางรวม!$Z:$Z,0))*tblSales[[#This Row],[จำนวนแก้ว]],0))</f>
        <v/>
      </c>
      <c r="AD42" s="10" t="str">
        <f>IF(tblSales[[#This Row],[Key]]="","",IFERROR(INDEX(ตารางรวม!$Q:$Q,MATCH(tblSales[[#This Row],[Key]],ตารางรวม!$Z:$Z,0))*tblSales[[#This Row],[จำนวนแก้ว]],0))</f>
        <v/>
      </c>
      <c r="AE42" s="10" t="str">
        <f>IF(tblSales[[#This Row],[Key]]="","",IFERROR(INDEX(ตารางรวม!$R:$R,MATCH(tblSales[[#This Row],[Key]],ตารางรวม!$Z:$Z,0))*tblSales[[#This Row],[จำนวนแก้ว]],0))</f>
        <v/>
      </c>
      <c r="AF42" s="10" t="str">
        <f>IF(tblSales[[#This Row],[Key]]="","",IFERROR(INDEX(ตารางรวม!$S:$S,MATCH(tblSales[[#This Row],[Key]],ตารางรวม!$Z:$Z,0))*tblSales[[#This Row],[จำนวนแก้ว]],0))</f>
        <v/>
      </c>
      <c r="AG42" s="10" t="str">
        <f>IF(tblSales[[#This Row],[Key]]="","",IFERROR(INDEX(ตารางรวม!$T:$T,MATCH(tblSales[[#This Row],[Key]],ตารางรวม!$Z:$Z,0))*tblSales[[#This Row],[จำนวนแก้ว]],0))</f>
        <v/>
      </c>
      <c r="AH42" s="10" t="str">
        <f>IF(tblSales[[#This Row],[Key]]="","",IF(tblSales[[#This Row],[ขนาด]]="16 oz",tblSales[[#This Row],[จำนวนแก้ว]],0))</f>
        <v/>
      </c>
      <c r="AI42" s="10" t="str">
        <f>IF(tblSales[[#This Row],[Key]]="","",IF(tblSales[[#This Row],[ขนาด]]="20 oz",tblSales[[#This Row],[จำนวนแก้ว]],0))</f>
        <v/>
      </c>
      <c r="AJ42" s="10" t="str">
        <f>IF(tblSales[[#This Row],[Key]]="","",IF(tblSales[[#This Row],[ขนาด]]="22 oz",tblSales[[#This Row],[จำนวนแก้ว]],0))</f>
        <v/>
      </c>
    </row>
    <row r="43" spans="1:36" x14ac:dyDescent="0.25">
      <c r="A43" s="4" t="str">
        <f>IF(tblSales[[#This Row],[วันที่]]="","","S"&amp;TEXT(tblSales[[#This Row],[วันที่]],"yymmdd")&amp;"-"&amp;TEXT(ROW()-5,"000"))</f>
        <v/>
      </c>
      <c r="B43" s="16"/>
      <c r="C43" s="6"/>
      <c r="D43" s="6"/>
      <c r="E43" s="20"/>
      <c r="F43" s="6"/>
      <c r="G43" s="6"/>
      <c r="H43" s="6"/>
      <c r="I43" s="6"/>
      <c r="J4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3" s="8" t="str">
        <f>IF(tblSales[[#This Row],[Key]]="","",IFERROR(INDEX(ตารางรวม!$W:$W,MATCH(tblSales[[#This Row],[Key]],ตารางรวม!$Z:$Z,0)),"ไม่พบสูตร"))</f>
        <v/>
      </c>
      <c r="L43" s="8" t="str">
        <f>IF(tblSales[[#This Row],[Key]]="","",IFERROR(INDEX(ตารางรวม!$V:$V,MATCH(tblSales[[#This Row],[Key]],ตารางรวม!$Z:$Z,0)),"ไม่พบสูตร"))</f>
        <v/>
      </c>
      <c r="M43" s="8" t="str">
        <f>IF(tblSales[[#This Row],[Key]]="","",IFERROR(tblSales[[#This Row],[ราคาต่อแก้ว]]*tblSales[[#This Row],[จำนวนแก้ว]],""))</f>
        <v/>
      </c>
      <c r="N43" s="8" t="str">
        <f>IF(tblSales[[#This Row],[Key]]="","",IFERROR(tblSales[[#This Row],[ต้นทุนต่อแก้ว]]*tblSales[[#This Row],[จำนวนแก้ว]],""))</f>
        <v/>
      </c>
      <c r="O43" s="8" t="str">
        <f>IF(tblSales[[#This Row],[Key]]="","",IFERROR(tblSales[[#This Row],[ยอดขาย (บาท)]]-tblSales[[#This Row],[ต้นทุนรวม (บาท)]],""))</f>
        <v/>
      </c>
      <c r="P43" s="21" t="str">
        <f>IF(tblSales[[#This Row],[Key]]="","",IFERROR(tblSales[[#This Row],[กำไร (บาท)]]/tblSales[[#This Row],[ยอดขาย (บาท)]],""))</f>
        <v/>
      </c>
      <c r="Q43" s="10" t="str">
        <f>IF(tblSales[[#This Row],[Key]]="","",IFERROR(INDEX(ตารางรวม!$D:$D,MATCH(tblSales[[#This Row],[Key]],ตารางรวม!$Z:$Z,0))*tblSales[[#This Row],[จำนวนแก้ว]],0))</f>
        <v/>
      </c>
      <c r="R43" s="10" t="str">
        <f>IF(tblSales[[#This Row],[Key]]="","",IFERROR(INDEX(ตารางรวม!$E:$E,MATCH(tblSales[[#This Row],[Key]],ตารางรวม!$Z:$Z,0))*tblSales[[#This Row],[จำนวนแก้ว]],0))</f>
        <v/>
      </c>
      <c r="S43" s="10" t="str">
        <f>IF(tblSales[[#This Row],[Key]]="","",IFERROR(INDEX(ตารางรวม!$F:$F,MATCH(tblSales[[#This Row],[Key]],ตารางรวม!$Z:$Z,0))*tblSales[[#This Row],[จำนวนแก้ว]],0))</f>
        <v/>
      </c>
      <c r="T43" s="10" t="str">
        <f>IF(tblSales[[#This Row],[Key]]="","",IFERROR(INDEX(ตารางรวม!$G:$G,MATCH(tblSales[[#This Row],[Key]],ตารางรวม!$Z:$Z,0))*tblSales[[#This Row],[จำนวนแก้ว]],0))</f>
        <v/>
      </c>
      <c r="U43" s="10" t="str">
        <f>IF(tblSales[[#This Row],[Key]]="","",IFERROR(INDEX(ตารางรวม!$H:$H,MATCH(tblSales[[#This Row],[Key]],ตารางรวม!$Z:$Z,0))*tblSales[[#This Row],[จำนวนแก้ว]],0))</f>
        <v/>
      </c>
      <c r="V43" s="10" t="str">
        <f>IF(tblSales[[#This Row],[Key]]="","",IFERROR(INDEX(ตารางรวม!$I:$I,MATCH(tblSales[[#This Row],[Key]],ตารางรวม!$Z:$Z,0))*tblSales[[#This Row],[จำนวนแก้ว]],0))</f>
        <v/>
      </c>
      <c r="W43" s="10" t="str">
        <f>IF(tblSales[[#This Row],[Key]]="","",IFERROR(INDEX(ตารางรวม!$J:$J,MATCH(tblSales[[#This Row],[Key]],ตารางรวม!$Z:$Z,0))*tblSales[[#This Row],[จำนวนแก้ว]],0))</f>
        <v/>
      </c>
      <c r="X43" s="10" t="str">
        <f>IF(tblSales[[#This Row],[Key]]="","",IFERROR(INDEX(ตารางรวม!$K:$K,MATCH(tblSales[[#This Row],[Key]],ตารางรวม!$Z:$Z,0))*tblSales[[#This Row],[จำนวนแก้ว]],0))</f>
        <v/>
      </c>
      <c r="Y43" s="10" t="str">
        <f>IF(tblSales[[#This Row],[Key]]="","",IFERROR(INDEX(ตารางรวม!$L:$L,MATCH(tblSales[[#This Row],[Key]],ตารางรวม!$Z:$Z,0))*tblSales[[#This Row],[จำนวนแก้ว]],0))</f>
        <v/>
      </c>
      <c r="Z43" s="10" t="str">
        <f>IF(tblSales[[#This Row],[Key]]="","",IFERROR(INDEX(ตารางรวม!$M:$M,MATCH(tblSales[[#This Row],[Key]],ตารางรวม!$Z:$Z,0))*tblSales[[#This Row],[จำนวนแก้ว]],0))</f>
        <v/>
      </c>
      <c r="AA43" s="10" t="str">
        <f>IF(tblSales[[#This Row],[Key]]="","",IFERROR(INDEX(ตารางรวม!$N:$N,MATCH(tblSales[[#This Row],[Key]],ตารางรวม!$Z:$Z,0))*tblSales[[#This Row],[จำนวนแก้ว]],0))</f>
        <v/>
      </c>
      <c r="AB43" s="10" t="str">
        <f>IF(tblSales[[#This Row],[Key]]="","",IFERROR(INDEX(ตารางรวม!$O:$O,MATCH(tblSales[[#This Row],[Key]],ตารางรวม!$Z:$Z,0))*tblSales[[#This Row],[จำนวนแก้ว]],0))</f>
        <v/>
      </c>
      <c r="AC43" s="10" t="str">
        <f>IF(tblSales[[#This Row],[Key]]="","",IFERROR(INDEX(ตารางรวม!$P:$P,MATCH(tblSales[[#This Row],[Key]],ตารางรวม!$Z:$Z,0))*tblSales[[#This Row],[จำนวนแก้ว]],0))</f>
        <v/>
      </c>
      <c r="AD43" s="10" t="str">
        <f>IF(tblSales[[#This Row],[Key]]="","",IFERROR(INDEX(ตารางรวม!$Q:$Q,MATCH(tblSales[[#This Row],[Key]],ตารางรวม!$Z:$Z,0))*tblSales[[#This Row],[จำนวนแก้ว]],0))</f>
        <v/>
      </c>
      <c r="AE43" s="10" t="str">
        <f>IF(tblSales[[#This Row],[Key]]="","",IFERROR(INDEX(ตารางรวม!$R:$R,MATCH(tblSales[[#This Row],[Key]],ตารางรวม!$Z:$Z,0))*tblSales[[#This Row],[จำนวนแก้ว]],0))</f>
        <v/>
      </c>
      <c r="AF43" s="10" t="str">
        <f>IF(tblSales[[#This Row],[Key]]="","",IFERROR(INDEX(ตารางรวม!$S:$S,MATCH(tblSales[[#This Row],[Key]],ตารางรวม!$Z:$Z,0))*tblSales[[#This Row],[จำนวนแก้ว]],0))</f>
        <v/>
      </c>
      <c r="AG43" s="10" t="str">
        <f>IF(tblSales[[#This Row],[Key]]="","",IFERROR(INDEX(ตารางรวม!$T:$T,MATCH(tblSales[[#This Row],[Key]],ตารางรวม!$Z:$Z,0))*tblSales[[#This Row],[จำนวนแก้ว]],0))</f>
        <v/>
      </c>
      <c r="AH43" s="10" t="str">
        <f>IF(tblSales[[#This Row],[Key]]="","",IF(tblSales[[#This Row],[ขนาด]]="16 oz",tblSales[[#This Row],[จำนวนแก้ว]],0))</f>
        <v/>
      </c>
      <c r="AI43" s="10" t="str">
        <f>IF(tblSales[[#This Row],[Key]]="","",IF(tblSales[[#This Row],[ขนาด]]="20 oz",tblSales[[#This Row],[จำนวนแก้ว]],0))</f>
        <v/>
      </c>
      <c r="AJ43" s="10" t="str">
        <f>IF(tblSales[[#This Row],[Key]]="","",IF(tblSales[[#This Row],[ขนาด]]="22 oz",tblSales[[#This Row],[จำนวนแก้ว]],0))</f>
        <v/>
      </c>
    </row>
    <row r="44" spans="1:36" x14ac:dyDescent="0.25">
      <c r="A44" s="4" t="str">
        <f>IF(tblSales[[#This Row],[วันที่]]="","","S"&amp;TEXT(tblSales[[#This Row],[วันที่]],"yymmdd")&amp;"-"&amp;TEXT(ROW()-5,"000"))</f>
        <v/>
      </c>
      <c r="B44" s="16"/>
      <c r="C44" s="6"/>
      <c r="D44" s="6"/>
      <c r="E44" s="20"/>
      <c r="F44" s="6"/>
      <c r="G44" s="6"/>
      <c r="H44" s="6"/>
      <c r="I44" s="6"/>
      <c r="J4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4" s="8" t="str">
        <f>IF(tblSales[[#This Row],[Key]]="","",IFERROR(INDEX(ตารางรวม!$W:$W,MATCH(tblSales[[#This Row],[Key]],ตารางรวม!$Z:$Z,0)),"ไม่พบสูตร"))</f>
        <v/>
      </c>
      <c r="L44" s="8" t="str">
        <f>IF(tblSales[[#This Row],[Key]]="","",IFERROR(INDEX(ตารางรวม!$V:$V,MATCH(tblSales[[#This Row],[Key]],ตารางรวม!$Z:$Z,0)),"ไม่พบสูตร"))</f>
        <v/>
      </c>
      <c r="M44" s="8" t="str">
        <f>IF(tblSales[[#This Row],[Key]]="","",IFERROR(tblSales[[#This Row],[ราคาต่อแก้ว]]*tblSales[[#This Row],[จำนวนแก้ว]],""))</f>
        <v/>
      </c>
      <c r="N44" s="8" t="str">
        <f>IF(tblSales[[#This Row],[Key]]="","",IFERROR(tblSales[[#This Row],[ต้นทุนต่อแก้ว]]*tblSales[[#This Row],[จำนวนแก้ว]],""))</f>
        <v/>
      </c>
      <c r="O44" s="8" t="str">
        <f>IF(tblSales[[#This Row],[Key]]="","",IFERROR(tblSales[[#This Row],[ยอดขาย (บาท)]]-tblSales[[#This Row],[ต้นทุนรวม (บาท)]],""))</f>
        <v/>
      </c>
      <c r="P44" s="21" t="str">
        <f>IF(tblSales[[#This Row],[Key]]="","",IFERROR(tblSales[[#This Row],[กำไร (บาท)]]/tblSales[[#This Row],[ยอดขาย (บาท)]],""))</f>
        <v/>
      </c>
      <c r="Q44" s="10" t="str">
        <f>IF(tblSales[[#This Row],[Key]]="","",IFERROR(INDEX(ตารางรวม!$D:$D,MATCH(tblSales[[#This Row],[Key]],ตารางรวม!$Z:$Z,0))*tblSales[[#This Row],[จำนวนแก้ว]],0))</f>
        <v/>
      </c>
      <c r="R44" s="10" t="str">
        <f>IF(tblSales[[#This Row],[Key]]="","",IFERROR(INDEX(ตารางรวม!$E:$E,MATCH(tblSales[[#This Row],[Key]],ตารางรวม!$Z:$Z,0))*tblSales[[#This Row],[จำนวนแก้ว]],0))</f>
        <v/>
      </c>
      <c r="S44" s="10" t="str">
        <f>IF(tblSales[[#This Row],[Key]]="","",IFERROR(INDEX(ตารางรวม!$F:$F,MATCH(tblSales[[#This Row],[Key]],ตารางรวม!$Z:$Z,0))*tblSales[[#This Row],[จำนวนแก้ว]],0))</f>
        <v/>
      </c>
      <c r="T44" s="10" t="str">
        <f>IF(tblSales[[#This Row],[Key]]="","",IFERROR(INDEX(ตารางรวม!$G:$G,MATCH(tblSales[[#This Row],[Key]],ตารางรวม!$Z:$Z,0))*tblSales[[#This Row],[จำนวนแก้ว]],0))</f>
        <v/>
      </c>
      <c r="U44" s="10" t="str">
        <f>IF(tblSales[[#This Row],[Key]]="","",IFERROR(INDEX(ตารางรวม!$H:$H,MATCH(tblSales[[#This Row],[Key]],ตารางรวม!$Z:$Z,0))*tblSales[[#This Row],[จำนวนแก้ว]],0))</f>
        <v/>
      </c>
      <c r="V44" s="10" t="str">
        <f>IF(tblSales[[#This Row],[Key]]="","",IFERROR(INDEX(ตารางรวม!$I:$I,MATCH(tblSales[[#This Row],[Key]],ตารางรวม!$Z:$Z,0))*tblSales[[#This Row],[จำนวนแก้ว]],0))</f>
        <v/>
      </c>
      <c r="W44" s="10" t="str">
        <f>IF(tblSales[[#This Row],[Key]]="","",IFERROR(INDEX(ตารางรวม!$J:$J,MATCH(tblSales[[#This Row],[Key]],ตารางรวม!$Z:$Z,0))*tblSales[[#This Row],[จำนวนแก้ว]],0))</f>
        <v/>
      </c>
      <c r="X44" s="10" t="str">
        <f>IF(tblSales[[#This Row],[Key]]="","",IFERROR(INDEX(ตารางรวม!$K:$K,MATCH(tblSales[[#This Row],[Key]],ตารางรวม!$Z:$Z,0))*tblSales[[#This Row],[จำนวนแก้ว]],0))</f>
        <v/>
      </c>
      <c r="Y44" s="10" t="str">
        <f>IF(tblSales[[#This Row],[Key]]="","",IFERROR(INDEX(ตารางรวม!$L:$L,MATCH(tblSales[[#This Row],[Key]],ตารางรวม!$Z:$Z,0))*tblSales[[#This Row],[จำนวนแก้ว]],0))</f>
        <v/>
      </c>
      <c r="Z44" s="10" t="str">
        <f>IF(tblSales[[#This Row],[Key]]="","",IFERROR(INDEX(ตารางรวม!$M:$M,MATCH(tblSales[[#This Row],[Key]],ตารางรวม!$Z:$Z,0))*tblSales[[#This Row],[จำนวนแก้ว]],0))</f>
        <v/>
      </c>
      <c r="AA44" s="10" t="str">
        <f>IF(tblSales[[#This Row],[Key]]="","",IFERROR(INDEX(ตารางรวม!$N:$N,MATCH(tblSales[[#This Row],[Key]],ตารางรวม!$Z:$Z,0))*tblSales[[#This Row],[จำนวนแก้ว]],0))</f>
        <v/>
      </c>
      <c r="AB44" s="10" t="str">
        <f>IF(tblSales[[#This Row],[Key]]="","",IFERROR(INDEX(ตารางรวม!$O:$O,MATCH(tblSales[[#This Row],[Key]],ตารางรวม!$Z:$Z,0))*tblSales[[#This Row],[จำนวนแก้ว]],0))</f>
        <v/>
      </c>
      <c r="AC44" s="10" t="str">
        <f>IF(tblSales[[#This Row],[Key]]="","",IFERROR(INDEX(ตารางรวม!$P:$P,MATCH(tblSales[[#This Row],[Key]],ตารางรวม!$Z:$Z,0))*tblSales[[#This Row],[จำนวนแก้ว]],0))</f>
        <v/>
      </c>
      <c r="AD44" s="10" t="str">
        <f>IF(tblSales[[#This Row],[Key]]="","",IFERROR(INDEX(ตารางรวม!$Q:$Q,MATCH(tblSales[[#This Row],[Key]],ตารางรวม!$Z:$Z,0))*tblSales[[#This Row],[จำนวนแก้ว]],0))</f>
        <v/>
      </c>
      <c r="AE44" s="10" t="str">
        <f>IF(tblSales[[#This Row],[Key]]="","",IFERROR(INDEX(ตารางรวม!$R:$R,MATCH(tblSales[[#This Row],[Key]],ตารางรวม!$Z:$Z,0))*tblSales[[#This Row],[จำนวนแก้ว]],0))</f>
        <v/>
      </c>
      <c r="AF44" s="10" t="str">
        <f>IF(tblSales[[#This Row],[Key]]="","",IFERROR(INDEX(ตารางรวม!$S:$S,MATCH(tblSales[[#This Row],[Key]],ตารางรวม!$Z:$Z,0))*tblSales[[#This Row],[จำนวนแก้ว]],0))</f>
        <v/>
      </c>
      <c r="AG44" s="10" t="str">
        <f>IF(tblSales[[#This Row],[Key]]="","",IFERROR(INDEX(ตารางรวม!$T:$T,MATCH(tblSales[[#This Row],[Key]],ตารางรวม!$Z:$Z,0))*tblSales[[#This Row],[จำนวนแก้ว]],0))</f>
        <v/>
      </c>
      <c r="AH44" s="10" t="str">
        <f>IF(tblSales[[#This Row],[Key]]="","",IF(tblSales[[#This Row],[ขนาด]]="16 oz",tblSales[[#This Row],[จำนวนแก้ว]],0))</f>
        <v/>
      </c>
      <c r="AI44" s="10" t="str">
        <f>IF(tblSales[[#This Row],[Key]]="","",IF(tblSales[[#This Row],[ขนาด]]="20 oz",tblSales[[#This Row],[จำนวนแก้ว]],0))</f>
        <v/>
      </c>
      <c r="AJ44" s="10" t="str">
        <f>IF(tblSales[[#This Row],[Key]]="","",IF(tblSales[[#This Row],[ขนาด]]="22 oz",tblSales[[#This Row],[จำนวนแก้ว]],0))</f>
        <v/>
      </c>
    </row>
    <row r="45" spans="1:36" x14ac:dyDescent="0.25">
      <c r="A45" s="4" t="str">
        <f>IF(tblSales[[#This Row],[วันที่]]="","","S"&amp;TEXT(tblSales[[#This Row],[วันที่]],"yymmdd")&amp;"-"&amp;TEXT(ROW()-5,"000"))</f>
        <v/>
      </c>
      <c r="B45" s="16"/>
      <c r="C45" s="6"/>
      <c r="D45" s="6"/>
      <c r="E45" s="20"/>
      <c r="F45" s="6"/>
      <c r="G45" s="6"/>
      <c r="H45" s="6"/>
      <c r="I45" s="6"/>
      <c r="J4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5" s="8" t="str">
        <f>IF(tblSales[[#This Row],[Key]]="","",IFERROR(INDEX(ตารางรวม!$W:$W,MATCH(tblSales[[#This Row],[Key]],ตารางรวม!$Z:$Z,0)),"ไม่พบสูตร"))</f>
        <v/>
      </c>
      <c r="L45" s="8" t="str">
        <f>IF(tblSales[[#This Row],[Key]]="","",IFERROR(INDEX(ตารางรวม!$V:$V,MATCH(tblSales[[#This Row],[Key]],ตารางรวม!$Z:$Z,0)),"ไม่พบสูตร"))</f>
        <v/>
      </c>
      <c r="M45" s="8" t="str">
        <f>IF(tblSales[[#This Row],[Key]]="","",IFERROR(tblSales[[#This Row],[ราคาต่อแก้ว]]*tblSales[[#This Row],[จำนวนแก้ว]],""))</f>
        <v/>
      </c>
      <c r="N45" s="8" t="str">
        <f>IF(tblSales[[#This Row],[Key]]="","",IFERROR(tblSales[[#This Row],[ต้นทุนต่อแก้ว]]*tblSales[[#This Row],[จำนวนแก้ว]],""))</f>
        <v/>
      </c>
      <c r="O45" s="8" t="str">
        <f>IF(tblSales[[#This Row],[Key]]="","",IFERROR(tblSales[[#This Row],[ยอดขาย (บาท)]]-tblSales[[#This Row],[ต้นทุนรวม (บาท)]],""))</f>
        <v/>
      </c>
      <c r="P45" s="21" t="str">
        <f>IF(tblSales[[#This Row],[Key]]="","",IFERROR(tblSales[[#This Row],[กำไร (บาท)]]/tblSales[[#This Row],[ยอดขาย (บาท)]],""))</f>
        <v/>
      </c>
      <c r="Q45" s="10" t="str">
        <f>IF(tblSales[[#This Row],[Key]]="","",IFERROR(INDEX(ตารางรวม!$D:$D,MATCH(tblSales[[#This Row],[Key]],ตารางรวม!$Z:$Z,0))*tblSales[[#This Row],[จำนวนแก้ว]],0))</f>
        <v/>
      </c>
      <c r="R45" s="10" t="str">
        <f>IF(tblSales[[#This Row],[Key]]="","",IFERROR(INDEX(ตารางรวม!$E:$E,MATCH(tblSales[[#This Row],[Key]],ตารางรวม!$Z:$Z,0))*tblSales[[#This Row],[จำนวนแก้ว]],0))</f>
        <v/>
      </c>
      <c r="S45" s="10" t="str">
        <f>IF(tblSales[[#This Row],[Key]]="","",IFERROR(INDEX(ตารางรวม!$F:$F,MATCH(tblSales[[#This Row],[Key]],ตารางรวม!$Z:$Z,0))*tblSales[[#This Row],[จำนวนแก้ว]],0))</f>
        <v/>
      </c>
      <c r="T45" s="10" t="str">
        <f>IF(tblSales[[#This Row],[Key]]="","",IFERROR(INDEX(ตารางรวม!$G:$G,MATCH(tblSales[[#This Row],[Key]],ตารางรวม!$Z:$Z,0))*tblSales[[#This Row],[จำนวนแก้ว]],0))</f>
        <v/>
      </c>
      <c r="U45" s="10" t="str">
        <f>IF(tblSales[[#This Row],[Key]]="","",IFERROR(INDEX(ตารางรวม!$H:$H,MATCH(tblSales[[#This Row],[Key]],ตารางรวม!$Z:$Z,0))*tblSales[[#This Row],[จำนวนแก้ว]],0))</f>
        <v/>
      </c>
      <c r="V45" s="10" t="str">
        <f>IF(tblSales[[#This Row],[Key]]="","",IFERROR(INDEX(ตารางรวม!$I:$I,MATCH(tblSales[[#This Row],[Key]],ตารางรวม!$Z:$Z,0))*tblSales[[#This Row],[จำนวนแก้ว]],0))</f>
        <v/>
      </c>
      <c r="W45" s="10" t="str">
        <f>IF(tblSales[[#This Row],[Key]]="","",IFERROR(INDEX(ตารางรวม!$J:$J,MATCH(tblSales[[#This Row],[Key]],ตารางรวม!$Z:$Z,0))*tblSales[[#This Row],[จำนวนแก้ว]],0))</f>
        <v/>
      </c>
      <c r="X45" s="10" t="str">
        <f>IF(tblSales[[#This Row],[Key]]="","",IFERROR(INDEX(ตารางรวม!$K:$K,MATCH(tblSales[[#This Row],[Key]],ตารางรวม!$Z:$Z,0))*tblSales[[#This Row],[จำนวนแก้ว]],0))</f>
        <v/>
      </c>
      <c r="Y45" s="10" t="str">
        <f>IF(tblSales[[#This Row],[Key]]="","",IFERROR(INDEX(ตารางรวม!$L:$L,MATCH(tblSales[[#This Row],[Key]],ตารางรวม!$Z:$Z,0))*tblSales[[#This Row],[จำนวนแก้ว]],0))</f>
        <v/>
      </c>
      <c r="Z45" s="10" t="str">
        <f>IF(tblSales[[#This Row],[Key]]="","",IFERROR(INDEX(ตารางรวม!$M:$M,MATCH(tblSales[[#This Row],[Key]],ตารางรวม!$Z:$Z,0))*tblSales[[#This Row],[จำนวนแก้ว]],0))</f>
        <v/>
      </c>
      <c r="AA45" s="10" t="str">
        <f>IF(tblSales[[#This Row],[Key]]="","",IFERROR(INDEX(ตารางรวม!$N:$N,MATCH(tblSales[[#This Row],[Key]],ตารางรวม!$Z:$Z,0))*tblSales[[#This Row],[จำนวนแก้ว]],0))</f>
        <v/>
      </c>
      <c r="AB45" s="10" t="str">
        <f>IF(tblSales[[#This Row],[Key]]="","",IFERROR(INDEX(ตารางรวม!$O:$O,MATCH(tblSales[[#This Row],[Key]],ตารางรวม!$Z:$Z,0))*tblSales[[#This Row],[จำนวนแก้ว]],0))</f>
        <v/>
      </c>
      <c r="AC45" s="10" t="str">
        <f>IF(tblSales[[#This Row],[Key]]="","",IFERROR(INDEX(ตารางรวม!$P:$P,MATCH(tblSales[[#This Row],[Key]],ตารางรวม!$Z:$Z,0))*tblSales[[#This Row],[จำนวนแก้ว]],0))</f>
        <v/>
      </c>
      <c r="AD45" s="10" t="str">
        <f>IF(tblSales[[#This Row],[Key]]="","",IFERROR(INDEX(ตารางรวม!$Q:$Q,MATCH(tblSales[[#This Row],[Key]],ตารางรวม!$Z:$Z,0))*tblSales[[#This Row],[จำนวนแก้ว]],0))</f>
        <v/>
      </c>
      <c r="AE45" s="10" t="str">
        <f>IF(tblSales[[#This Row],[Key]]="","",IFERROR(INDEX(ตารางรวม!$R:$R,MATCH(tblSales[[#This Row],[Key]],ตารางรวม!$Z:$Z,0))*tblSales[[#This Row],[จำนวนแก้ว]],0))</f>
        <v/>
      </c>
      <c r="AF45" s="10" t="str">
        <f>IF(tblSales[[#This Row],[Key]]="","",IFERROR(INDEX(ตารางรวม!$S:$S,MATCH(tblSales[[#This Row],[Key]],ตารางรวม!$Z:$Z,0))*tblSales[[#This Row],[จำนวนแก้ว]],0))</f>
        <v/>
      </c>
      <c r="AG45" s="10" t="str">
        <f>IF(tblSales[[#This Row],[Key]]="","",IFERROR(INDEX(ตารางรวม!$T:$T,MATCH(tblSales[[#This Row],[Key]],ตารางรวม!$Z:$Z,0))*tblSales[[#This Row],[จำนวนแก้ว]],0))</f>
        <v/>
      </c>
      <c r="AH45" s="10" t="str">
        <f>IF(tblSales[[#This Row],[Key]]="","",IF(tblSales[[#This Row],[ขนาด]]="16 oz",tblSales[[#This Row],[จำนวนแก้ว]],0))</f>
        <v/>
      </c>
      <c r="AI45" s="10" t="str">
        <f>IF(tblSales[[#This Row],[Key]]="","",IF(tblSales[[#This Row],[ขนาด]]="20 oz",tblSales[[#This Row],[จำนวนแก้ว]],0))</f>
        <v/>
      </c>
      <c r="AJ45" s="10" t="str">
        <f>IF(tblSales[[#This Row],[Key]]="","",IF(tblSales[[#This Row],[ขนาด]]="22 oz",tblSales[[#This Row],[จำนวนแก้ว]],0))</f>
        <v/>
      </c>
    </row>
    <row r="46" spans="1:36" x14ac:dyDescent="0.25">
      <c r="A46" s="4" t="str">
        <f>IF(tblSales[[#This Row],[วันที่]]="","","S"&amp;TEXT(tblSales[[#This Row],[วันที่]],"yymmdd")&amp;"-"&amp;TEXT(ROW()-5,"000"))</f>
        <v/>
      </c>
      <c r="B46" s="16"/>
      <c r="C46" s="6"/>
      <c r="D46" s="6"/>
      <c r="E46" s="20"/>
      <c r="F46" s="6"/>
      <c r="G46" s="6"/>
      <c r="H46" s="6"/>
      <c r="I46" s="6"/>
      <c r="J4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6" s="8" t="str">
        <f>IF(tblSales[[#This Row],[Key]]="","",IFERROR(INDEX(ตารางรวม!$W:$W,MATCH(tblSales[[#This Row],[Key]],ตารางรวม!$Z:$Z,0)),"ไม่พบสูตร"))</f>
        <v/>
      </c>
      <c r="L46" s="8" t="str">
        <f>IF(tblSales[[#This Row],[Key]]="","",IFERROR(INDEX(ตารางรวม!$V:$V,MATCH(tblSales[[#This Row],[Key]],ตารางรวม!$Z:$Z,0)),"ไม่พบสูตร"))</f>
        <v/>
      </c>
      <c r="M46" s="8" t="str">
        <f>IF(tblSales[[#This Row],[Key]]="","",IFERROR(tblSales[[#This Row],[ราคาต่อแก้ว]]*tblSales[[#This Row],[จำนวนแก้ว]],""))</f>
        <v/>
      </c>
      <c r="N46" s="8" t="str">
        <f>IF(tblSales[[#This Row],[Key]]="","",IFERROR(tblSales[[#This Row],[ต้นทุนต่อแก้ว]]*tblSales[[#This Row],[จำนวนแก้ว]],""))</f>
        <v/>
      </c>
      <c r="O46" s="8" t="str">
        <f>IF(tblSales[[#This Row],[Key]]="","",IFERROR(tblSales[[#This Row],[ยอดขาย (บาท)]]-tblSales[[#This Row],[ต้นทุนรวม (บาท)]],""))</f>
        <v/>
      </c>
      <c r="P46" s="21" t="str">
        <f>IF(tblSales[[#This Row],[Key]]="","",IFERROR(tblSales[[#This Row],[กำไร (บาท)]]/tblSales[[#This Row],[ยอดขาย (บาท)]],""))</f>
        <v/>
      </c>
      <c r="Q46" s="10" t="str">
        <f>IF(tblSales[[#This Row],[Key]]="","",IFERROR(INDEX(ตารางรวม!$D:$D,MATCH(tblSales[[#This Row],[Key]],ตารางรวม!$Z:$Z,0))*tblSales[[#This Row],[จำนวนแก้ว]],0))</f>
        <v/>
      </c>
      <c r="R46" s="10" t="str">
        <f>IF(tblSales[[#This Row],[Key]]="","",IFERROR(INDEX(ตารางรวม!$E:$E,MATCH(tblSales[[#This Row],[Key]],ตารางรวม!$Z:$Z,0))*tblSales[[#This Row],[จำนวนแก้ว]],0))</f>
        <v/>
      </c>
      <c r="S46" s="10" t="str">
        <f>IF(tblSales[[#This Row],[Key]]="","",IFERROR(INDEX(ตารางรวม!$F:$F,MATCH(tblSales[[#This Row],[Key]],ตารางรวม!$Z:$Z,0))*tblSales[[#This Row],[จำนวนแก้ว]],0))</f>
        <v/>
      </c>
      <c r="T46" s="10" t="str">
        <f>IF(tblSales[[#This Row],[Key]]="","",IFERROR(INDEX(ตารางรวม!$G:$G,MATCH(tblSales[[#This Row],[Key]],ตารางรวม!$Z:$Z,0))*tblSales[[#This Row],[จำนวนแก้ว]],0))</f>
        <v/>
      </c>
      <c r="U46" s="10" t="str">
        <f>IF(tblSales[[#This Row],[Key]]="","",IFERROR(INDEX(ตารางรวม!$H:$H,MATCH(tblSales[[#This Row],[Key]],ตารางรวม!$Z:$Z,0))*tblSales[[#This Row],[จำนวนแก้ว]],0))</f>
        <v/>
      </c>
      <c r="V46" s="10" t="str">
        <f>IF(tblSales[[#This Row],[Key]]="","",IFERROR(INDEX(ตารางรวม!$I:$I,MATCH(tblSales[[#This Row],[Key]],ตารางรวม!$Z:$Z,0))*tblSales[[#This Row],[จำนวนแก้ว]],0))</f>
        <v/>
      </c>
      <c r="W46" s="10" t="str">
        <f>IF(tblSales[[#This Row],[Key]]="","",IFERROR(INDEX(ตารางรวม!$J:$J,MATCH(tblSales[[#This Row],[Key]],ตารางรวม!$Z:$Z,0))*tblSales[[#This Row],[จำนวนแก้ว]],0))</f>
        <v/>
      </c>
      <c r="X46" s="10" t="str">
        <f>IF(tblSales[[#This Row],[Key]]="","",IFERROR(INDEX(ตารางรวม!$K:$K,MATCH(tblSales[[#This Row],[Key]],ตารางรวม!$Z:$Z,0))*tblSales[[#This Row],[จำนวนแก้ว]],0))</f>
        <v/>
      </c>
      <c r="Y46" s="10" t="str">
        <f>IF(tblSales[[#This Row],[Key]]="","",IFERROR(INDEX(ตารางรวม!$L:$L,MATCH(tblSales[[#This Row],[Key]],ตารางรวม!$Z:$Z,0))*tblSales[[#This Row],[จำนวนแก้ว]],0))</f>
        <v/>
      </c>
      <c r="Z46" s="10" t="str">
        <f>IF(tblSales[[#This Row],[Key]]="","",IFERROR(INDEX(ตารางรวม!$M:$M,MATCH(tblSales[[#This Row],[Key]],ตารางรวม!$Z:$Z,0))*tblSales[[#This Row],[จำนวนแก้ว]],0))</f>
        <v/>
      </c>
      <c r="AA46" s="10" t="str">
        <f>IF(tblSales[[#This Row],[Key]]="","",IFERROR(INDEX(ตารางรวม!$N:$N,MATCH(tblSales[[#This Row],[Key]],ตารางรวม!$Z:$Z,0))*tblSales[[#This Row],[จำนวนแก้ว]],0))</f>
        <v/>
      </c>
      <c r="AB46" s="10" t="str">
        <f>IF(tblSales[[#This Row],[Key]]="","",IFERROR(INDEX(ตารางรวม!$O:$O,MATCH(tblSales[[#This Row],[Key]],ตารางรวม!$Z:$Z,0))*tblSales[[#This Row],[จำนวนแก้ว]],0))</f>
        <v/>
      </c>
      <c r="AC46" s="10" t="str">
        <f>IF(tblSales[[#This Row],[Key]]="","",IFERROR(INDEX(ตารางรวม!$P:$P,MATCH(tblSales[[#This Row],[Key]],ตารางรวม!$Z:$Z,0))*tblSales[[#This Row],[จำนวนแก้ว]],0))</f>
        <v/>
      </c>
      <c r="AD46" s="10" t="str">
        <f>IF(tblSales[[#This Row],[Key]]="","",IFERROR(INDEX(ตารางรวม!$Q:$Q,MATCH(tblSales[[#This Row],[Key]],ตารางรวม!$Z:$Z,0))*tblSales[[#This Row],[จำนวนแก้ว]],0))</f>
        <v/>
      </c>
      <c r="AE46" s="10" t="str">
        <f>IF(tblSales[[#This Row],[Key]]="","",IFERROR(INDEX(ตารางรวม!$R:$R,MATCH(tblSales[[#This Row],[Key]],ตารางรวม!$Z:$Z,0))*tblSales[[#This Row],[จำนวนแก้ว]],0))</f>
        <v/>
      </c>
      <c r="AF46" s="10" t="str">
        <f>IF(tblSales[[#This Row],[Key]]="","",IFERROR(INDEX(ตารางรวม!$S:$S,MATCH(tblSales[[#This Row],[Key]],ตารางรวม!$Z:$Z,0))*tblSales[[#This Row],[จำนวนแก้ว]],0))</f>
        <v/>
      </c>
      <c r="AG46" s="10" t="str">
        <f>IF(tblSales[[#This Row],[Key]]="","",IFERROR(INDEX(ตารางรวม!$T:$T,MATCH(tblSales[[#This Row],[Key]],ตารางรวม!$Z:$Z,0))*tblSales[[#This Row],[จำนวนแก้ว]],0))</f>
        <v/>
      </c>
      <c r="AH46" s="10" t="str">
        <f>IF(tblSales[[#This Row],[Key]]="","",IF(tblSales[[#This Row],[ขนาด]]="16 oz",tblSales[[#This Row],[จำนวนแก้ว]],0))</f>
        <v/>
      </c>
      <c r="AI46" s="10" t="str">
        <f>IF(tblSales[[#This Row],[Key]]="","",IF(tblSales[[#This Row],[ขนาด]]="20 oz",tblSales[[#This Row],[จำนวนแก้ว]],0))</f>
        <v/>
      </c>
      <c r="AJ46" s="10" t="str">
        <f>IF(tblSales[[#This Row],[Key]]="","",IF(tblSales[[#This Row],[ขนาด]]="22 oz",tblSales[[#This Row],[จำนวนแก้ว]],0))</f>
        <v/>
      </c>
    </row>
    <row r="47" spans="1:36" x14ac:dyDescent="0.25">
      <c r="A47" s="4" t="str">
        <f>IF(tblSales[[#This Row],[วันที่]]="","","S"&amp;TEXT(tblSales[[#This Row],[วันที่]],"yymmdd")&amp;"-"&amp;TEXT(ROW()-5,"000"))</f>
        <v/>
      </c>
      <c r="B47" s="16"/>
      <c r="C47" s="6"/>
      <c r="D47" s="6"/>
      <c r="E47" s="20"/>
      <c r="F47" s="6"/>
      <c r="G47" s="6"/>
      <c r="H47" s="6"/>
      <c r="I47" s="6"/>
      <c r="J4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7" s="8" t="str">
        <f>IF(tblSales[[#This Row],[Key]]="","",IFERROR(INDEX(ตารางรวม!$W:$W,MATCH(tblSales[[#This Row],[Key]],ตารางรวม!$Z:$Z,0)),"ไม่พบสูตร"))</f>
        <v/>
      </c>
      <c r="L47" s="8" t="str">
        <f>IF(tblSales[[#This Row],[Key]]="","",IFERROR(INDEX(ตารางรวม!$V:$V,MATCH(tblSales[[#This Row],[Key]],ตารางรวม!$Z:$Z,0)),"ไม่พบสูตร"))</f>
        <v/>
      </c>
      <c r="M47" s="8" t="str">
        <f>IF(tblSales[[#This Row],[Key]]="","",IFERROR(tblSales[[#This Row],[ราคาต่อแก้ว]]*tblSales[[#This Row],[จำนวนแก้ว]],""))</f>
        <v/>
      </c>
      <c r="N47" s="8" t="str">
        <f>IF(tblSales[[#This Row],[Key]]="","",IFERROR(tblSales[[#This Row],[ต้นทุนต่อแก้ว]]*tblSales[[#This Row],[จำนวนแก้ว]],""))</f>
        <v/>
      </c>
      <c r="O47" s="8" t="str">
        <f>IF(tblSales[[#This Row],[Key]]="","",IFERROR(tblSales[[#This Row],[ยอดขาย (บาท)]]-tblSales[[#This Row],[ต้นทุนรวม (บาท)]],""))</f>
        <v/>
      </c>
      <c r="P47" s="21" t="str">
        <f>IF(tblSales[[#This Row],[Key]]="","",IFERROR(tblSales[[#This Row],[กำไร (บาท)]]/tblSales[[#This Row],[ยอดขาย (บาท)]],""))</f>
        <v/>
      </c>
      <c r="Q47" s="10" t="str">
        <f>IF(tblSales[[#This Row],[Key]]="","",IFERROR(INDEX(ตารางรวม!$D:$D,MATCH(tblSales[[#This Row],[Key]],ตารางรวม!$Z:$Z,0))*tblSales[[#This Row],[จำนวนแก้ว]],0))</f>
        <v/>
      </c>
      <c r="R47" s="10" t="str">
        <f>IF(tblSales[[#This Row],[Key]]="","",IFERROR(INDEX(ตารางรวม!$E:$E,MATCH(tblSales[[#This Row],[Key]],ตารางรวม!$Z:$Z,0))*tblSales[[#This Row],[จำนวนแก้ว]],0))</f>
        <v/>
      </c>
      <c r="S47" s="10" t="str">
        <f>IF(tblSales[[#This Row],[Key]]="","",IFERROR(INDEX(ตารางรวม!$F:$F,MATCH(tblSales[[#This Row],[Key]],ตารางรวม!$Z:$Z,0))*tblSales[[#This Row],[จำนวนแก้ว]],0))</f>
        <v/>
      </c>
      <c r="T47" s="10" t="str">
        <f>IF(tblSales[[#This Row],[Key]]="","",IFERROR(INDEX(ตารางรวม!$G:$G,MATCH(tblSales[[#This Row],[Key]],ตารางรวม!$Z:$Z,0))*tblSales[[#This Row],[จำนวนแก้ว]],0))</f>
        <v/>
      </c>
      <c r="U47" s="10" t="str">
        <f>IF(tblSales[[#This Row],[Key]]="","",IFERROR(INDEX(ตารางรวม!$H:$H,MATCH(tblSales[[#This Row],[Key]],ตารางรวม!$Z:$Z,0))*tblSales[[#This Row],[จำนวนแก้ว]],0))</f>
        <v/>
      </c>
      <c r="V47" s="10" t="str">
        <f>IF(tblSales[[#This Row],[Key]]="","",IFERROR(INDEX(ตารางรวม!$I:$I,MATCH(tblSales[[#This Row],[Key]],ตารางรวม!$Z:$Z,0))*tblSales[[#This Row],[จำนวนแก้ว]],0))</f>
        <v/>
      </c>
      <c r="W47" s="10" t="str">
        <f>IF(tblSales[[#This Row],[Key]]="","",IFERROR(INDEX(ตารางรวม!$J:$J,MATCH(tblSales[[#This Row],[Key]],ตารางรวม!$Z:$Z,0))*tblSales[[#This Row],[จำนวนแก้ว]],0))</f>
        <v/>
      </c>
      <c r="X47" s="10" t="str">
        <f>IF(tblSales[[#This Row],[Key]]="","",IFERROR(INDEX(ตารางรวม!$K:$K,MATCH(tblSales[[#This Row],[Key]],ตารางรวม!$Z:$Z,0))*tblSales[[#This Row],[จำนวนแก้ว]],0))</f>
        <v/>
      </c>
      <c r="Y47" s="10" t="str">
        <f>IF(tblSales[[#This Row],[Key]]="","",IFERROR(INDEX(ตารางรวม!$L:$L,MATCH(tblSales[[#This Row],[Key]],ตารางรวม!$Z:$Z,0))*tblSales[[#This Row],[จำนวนแก้ว]],0))</f>
        <v/>
      </c>
      <c r="Z47" s="10" t="str">
        <f>IF(tblSales[[#This Row],[Key]]="","",IFERROR(INDEX(ตารางรวม!$M:$M,MATCH(tblSales[[#This Row],[Key]],ตารางรวม!$Z:$Z,0))*tblSales[[#This Row],[จำนวนแก้ว]],0))</f>
        <v/>
      </c>
      <c r="AA47" s="10" t="str">
        <f>IF(tblSales[[#This Row],[Key]]="","",IFERROR(INDEX(ตารางรวม!$N:$N,MATCH(tblSales[[#This Row],[Key]],ตารางรวม!$Z:$Z,0))*tblSales[[#This Row],[จำนวนแก้ว]],0))</f>
        <v/>
      </c>
      <c r="AB47" s="10" t="str">
        <f>IF(tblSales[[#This Row],[Key]]="","",IFERROR(INDEX(ตารางรวม!$O:$O,MATCH(tblSales[[#This Row],[Key]],ตารางรวม!$Z:$Z,0))*tblSales[[#This Row],[จำนวนแก้ว]],0))</f>
        <v/>
      </c>
      <c r="AC47" s="10" t="str">
        <f>IF(tblSales[[#This Row],[Key]]="","",IFERROR(INDEX(ตารางรวม!$P:$P,MATCH(tblSales[[#This Row],[Key]],ตารางรวม!$Z:$Z,0))*tblSales[[#This Row],[จำนวนแก้ว]],0))</f>
        <v/>
      </c>
      <c r="AD47" s="10" t="str">
        <f>IF(tblSales[[#This Row],[Key]]="","",IFERROR(INDEX(ตารางรวม!$Q:$Q,MATCH(tblSales[[#This Row],[Key]],ตารางรวม!$Z:$Z,0))*tblSales[[#This Row],[จำนวนแก้ว]],0))</f>
        <v/>
      </c>
      <c r="AE47" s="10" t="str">
        <f>IF(tblSales[[#This Row],[Key]]="","",IFERROR(INDEX(ตารางรวม!$R:$R,MATCH(tblSales[[#This Row],[Key]],ตารางรวม!$Z:$Z,0))*tblSales[[#This Row],[จำนวนแก้ว]],0))</f>
        <v/>
      </c>
      <c r="AF47" s="10" t="str">
        <f>IF(tblSales[[#This Row],[Key]]="","",IFERROR(INDEX(ตารางรวม!$S:$S,MATCH(tblSales[[#This Row],[Key]],ตารางรวม!$Z:$Z,0))*tblSales[[#This Row],[จำนวนแก้ว]],0))</f>
        <v/>
      </c>
      <c r="AG47" s="10" t="str">
        <f>IF(tblSales[[#This Row],[Key]]="","",IFERROR(INDEX(ตารางรวม!$T:$T,MATCH(tblSales[[#This Row],[Key]],ตารางรวม!$Z:$Z,0))*tblSales[[#This Row],[จำนวนแก้ว]],0))</f>
        <v/>
      </c>
      <c r="AH47" s="10" t="str">
        <f>IF(tblSales[[#This Row],[Key]]="","",IF(tblSales[[#This Row],[ขนาด]]="16 oz",tblSales[[#This Row],[จำนวนแก้ว]],0))</f>
        <v/>
      </c>
      <c r="AI47" s="10" t="str">
        <f>IF(tblSales[[#This Row],[Key]]="","",IF(tblSales[[#This Row],[ขนาด]]="20 oz",tblSales[[#This Row],[จำนวนแก้ว]],0))</f>
        <v/>
      </c>
      <c r="AJ47" s="10" t="str">
        <f>IF(tblSales[[#This Row],[Key]]="","",IF(tblSales[[#This Row],[ขนาด]]="22 oz",tblSales[[#This Row],[จำนวนแก้ว]],0))</f>
        <v/>
      </c>
    </row>
    <row r="48" spans="1:36" x14ac:dyDescent="0.25">
      <c r="A48" s="4" t="str">
        <f>IF(tblSales[[#This Row],[วันที่]]="","","S"&amp;TEXT(tblSales[[#This Row],[วันที่]],"yymmdd")&amp;"-"&amp;TEXT(ROW()-5,"000"))</f>
        <v/>
      </c>
      <c r="B48" s="16"/>
      <c r="C48" s="6"/>
      <c r="D48" s="6"/>
      <c r="E48" s="20"/>
      <c r="F48" s="6"/>
      <c r="G48" s="6"/>
      <c r="H48" s="6"/>
      <c r="I48" s="6"/>
      <c r="J4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8" s="8" t="str">
        <f>IF(tblSales[[#This Row],[Key]]="","",IFERROR(INDEX(ตารางรวม!$W:$W,MATCH(tblSales[[#This Row],[Key]],ตารางรวม!$Z:$Z,0)),"ไม่พบสูตร"))</f>
        <v/>
      </c>
      <c r="L48" s="8" t="str">
        <f>IF(tblSales[[#This Row],[Key]]="","",IFERROR(INDEX(ตารางรวม!$V:$V,MATCH(tblSales[[#This Row],[Key]],ตารางรวม!$Z:$Z,0)),"ไม่พบสูตร"))</f>
        <v/>
      </c>
      <c r="M48" s="8" t="str">
        <f>IF(tblSales[[#This Row],[Key]]="","",IFERROR(tblSales[[#This Row],[ราคาต่อแก้ว]]*tblSales[[#This Row],[จำนวนแก้ว]],""))</f>
        <v/>
      </c>
      <c r="N48" s="8" t="str">
        <f>IF(tblSales[[#This Row],[Key]]="","",IFERROR(tblSales[[#This Row],[ต้นทุนต่อแก้ว]]*tblSales[[#This Row],[จำนวนแก้ว]],""))</f>
        <v/>
      </c>
      <c r="O48" s="8" t="str">
        <f>IF(tblSales[[#This Row],[Key]]="","",IFERROR(tblSales[[#This Row],[ยอดขาย (บาท)]]-tblSales[[#This Row],[ต้นทุนรวม (บาท)]],""))</f>
        <v/>
      </c>
      <c r="P48" s="21" t="str">
        <f>IF(tblSales[[#This Row],[Key]]="","",IFERROR(tblSales[[#This Row],[กำไร (บาท)]]/tblSales[[#This Row],[ยอดขาย (บาท)]],""))</f>
        <v/>
      </c>
      <c r="Q48" s="10" t="str">
        <f>IF(tblSales[[#This Row],[Key]]="","",IFERROR(INDEX(ตารางรวม!$D:$D,MATCH(tblSales[[#This Row],[Key]],ตารางรวม!$Z:$Z,0))*tblSales[[#This Row],[จำนวนแก้ว]],0))</f>
        <v/>
      </c>
      <c r="R48" s="10" t="str">
        <f>IF(tblSales[[#This Row],[Key]]="","",IFERROR(INDEX(ตารางรวม!$E:$E,MATCH(tblSales[[#This Row],[Key]],ตารางรวม!$Z:$Z,0))*tblSales[[#This Row],[จำนวนแก้ว]],0))</f>
        <v/>
      </c>
      <c r="S48" s="10" t="str">
        <f>IF(tblSales[[#This Row],[Key]]="","",IFERROR(INDEX(ตารางรวม!$F:$F,MATCH(tblSales[[#This Row],[Key]],ตารางรวม!$Z:$Z,0))*tblSales[[#This Row],[จำนวนแก้ว]],0))</f>
        <v/>
      </c>
      <c r="T48" s="10" t="str">
        <f>IF(tblSales[[#This Row],[Key]]="","",IFERROR(INDEX(ตารางรวม!$G:$G,MATCH(tblSales[[#This Row],[Key]],ตารางรวม!$Z:$Z,0))*tblSales[[#This Row],[จำนวนแก้ว]],0))</f>
        <v/>
      </c>
      <c r="U48" s="10" t="str">
        <f>IF(tblSales[[#This Row],[Key]]="","",IFERROR(INDEX(ตารางรวม!$H:$H,MATCH(tblSales[[#This Row],[Key]],ตารางรวม!$Z:$Z,0))*tblSales[[#This Row],[จำนวนแก้ว]],0))</f>
        <v/>
      </c>
      <c r="V48" s="10" t="str">
        <f>IF(tblSales[[#This Row],[Key]]="","",IFERROR(INDEX(ตารางรวม!$I:$I,MATCH(tblSales[[#This Row],[Key]],ตารางรวม!$Z:$Z,0))*tblSales[[#This Row],[จำนวนแก้ว]],0))</f>
        <v/>
      </c>
      <c r="W48" s="10" t="str">
        <f>IF(tblSales[[#This Row],[Key]]="","",IFERROR(INDEX(ตารางรวม!$J:$J,MATCH(tblSales[[#This Row],[Key]],ตารางรวม!$Z:$Z,0))*tblSales[[#This Row],[จำนวนแก้ว]],0))</f>
        <v/>
      </c>
      <c r="X48" s="10" t="str">
        <f>IF(tblSales[[#This Row],[Key]]="","",IFERROR(INDEX(ตารางรวม!$K:$K,MATCH(tblSales[[#This Row],[Key]],ตารางรวม!$Z:$Z,0))*tblSales[[#This Row],[จำนวนแก้ว]],0))</f>
        <v/>
      </c>
      <c r="Y48" s="10" t="str">
        <f>IF(tblSales[[#This Row],[Key]]="","",IFERROR(INDEX(ตารางรวม!$L:$L,MATCH(tblSales[[#This Row],[Key]],ตารางรวม!$Z:$Z,0))*tblSales[[#This Row],[จำนวนแก้ว]],0))</f>
        <v/>
      </c>
      <c r="Z48" s="10" t="str">
        <f>IF(tblSales[[#This Row],[Key]]="","",IFERROR(INDEX(ตารางรวม!$M:$M,MATCH(tblSales[[#This Row],[Key]],ตารางรวม!$Z:$Z,0))*tblSales[[#This Row],[จำนวนแก้ว]],0))</f>
        <v/>
      </c>
      <c r="AA48" s="10" t="str">
        <f>IF(tblSales[[#This Row],[Key]]="","",IFERROR(INDEX(ตารางรวม!$N:$N,MATCH(tblSales[[#This Row],[Key]],ตารางรวม!$Z:$Z,0))*tblSales[[#This Row],[จำนวนแก้ว]],0))</f>
        <v/>
      </c>
      <c r="AB48" s="10" t="str">
        <f>IF(tblSales[[#This Row],[Key]]="","",IFERROR(INDEX(ตารางรวม!$O:$O,MATCH(tblSales[[#This Row],[Key]],ตารางรวม!$Z:$Z,0))*tblSales[[#This Row],[จำนวนแก้ว]],0))</f>
        <v/>
      </c>
      <c r="AC48" s="10" t="str">
        <f>IF(tblSales[[#This Row],[Key]]="","",IFERROR(INDEX(ตารางรวม!$P:$P,MATCH(tblSales[[#This Row],[Key]],ตารางรวม!$Z:$Z,0))*tblSales[[#This Row],[จำนวนแก้ว]],0))</f>
        <v/>
      </c>
      <c r="AD48" s="10" t="str">
        <f>IF(tblSales[[#This Row],[Key]]="","",IFERROR(INDEX(ตารางรวม!$Q:$Q,MATCH(tblSales[[#This Row],[Key]],ตารางรวม!$Z:$Z,0))*tblSales[[#This Row],[จำนวนแก้ว]],0))</f>
        <v/>
      </c>
      <c r="AE48" s="10" t="str">
        <f>IF(tblSales[[#This Row],[Key]]="","",IFERROR(INDEX(ตารางรวม!$R:$R,MATCH(tblSales[[#This Row],[Key]],ตารางรวม!$Z:$Z,0))*tblSales[[#This Row],[จำนวนแก้ว]],0))</f>
        <v/>
      </c>
      <c r="AF48" s="10" t="str">
        <f>IF(tblSales[[#This Row],[Key]]="","",IFERROR(INDEX(ตารางรวม!$S:$S,MATCH(tblSales[[#This Row],[Key]],ตารางรวม!$Z:$Z,0))*tblSales[[#This Row],[จำนวนแก้ว]],0))</f>
        <v/>
      </c>
      <c r="AG48" s="10" t="str">
        <f>IF(tblSales[[#This Row],[Key]]="","",IFERROR(INDEX(ตารางรวม!$T:$T,MATCH(tblSales[[#This Row],[Key]],ตารางรวม!$Z:$Z,0))*tblSales[[#This Row],[จำนวนแก้ว]],0))</f>
        <v/>
      </c>
      <c r="AH48" s="10" t="str">
        <f>IF(tblSales[[#This Row],[Key]]="","",IF(tblSales[[#This Row],[ขนาด]]="16 oz",tblSales[[#This Row],[จำนวนแก้ว]],0))</f>
        <v/>
      </c>
      <c r="AI48" s="10" t="str">
        <f>IF(tblSales[[#This Row],[Key]]="","",IF(tblSales[[#This Row],[ขนาด]]="20 oz",tblSales[[#This Row],[จำนวนแก้ว]],0))</f>
        <v/>
      </c>
      <c r="AJ48" s="10" t="str">
        <f>IF(tblSales[[#This Row],[Key]]="","",IF(tblSales[[#This Row],[ขนาด]]="22 oz",tblSales[[#This Row],[จำนวนแก้ว]],0))</f>
        <v/>
      </c>
    </row>
    <row r="49" spans="1:36" x14ac:dyDescent="0.25">
      <c r="A49" s="4" t="str">
        <f>IF(tblSales[[#This Row],[วันที่]]="","","S"&amp;TEXT(tblSales[[#This Row],[วันที่]],"yymmdd")&amp;"-"&amp;TEXT(ROW()-5,"000"))</f>
        <v/>
      </c>
      <c r="B49" s="16"/>
      <c r="C49" s="6"/>
      <c r="D49" s="6"/>
      <c r="E49" s="20"/>
      <c r="F49" s="6"/>
      <c r="G49" s="6"/>
      <c r="H49" s="6"/>
      <c r="I49" s="6"/>
      <c r="J4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49" s="8" t="str">
        <f>IF(tblSales[[#This Row],[Key]]="","",IFERROR(INDEX(ตารางรวม!$W:$W,MATCH(tblSales[[#This Row],[Key]],ตารางรวม!$Z:$Z,0)),"ไม่พบสูตร"))</f>
        <v/>
      </c>
      <c r="L49" s="8" t="str">
        <f>IF(tblSales[[#This Row],[Key]]="","",IFERROR(INDEX(ตารางรวม!$V:$V,MATCH(tblSales[[#This Row],[Key]],ตารางรวม!$Z:$Z,0)),"ไม่พบสูตร"))</f>
        <v/>
      </c>
      <c r="M49" s="8" t="str">
        <f>IF(tblSales[[#This Row],[Key]]="","",IFERROR(tblSales[[#This Row],[ราคาต่อแก้ว]]*tblSales[[#This Row],[จำนวนแก้ว]],""))</f>
        <v/>
      </c>
      <c r="N49" s="8" t="str">
        <f>IF(tblSales[[#This Row],[Key]]="","",IFERROR(tblSales[[#This Row],[ต้นทุนต่อแก้ว]]*tblSales[[#This Row],[จำนวนแก้ว]],""))</f>
        <v/>
      </c>
      <c r="O49" s="8" t="str">
        <f>IF(tblSales[[#This Row],[Key]]="","",IFERROR(tblSales[[#This Row],[ยอดขาย (บาท)]]-tblSales[[#This Row],[ต้นทุนรวม (บาท)]],""))</f>
        <v/>
      </c>
      <c r="P49" s="21" t="str">
        <f>IF(tblSales[[#This Row],[Key]]="","",IFERROR(tblSales[[#This Row],[กำไร (บาท)]]/tblSales[[#This Row],[ยอดขาย (บาท)]],""))</f>
        <v/>
      </c>
      <c r="Q49" s="10" t="str">
        <f>IF(tblSales[[#This Row],[Key]]="","",IFERROR(INDEX(ตารางรวม!$D:$D,MATCH(tblSales[[#This Row],[Key]],ตารางรวม!$Z:$Z,0))*tblSales[[#This Row],[จำนวนแก้ว]],0))</f>
        <v/>
      </c>
      <c r="R49" s="10" t="str">
        <f>IF(tblSales[[#This Row],[Key]]="","",IFERROR(INDEX(ตารางรวม!$E:$E,MATCH(tblSales[[#This Row],[Key]],ตารางรวม!$Z:$Z,0))*tblSales[[#This Row],[จำนวนแก้ว]],0))</f>
        <v/>
      </c>
      <c r="S49" s="10" t="str">
        <f>IF(tblSales[[#This Row],[Key]]="","",IFERROR(INDEX(ตารางรวม!$F:$F,MATCH(tblSales[[#This Row],[Key]],ตารางรวม!$Z:$Z,0))*tblSales[[#This Row],[จำนวนแก้ว]],0))</f>
        <v/>
      </c>
      <c r="T49" s="10" t="str">
        <f>IF(tblSales[[#This Row],[Key]]="","",IFERROR(INDEX(ตารางรวม!$G:$G,MATCH(tblSales[[#This Row],[Key]],ตารางรวม!$Z:$Z,0))*tblSales[[#This Row],[จำนวนแก้ว]],0))</f>
        <v/>
      </c>
      <c r="U49" s="10" t="str">
        <f>IF(tblSales[[#This Row],[Key]]="","",IFERROR(INDEX(ตารางรวม!$H:$H,MATCH(tblSales[[#This Row],[Key]],ตารางรวม!$Z:$Z,0))*tblSales[[#This Row],[จำนวนแก้ว]],0))</f>
        <v/>
      </c>
      <c r="V49" s="10" t="str">
        <f>IF(tblSales[[#This Row],[Key]]="","",IFERROR(INDEX(ตารางรวม!$I:$I,MATCH(tblSales[[#This Row],[Key]],ตารางรวม!$Z:$Z,0))*tblSales[[#This Row],[จำนวนแก้ว]],0))</f>
        <v/>
      </c>
      <c r="W49" s="10" t="str">
        <f>IF(tblSales[[#This Row],[Key]]="","",IFERROR(INDEX(ตารางรวม!$J:$J,MATCH(tblSales[[#This Row],[Key]],ตารางรวม!$Z:$Z,0))*tblSales[[#This Row],[จำนวนแก้ว]],0))</f>
        <v/>
      </c>
      <c r="X49" s="10" t="str">
        <f>IF(tblSales[[#This Row],[Key]]="","",IFERROR(INDEX(ตารางรวม!$K:$K,MATCH(tblSales[[#This Row],[Key]],ตารางรวม!$Z:$Z,0))*tblSales[[#This Row],[จำนวนแก้ว]],0))</f>
        <v/>
      </c>
      <c r="Y49" s="10" t="str">
        <f>IF(tblSales[[#This Row],[Key]]="","",IFERROR(INDEX(ตารางรวม!$L:$L,MATCH(tblSales[[#This Row],[Key]],ตารางรวม!$Z:$Z,0))*tblSales[[#This Row],[จำนวนแก้ว]],0))</f>
        <v/>
      </c>
      <c r="Z49" s="10" t="str">
        <f>IF(tblSales[[#This Row],[Key]]="","",IFERROR(INDEX(ตารางรวม!$M:$M,MATCH(tblSales[[#This Row],[Key]],ตารางรวม!$Z:$Z,0))*tblSales[[#This Row],[จำนวนแก้ว]],0))</f>
        <v/>
      </c>
      <c r="AA49" s="10" t="str">
        <f>IF(tblSales[[#This Row],[Key]]="","",IFERROR(INDEX(ตารางรวม!$N:$N,MATCH(tblSales[[#This Row],[Key]],ตารางรวม!$Z:$Z,0))*tblSales[[#This Row],[จำนวนแก้ว]],0))</f>
        <v/>
      </c>
      <c r="AB49" s="10" t="str">
        <f>IF(tblSales[[#This Row],[Key]]="","",IFERROR(INDEX(ตารางรวม!$O:$O,MATCH(tblSales[[#This Row],[Key]],ตารางรวม!$Z:$Z,0))*tblSales[[#This Row],[จำนวนแก้ว]],0))</f>
        <v/>
      </c>
      <c r="AC49" s="10" t="str">
        <f>IF(tblSales[[#This Row],[Key]]="","",IFERROR(INDEX(ตารางรวม!$P:$P,MATCH(tblSales[[#This Row],[Key]],ตารางรวม!$Z:$Z,0))*tblSales[[#This Row],[จำนวนแก้ว]],0))</f>
        <v/>
      </c>
      <c r="AD49" s="10" t="str">
        <f>IF(tblSales[[#This Row],[Key]]="","",IFERROR(INDEX(ตารางรวม!$Q:$Q,MATCH(tblSales[[#This Row],[Key]],ตารางรวม!$Z:$Z,0))*tblSales[[#This Row],[จำนวนแก้ว]],0))</f>
        <v/>
      </c>
      <c r="AE49" s="10" t="str">
        <f>IF(tblSales[[#This Row],[Key]]="","",IFERROR(INDEX(ตารางรวม!$R:$R,MATCH(tblSales[[#This Row],[Key]],ตารางรวม!$Z:$Z,0))*tblSales[[#This Row],[จำนวนแก้ว]],0))</f>
        <v/>
      </c>
      <c r="AF49" s="10" t="str">
        <f>IF(tblSales[[#This Row],[Key]]="","",IFERROR(INDEX(ตารางรวม!$S:$S,MATCH(tblSales[[#This Row],[Key]],ตารางรวม!$Z:$Z,0))*tblSales[[#This Row],[จำนวนแก้ว]],0))</f>
        <v/>
      </c>
      <c r="AG49" s="10" t="str">
        <f>IF(tblSales[[#This Row],[Key]]="","",IFERROR(INDEX(ตารางรวม!$T:$T,MATCH(tblSales[[#This Row],[Key]],ตารางรวม!$Z:$Z,0))*tblSales[[#This Row],[จำนวนแก้ว]],0))</f>
        <v/>
      </c>
      <c r="AH49" s="10" t="str">
        <f>IF(tblSales[[#This Row],[Key]]="","",IF(tblSales[[#This Row],[ขนาด]]="16 oz",tblSales[[#This Row],[จำนวนแก้ว]],0))</f>
        <v/>
      </c>
      <c r="AI49" s="10" t="str">
        <f>IF(tblSales[[#This Row],[Key]]="","",IF(tblSales[[#This Row],[ขนาด]]="20 oz",tblSales[[#This Row],[จำนวนแก้ว]],0))</f>
        <v/>
      </c>
      <c r="AJ49" s="10" t="str">
        <f>IF(tblSales[[#This Row],[Key]]="","",IF(tblSales[[#This Row],[ขนาด]]="22 oz",tblSales[[#This Row],[จำนวนแก้ว]],0))</f>
        <v/>
      </c>
    </row>
    <row r="50" spans="1:36" x14ac:dyDescent="0.25">
      <c r="A50" s="4" t="str">
        <f>IF(tblSales[[#This Row],[วันที่]]="","","S"&amp;TEXT(tblSales[[#This Row],[วันที่]],"yymmdd")&amp;"-"&amp;TEXT(ROW()-5,"000"))</f>
        <v/>
      </c>
      <c r="B50" s="16"/>
      <c r="C50" s="6"/>
      <c r="D50" s="6"/>
      <c r="E50" s="20"/>
      <c r="F50" s="6"/>
      <c r="G50" s="6"/>
      <c r="H50" s="6"/>
      <c r="I50" s="6"/>
      <c r="J5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0" s="8" t="str">
        <f>IF(tblSales[[#This Row],[Key]]="","",IFERROR(INDEX(ตารางรวม!$W:$W,MATCH(tblSales[[#This Row],[Key]],ตารางรวม!$Z:$Z,0)),"ไม่พบสูตร"))</f>
        <v/>
      </c>
      <c r="L50" s="8" t="str">
        <f>IF(tblSales[[#This Row],[Key]]="","",IFERROR(INDEX(ตารางรวม!$V:$V,MATCH(tblSales[[#This Row],[Key]],ตารางรวม!$Z:$Z,0)),"ไม่พบสูตร"))</f>
        <v/>
      </c>
      <c r="M50" s="8" t="str">
        <f>IF(tblSales[[#This Row],[Key]]="","",IFERROR(tblSales[[#This Row],[ราคาต่อแก้ว]]*tblSales[[#This Row],[จำนวนแก้ว]],""))</f>
        <v/>
      </c>
      <c r="N50" s="8" t="str">
        <f>IF(tblSales[[#This Row],[Key]]="","",IFERROR(tblSales[[#This Row],[ต้นทุนต่อแก้ว]]*tblSales[[#This Row],[จำนวนแก้ว]],""))</f>
        <v/>
      </c>
      <c r="O50" s="8" t="str">
        <f>IF(tblSales[[#This Row],[Key]]="","",IFERROR(tblSales[[#This Row],[ยอดขาย (บาท)]]-tblSales[[#This Row],[ต้นทุนรวม (บาท)]],""))</f>
        <v/>
      </c>
      <c r="P50" s="21" t="str">
        <f>IF(tblSales[[#This Row],[Key]]="","",IFERROR(tblSales[[#This Row],[กำไร (บาท)]]/tblSales[[#This Row],[ยอดขาย (บาท)]],""))</f>
        <v/>
      </c>
      <c r="Q50" s="10" t="str">
        <f>IF(tblSales[[#This Row],[Key]]="","",IFERROR(INDEX(ตารางรวม!$D:$D,MATCH(tblSales[[#This Row],[Key]],ตารางรวม!$Z:$Z,0))*tblSales[[#This Row],[จำนวนแก้ว]],0))</f>
        <v/>
      </c>
      <c r="R50" s="10" t="str">
        <f>IF(tblSales[[#This Row],[Key]]="","",IFERROR(INDEX(ตารางรวม!$E:$E,MATCH(tblSales[[#This Row],[Key]],ตารางรวม!$Z:$Z,0))*tblSales[[#This Row],[จำนวนแก้ว]],0))</f>
        <v/>
      </c>
      <c r="S50" s="10" t="str">
        <f>IF(tblSales[[#This Row],[Key]]="","",IFERROR(INDEX(ตารางรวม!$F:$F,MATCH(tblSales[[#This Row],[Key]],ตารางรวม!$Z:$Z,0))*tblSales[[#This Row],[จำนวนแก้ว]],0))</f>
        <v/>
      </c>
      <c r="T50" s="10" t="str">
        <f>IF(tblSales[[#This Row],[Key]]="","",IFERROR(INDEX(ตารางรวม!$G:$G,MATCH(tblSales[[#This Row],[Key]],ตารางรวม!$Z:$Z,0))*tblSales[[#This Row],[จำนวนแก้ว]],0))</f>
        <v/>
      </c>
      <c r="U50" s="10" t="str">
        <f>IF(tblSales[[#This Row],[Key]]="","",IFERROR(INDEX(ตารางรวม!$H:$H,MATCH(tblSales[[#This Row],[Key]],ตารางรวม!$Z:$Z,0))*tblSales[[#This Row],[จำนวนแก้ว]],0))</f>
        <v/>
      </c>
      <c r="V50" s="10" t="str">
        <f>IF(tblSales[[#This Row],[Key]]="","",IFERROR(INDEX(ตารางรวม!$I:$I,MATCH(tblSales[[#This Row],[Key]],ตารางรวม!$Z:$Z,0))*tblSales[[#This Row],[จำนวนแก้ว]],0))</f>
        <v/>
      </c>
      <c r="W50" s="10" t="str">
        <f>IF(tblSales[[#This Row],[Key]]="","",IFERROR(INDEX(ตารางรวม!$J:$J,MATCH(tblSales[[#This Row],[Key]],ตารางรวม!$Z:$Z,0))*tblSales[[#This Row],[จำนวนแก้ว]],0))</f>
        <v/>
      </c>
      <c r="X50" s="10" t="str">
        <f>IF(tblSales[[#This Row],[Key]]="","",IFERROR(INDEX(ตารางรวม!$K:$K,MATCH(tblSales[[#This Row],[Key]],ตารางรวม!$Z:$Z,0))*tblSales[[#This Row],[จำนวนแก้ว]],0))</f>
        <v/>
      </c>
      <c r="Y50" s="10" t="str">
        <f>IF(tblSales[[#This Row],[Key]]="","",IFERROR(INDEX(ตารางรวม!$L:$L,MATCH(tblSales[[#This Row],[Key]],ตารางรวม!$Z:$Z,0))*tblSales[[#This Row],[จำนวนแก้ว]],0))</f>
        <v/>
      </c>
      <c r="Z50" s="10" t="str">
        <f>IF(tblSales[[#This Row],[Key]]="","",IFERROR(INDEX(ตารางรวม!$M:$M,MATCH(tblSales[[#This Row],[Key]],ตารางรวม!$Z:$Z,0))*tblSales[[#This Row],[จำนวนแก้ว]],0))</f>
        <v/>
      </c>
      <c r="AA50" s="10" t="str">
        <f>IF(tblSales[[#This Row],[Key]]="","",IFERROR(INDEX(ตารางรวม!$N:$N,MATCH(tblSales[[#This Row],[Key]],ตารางรวม!$Z:$Z,0))*tblSales[[#This Row],[จำนวนแก้ว]],0))</f>
        <v/>
      </c>
      <c r="AB50" s="10" t="str">
        <f>IF(tblSales[[#This Row],[Key]]="","",IFERROR(INDEX(ตารางรวม!$O:$O,MATCH(tblSales[[#This Row],[Key]],ตารางรวม!$Z:$Z,0))*tblSales[[#This Row],[จำนวนแก้ว]],0))</f>
        <v/>
      </c>
      <c r="AC50" s="10" t="str">
        <f>IF(tblSales[[#This Row],[Key]]="","",IFERROR(INDEX(ตารางรวม!$P:$P,MATCH(tblSales[[#This Row],[Key]],ตารางรวม!$Z:$Z,0))*tblSales[[#This Row],[จำนวนแก้ว]],0))</f>
        <v/>
      </c>
      <c r="AD50" s="10" t="str">
        <f>IF(tblSales[[#This Row],[Key]]="","",IFERROR(INDEX(ตารางรวม!$Q:$Q,MATCH(tblSales[[#This Row],[Key]],ตารางรวม!$Z:$Z,0))*tblSales[[#This Row],[จำนวนแก้ว]],0))</f>
        <v/>
      </c>
      <c r="AE50" s="10" t="str">
        <f>IF(tblSales[[#This Row],[Key]]="","",IFERROR(INDEX(ตารางรวม!$R:$R,MATCH(tblSales[[#This Row],[Key]],ตารางรวม!$Z:$Z,0))*tblSales[[#This Row],[จำนวนแก้ว]],0))</f>
        <v/>
      </c>
      <c r="AF50" s="10" t="str">
        <f>IF(tblSales[[#This Row],[Key]]="","",IFERROR(INDEX(ตารางรวม!$S:$S,MATCH(tblSales[[#This Row],[Key]],ตารางรวม!$Z:$Z,0))*tblSales[[#This Row],[จำนวนแก้ว]],0))</f>
        <v/>
      </c>
      <c r="AG50" s="10" t="str">
        <f>IF(tblSales[[#This Row],[Key]]="","",IFERROR(INDEX(ตารางรวม!$T:$T,MATCH(tblSales[[#This Row],[Key]],ตารางรวม!$Z:$Z,0))*tblSales[[#This Row],[จำนวนแก้ว]],0))</f>
        <v/>
      </c>
      <c r="AH50" s="10" t="str">
        <f>IF(tblSales[[#This Row],[Key]]="","",IF(tblSales[[#This Row],[ขนาด]]="16 oz",tblSales[[#This Row],[จำนวนแก้ว]],0))</f>
        <v/>
      </c>
      <c r="AI50" s="10" t="str">
        <f>IF(tblSales[[#This Row],[Key]]="","",IF(tblSales[[#This Row],[ขนาด]]="20 oz",tblSales[[#This Row],[จำนวนแก้ว]],0))</f>
        <v/>
      </c>
      <c r="AJ50" s="10" t="str">
        <f>IF(tblSales[[#This Row],[Key]]="","",IF(tblSales[[#This Row],[ขนาด]]="22 oz",tblSales[[#This Row],[จำนวนแก้ว]],0))</f>
        <v/>
      </c>
    </row>
    <row r="51" spans="1:36" x14ac:dyDescent="0.25">
      <c r="A51" s="4" t="str">
        <f>IF(tblSales[[#This Row],[วันที่]]="","","S"&amp;TEXT(tblSales[[#This Row],[วันที่]],"yymmdd")&amp;"-"&amp;TEXT(ROW()-5,"000"))</f>
        <v/>
      </c>
      <c r="B51" s="16"/>
      <c r="C51" s="6"/>
      <c r="D51" s="6"/>
      <c r="E51" s="20"/>
      <c r="F51" s="6"/>
      <c r="G51" s="6"/>
      <c r="H51" s="6"/>
      <c r="I51" s="6"/>
      <c r="J5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1" s="8" t="str">
        <f>IF(tblSales[[#This Row],[Key]]="","",IFERROR(INDEX(ตารางรวม!$W:$W,MATCH(tblSales[[#This Row],[Key]],ตารางรวม!$Z:$Z,0)),"ไม่พบสูตร"))</f>
        <v/>
      </c>
      <c r="L51" s="8" t="str">
        <f>IF(tblSales[[#This Row],[Key]]="","",IFERROR(INDEX(ตารางรวม!$V:$V,MATCH(tblSales[[#This Row],[Key]],ตารางรวม!$Z:$Z,0)),"ไม่พบสูตร"))</f>
        <v/>
      </c>
      <c r="M51" s="8" t="str">
        <f>IF(tblSales[[#This Row],[Key]]="","",IFERROR(tblSales[[#This Row],[ราคาต่อแก้ว]]*tblSales[[#This Row],[จำนวนแก้ว]],""))</f>
        <v/>
      </c>
      <c r="N51" s="8" t="str">
        <f>IF(tblSales[[#This Row],[Key]]="","",IFERROR(tblSales[[#This Row],[ต้นทุนต่อแก้ว]]*tblSales[[#This Row],[จำนวนแก้ว]],""))</f>
        <v/>
      </c>
      <c r="O51" s="8" t="str">
        <f>IF(tblSales[[#This Row],[Key]]="","",IFERROR(tblSales[[#This Row],[ยอดขาย (บาท)]]-tblSales[[#This Row],[ต้นทุนรวม (บาท)]],""))</f>
        <v/>
      </c>
      <c r="P51" s="21" t="str">
        <f>IF(tblSales[[#This Row],[Key]]="","",IFERROR(tblSales[[#This Row],[กำไร (บาท)]]/tblSales[[#This Row],[ยอดขาย (บาท)]],""))</f>
        <v/>
      </c>
      <c r="Q51" s="10" t="str">
        <f>IF(tblSales[[#This Row],[Key]]="","",IFERROR(INDEX(ตารางรวม!$D:$D,MATCH(tblSales[[#This Row],[Key]],ตารางรวม!$Z:$Z,0))*tblSales[[#This Row],[จำนวนแก้ว]],0))</f>
        <v/>
      </c>
      <c r="R51" s="10" t="str">
        <f>IF(tblSales[[#This Row],[Key]]="","",IFERROR(INDEX(ตารางรวม!$E:$E,MATCH(tblSales[[#This Row],[Key]],ตารางรวม!$Z:$Z,0))*tblSales[[#This Row],[จำนวนแก้ว]],0))</f>
        <v/>
      </c>
      <c r="S51" s="10" t="str">
        <f>IF(tblSales[[#This Row],[Key]]="","",IFERROR(INDEX(ตารางรวม!$F:$F,MATCH(tblSales[[#This Row],[Key]],ตารางรวม!$Z:$Z,0))*tblSales[[#This Row],[จำนวนแก้ว]],0))</f>
        <v/>
      </c>
      <c r="T51" s="10" t="str">
        <f>IF(tblSales[[#This Row],[Key]]="","",IFERROR(INDEX(ตารางรวม!$G:$G,MATCH(tblSales[[#This Row],[Key]],ตารางรวม!$Z:$Z,0))*tblSales[[#This Row],[จำนวนแก้ว]],0))</f>
        <v/>
      </c>
      <c r="U51" s="10" t="str">
        <f>IF(tblSales[[#This Row],[Key]]="","",IFERROR(INDEX(ตารางรวม!$H:$H,MATCH(tblSales[[#This Row],[Key]],ตารางรวม!$Z:$Z,0))*tblSales[[#This Row],[จำนวนแก้ว]],0))</f>
        <v/>
      </c>
      <c r="V51" s="10" t="str">
        <f>IF(tblSales[[#This Row],[Key]]="","",IFERROR(INDEX(ตารางรวม!$I:$I,MATCH(tblSales[[#This Row],[Key]],ตารางรวม!$Z:$Z,0))*tblSales[[#This Row],[จำนวนแก้ว]],0))</f>
        <v/>
      </c>
      <c r="W51" s="10" t="str">
        <f>IF(tblSales[[#This Row],[Key]]="","",IFERROR(INDEX(ตารางรวม!$J:$J,MATCH(tblSales[[#This Row],[Key]],ตารางรวม!$Z:$Z,0))*tblSales[[#This Row],[จำนวนแก้ว]],0))</f>
        <v/>
      </c>
      <c r="X51" s="10" t="str">
        <f>IF(tblSales[[#This Row],[Key]]="","",IFERROR(INDEX(ตารางรวม!$K:$K,MATCH(tblSales[[#This Row],[Key]],ตารางรวม!$Z:$Z,0))*tblSales[[#This Row],[จำนวนแก้ว]],0))</f>
        <v/>
      </c>
      <c r="Y51" s="10" t="str">
        <f>IF(tblSales[[#This Row],[Key]]="","",IFERROR(INDEX(ตารางรวม!$L:$L,MATCH(tblSales[[#This Row],[Key]],ตารางรวม!$Z:$Z,0))*tblSales[[#This Row],[จำนวนแก้ว]],0))</f>
        <v/>
      </c>
      <c r="Z51" s="10" t="str">
        <f>IF(tblSales[[#This Row],[Key]]="","",IFERROR(INDEX(ตารางรวม!$M:$M,MATCH(tblSales[[#This Row],[Key]],ตารางรวม!$Z:$Z,0))*tblSales[[#This Row],[จำนวนแก้ว]],0))</f>
        <v/>
      </c>
      <c r="AA51" s="10" t="str">
        <f>IF(tblSales[[#This Row],[Key]]="","",IFERROR(INDEX(ตารางรวม!$N:$N,MATCH(tblSales[[#This Row],[Key]],ตารางรวม!$Z:$Z,0))*tblSales[[#This Row],[จำนวนแก้ว]],0))</f>
        <v/>
      </c>
      <c r="AB51" s="10" t="str">
        <f>IF(tblSales[[#This Row],[Key]]="","",IFERROR(INDEX(ตารางรวม!$O:$O,MATCH(tblSales[[#This Row],[Key]],ตารางรวม!$Z:$Z,0))*tblSales[[#This Row],[จำนวนแก้ว]],0))</f>
        <v/>
      </c>
      <c r="AC51" s="10" t="str">
        <f>IF(tblSales[[#This Row],[Key]]="","",IFERROR(INDEX(ตารางรวม!$P:$P,MATCH(tblSales[[#This Row],[Key]],ตารางรวม!$Z:$Z,0))*tblSales[[#This Row],[จำนวนแก้ว]],0))</f>
        <v/>
      </c>
      <c r="AD51" s="10" t="str">
        <f>IF(tblSales[[#This Row],[Key]]="","",IFERROR(INDEX(ตารางรวม!$Q:$Q,MATCH(tblSales[[#This Row],[Key]],ตารางรวม!$Z:$Z,0))*tblSales[[#This Row],[จำนวนแก้ว]],0))</f>
        <v/>
      </c>
      <c r="AE51" s="10" t="str">
        <f>IF(tblSales[[#This Row],[Key]]="","",IFERROR(INDEX(ตารางรวม!$R:$R,MATCH(tblSales[[#This Row],[Key]],ตารางรวม!$Z:$Z,0))*tblSales[[#This Row],[จำนวนแก้ว]],0))</f>
        <v/>
      </c>
      <c r="AF51" s="10" t="str">
        <f>IF(tblSales[[#This Row],[Key]]="","",IFERROR(INDEX(ตารางรวม!$S:$S,MATCH(tblSales[[#This Row],[Key]],ตารางรวม!$Z:$Z,0))*tblSales[[#This Row],[จำนวนแก้ว]],0))</f>
        <v/>
      </c>
      <c r="AG51" s="10" t="str">
        <f>IF(tblSales[[#This Row],[Key]]="","",IFERROR(INDEX(ตารางรวม!$T:$T,MATCH(tblSales[[#This Row],[Key]],ตารางรวม!$Z:$Z,0))*tblSales[[#This Row],[จำนวนแก้ว]],0))</f>
        <v/>
      </c>
      <c r="AH51" s="10" t="str">
        <f>IF(tblSales[[#This Row],[Key]]="","",IF(tblSales[[#This Row],[ขนาด]]="16 oz",tblSales[[#This Row],[จำนวนแก้ว]],0))</f>
        <v/>
      </c>
      <c r="AI51" s="10" t="str">
        <f>IF(tblSales[[#This Row],[Key]]="","",IF(tblSales[[#This Row],[ขนาด]]="20 oz",tblSales[[#This Row],[จำนวนแก้ว]],0))</f>
        <v/>
      </c>
      <c r="AJ51" s="10" t="str">
        <f>IF(tblSales[[#This Row],[Key]]="","",IF(tblSales[[#This Row],[ขนาด]]="22 oz",tblSales[[#This Row],[จำนวนแก้ว]],0))</f>
        <v/>
      </c>
    </row>
    <row r="52" spans="1:36" x14ac:dyDescent="0.25">
      <c r="A52" s="4" t="str">
        <f>IF(tblSales[[#This Row],[วันที่]]="","","S"&amp;TEXT(tblSales[[#This Row],[วันที่]],"yymmdd")&amp;"-"&amp;TEXT(ROW()-5,"000"))</f>
        <v/>
      </c>
      <c r="B52" s="16"/>
      <c r="C52" s="6"/>
      <c r="D52" s="6"/>
      <c r="E52" s="20"/>
      <c r="F52" s="6"/>
      <c r="G52" s="6"/>
      <c r="H52" s="6"/>
      <c r="I52" s="6"/>
      <c r="J5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2" s="8" t="str">
        <f>IF(tblSales[[#This Row],[Key]]="","",IFERROR(INDEX(ตารางรวม!$W:$W,MATCH(tblSales[[#This Row],[Key]],ตารางรวม!$Z:$Z,0)),"ไม่พบสูตร"))</f>
        <v/>
      </c>
      <c r="L52" s="8" t="str">
        <f>IF(tblSales[[#This Row],[Key]]="","",IFERROR(INDEX(ตารางรวม!$V:$V,MATCH(tblSales[[#This Row],[Key]],ตารางรวม!$Z:$Z,0)),"ไม่พบสูตร"))</f>
        <v/>
      </c>
      <c r="M52" s="8" t="str">
        <f>IF(tblSales[[#This Row],[Key]]="","",IFERROR(tblSales[[#This Row],[ราคาต่อแก้ว]]*tblSales[[#This Row],[จำนวนแก้ว]],""))</f>
        <v/>
      </c>
      <c r="N52" s="8" t="str">
        <f>IF(tblSales[[#This Row],[Key]]="","",IFERROR(tblSales[[#This Row],[ต้นทุนต่อแก้ว]]*tblSales[[#This Row],[จำนวนแก้ว]],""))</f>
        <v/>
      </c>
      <c r="O52" s="8" t="str">
        <f>IF(tblSales[[#This Row],[Key]]="","",IFERROR(tblSales[[#This Row],[ยอดขาย (บาท)]]-tblSales[[#This Row],[ต้นทุนรวม (บาท)]],""))</f>
        <v/>
      </c>
      <c r="P52" s="21" t="str">
        <f>IF(tblSales[[#This Row],[Key]]="","",IFERROR(tblSales[[#This Row],[กำไร (บาท)]]/tblSales[[#This Row],[ยอดขาย (บาท)]],""))</f>
        <v/>
      </c>
      <c r="Q52" s="10" t="str">
        <f>IF(tblSales[[#This Row],[Key]]="","",IFERROR(INDEX(ตารางรวม!$D:$D,MATCH(tblSales[[#This Row],[Key]],ตารางรวม!$Z:$Z,0))*tblSales[[#This Row],[จำนวนแก้ว]],0))</f>
        <v/>
      </c>
      <c r="R52" s="10" t="str">
        <f>IF(tblSales[[#This Row],[Key]]="","",IFERROR(INDEX(ตารางรวม!$E:$E,MATCH(tblSales[[#This Row],[Key]],ตารางรวม!$Z:$Z,0))*tblSales[[#This Row],[จำนวนแก้ว]],0))</f>
        <v/>
      </c>
      <c r="S52" s="10" t="str">
        <f>IF(tblSales[[#This Row],[Key]]="","",IFERROR(INDEX(ตารางรวม!$F:$F,MATCH(tblSales[[#This Row],[Key]],ตารางรวม!$Z:$Z,0))*tblSales[[#This Row],[จำนวนแก้ว]],0))</f>
        <v/>
      </c>
      <c r="T52" s="10" t="str">
        <f>IF(tblSales[[#This Row],[Key]]="","",IFERROR(INDEX(ตารางรวม!$G:$G,MATCH(tblSales[[#This Row],[Key]],ตารางรวม!$Z:$Z,0))*tblSales[[#This Row],[จำนวนแก้ว]],0))</f>
        <v/>
      </c>
      <c r="U52" s="10" t="str">
        <f>IF(tblSales[[#This Row],[Key]]="","",IFERROR(INDEX(ตารางรวม!$H:$H,MATCH(tblSales[[#This Row],[Key]],ตารางรวม!$Z:$Z,0))*tblSales[[#This Row],[จำนวนแก้ว]],0))</f>
        <v/>
      </c>
      <c r="V52" s="10" t="str">
        <f>IF(tblSales[[#This Row],[Key]]="","",IFERROR(INDEX(ตารางรวม!$I:$I,MATCH(tblSales[[#This Row],[Key]],ตารางรวม!$Z:$Z,0))*tblSales[[#This Row],[จำนวนแก้ว]],0))</f>
        <v/>
      </c>
      <c r="W52" s="10" t="str">
        <f>IF(tblSales[[#This Row],[Key]]="","",IFERROR(INDEX(ตารางรวม!$J:$J,MATCH(tblSales[[#This Row],[Key]],ตารางรวม!$Z:$Z,0))*tblSales[[#This Row],[จำนวนแก้ว]],0))</f>
        <v/>
      </c>
      <c r="X52" s="10" t="str">
        <f>IF(tblSales[[#This Row],[Key]]="","",IFERROR(INDEX(ตารางรวม!$K:$K,MATCH(tblSales[[#This Row],[Key]],ตารางรวม!$Z:$Z,0))*tblSales[[#This Row],[จำนวนแก้ว]],0))</f>
        <v/>
      </c>
      <c r="Y52" s="10" t="str">
        <f>IF(tblSales[[#This Row],[Key]]="","",IFERROR(INDEX(ตารางรวม!$L:$L,MATCH(tblSales[[#This Row],[Key]],ตารางรวม!$Z:$Z,0))*tblSales[[#This Row],[จำนวนแก้ว]],0))</f>
        <v/>
      </c>
      <c r="Z52" s="10" t="str">
        <f>IF(tblSales[[#This Row],[Key]]="","",IFERROR(INDEX(ตารางรวม!$M:$M,MATCH(tblSales[[#This Row],[Key]],ตารางรวม!$Z:$Z,0))*tblSales[[#This Row],[จำนวนแก้ว]],0))</f>
        <v/>
      </c>
      <c r="AA52" s="10" t="str">
        <f>IF(tblSales[[#This Row],[Key]]="","",IFERROR(INDEX(ตารางรวม!$N:$N,MATCH(tblSales[[#This Row],[Key]],ตารางรวม!$Z:$Z,0))*tblSales[[#This Row],[จำนวนแก้ว]],0))</f>
        <v/>
      </c>
      <c r="AB52" s="10" t="str">
        <f>IF(tblSales[[#This Row],[Key]]="","",IFERROR(INDEX(ตารางรวม!$O:$O,MATCH(tblSales[[#This Row],[Key]],ตารางรวม!$Z:$Z,0))*tblSales[[#This Row],[จำนวนแก้ว]],0))</f>
        <v/>
      </c>
      <c r="AC52" s="10" t="str">
        <f>IF(tblSales[[#This Row],[Key]]="","",IFERROR(INDEX(ตารางรวม!$P:$P,MATCH(tblSales[[#This Row],[Key]],ตารางรวม!$Z:$Z,0))*tblSales[[#This Row],[จำนวนแก้ว]],0))</f>
        <v/>
      </c>
      <c r="AD52" s="10" t="str">
        <f>IF(tblSales[[#This Row],[Key]]="","",IFERROR(INDEX(ตารางรวม!$Q:$Q,MATCH(tblSales[[#This Row],[Key]],ตารางรวม!$Z:$Z,0))*tblSales[[#This Row],[จำนวนแก้ว]],0))</f>
        <v/>
      </c>
      <c r="AE52" s="10" t="str">
        <f>IF(tblSales[[#This Row],[Key]]="","",IFERROR(INDEX(ตารางรวม!$R:$R,MATCH(tblSales[[#This Row],[Key]],ตารางรวม!$Z:$Z,0))*tblSales[[#This Row],[จำนวนแก้ว]],0))</f>
        <v/>
      </c>
      <c r="AF52" s="10" t="str">
        <f>IF(tblSales[[#This Row],[Key]]="","",IFERROR(INDEX(ตารางรวม!$S:$S,MATCH(tblSales[[#This Row],[Key]],ตารางรวม!$Z:$Z,0))*tblSales[[#This Row],[จำนวนแก้ว]],0))</f>
        <v/>
      </c>
      <c r="AG52" s="10" t="str">
        <f>IF(tblSales[[#This Row],[Key]]="","",IFERROR(INDEX(ตารางรวม!$T:$T,MATCH(tblSales[[#This Row],[Key]],ตารางรวม!$Z:$Z,0))*tblSales[[#This Row],[จำนวนแก้ว]],0))</f>
        <v/>
      </c>
      <c r="AH52" s="10" t="str">
        <f>IF(tblSales[[#This Row],[Key]]="","",IF(tblSales[[#This Row],[ขนาด]]="16 oz",tblSales[[#This Row],[จำนวนแก้ว]],0))</f>
        <v/>
      </c>
      <c r="AI52" s="10" t="str">
        <f>IF(tblSales[[#This Row],[Key]]="","",IF(tblSales[[#This Row],[ขนาด]]="20 oz",tblSales[[#This Row],[จำนวนแก้ว]],0))</f>
        <v/>
      </c>
      <c r="AJ52" s="10" t="str">
        <f>IF(tblSales[[#This Row],[Key]]="","",IF(tblSales[[#This Row],[ขนาด]]="22 oz",tblSales[[#This Row],[จำนวนแก้ว]],0))</f>
        <v/>
      </c>
    </row>
    <row r="53" spans="1:36" x14ac:dyDescent="0.25">
      <c r="A53" s="4" t="str">
        <f>IF(tblSales[[#This Row],[วันที่]]="","","S"&amp;TEXT(tblSales[[#This Row],[วันที่]],"yymmdd")&amp;"-"&amp;TEXT(ROW()-5,"000"))</f>
        <v/>
      </c>
      <c r="B53" s="16"/>
      <c r="C53" s="6"/>
      <c r="D53" s="6"/>
      <c r="E53" s="20"/>
      <c r="F53" s="6"/>
      <c r="G53" s="6"/>
      <c r="H53" s="6"/>
      <c r="I53" s="6"/>
      <c r="J5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3" s="8" t="str">
        <f>IF(tblSales[[#This Row],[Key]]="","",IFERROR(INDEX(ตารางรวม!$W:$W,MATCH(tblSales[[#This Row],[Key]],ตารางรวม!$Z:$Z,0)),"ไม่พบสูตร"))</f>
        <v/>
      </c>
      <c r="L53" s="8" t="str">
        <f>IF(tblSales[[#This Row],[Key]]="","",IFERROR(INDEX(ตารางรวม!$V:$V,MATCH(tblSales[[#This Row],[Key]],ตารางรวม!$Z:$Z,0)),"ไม่พบสูตร"))</f>
        <v/>
      </c>
      <c r="M53" s="8" t="str">
        <f>IF(tblSales[[#This Row],[Key]]="","",IFERROR(tblSales[[#This Row],[ราคาต่อแก้ว]]*tblSales[[#This Row],[จำนวนแก้ว]],""))</f>
        <v/>
      </c>
      <c r="N53" s="8" t="str">
        <f>IF(tblSales[[#This Row],[Key]]="","",IFERROR(tblSales[[#This Row],[ต้นทุนต่อแก้ว]]*tblSales[[#This Row],[จำนวนแก้ว]],""))</f>
        <v/>
      </c>
      <c r="O53" s="8" t="str">
        <f>IF(tblSales[[#This Row],[Key]]="","",IFERROR(tblSales[[#This Row],[ยอดขาย (บาท)]]-tblSales[[#This Row],[ต้นทุนรวม (บาท)]],""))</f>
        <v/>
      </c>
      <c r="P53" s="21" t="str">
        <f>IF(tblSales[[#This Row],[Key]]="","",IFERROR(tblSales[[#This Row],[กำไร (บาท)]]/tblSales[[#This Row],[ยอดขาย (บาท)]],""))</f>
        <v/>
      </c>
      <c r="Q53" s="10" t="str">
        <f>IF(tblSales[[#This Row],[Key]]="","",IFERROR(INDEX(ตารางรวม!$D:$D,MATCH(tblSales[[#This Row],[Key]],ตารางรวม!$Z:$Z,0))*tblSales[[#This Row],[จำนวนแก้ว]],0))</f>
        <v/>
      </c>
      <c r="R53" s="10" t="str">
        <f>IF(tblSales[[#This Row],[Key]]="","",IFERROR(INDEX(ตารางรวม!$E:$E,MATCH(tblSales[[#This Row],[Key]],ตารางรวม!$Z:$Z,0))*tblSales[[#This Row],[จำนวนแก้ว]],0))</f>
        <v/>
      </c>
      <c r="S53" s="10" t="str">
        <f>IF(tblSales[[#This Row],[Key]]="","",IFERROR(INDEX(ตารางรวม!$F:$F,MATCH(tblSales[[#This Row],[Key]],ตารางรวม!$Z:$Z,0))*tblSales[[#This Row],[จำนวนแก้ว]],0))</f>
        <v/>
      </c>
      <c r="T53" s="10" t="str">
        <f>IF(tblSales[[#This Row],[Key]]="","",IFERROR(INDEX(ตารางรวม!$G:$G,MATCH(tblSales[[#This Row],[Key]],ตารางรวม!$Z:$Z,0))*tblSales[[#This Row],[จำนวนแก้ว]],0))</f>
        <v/>
      </c>
      <c r="U53" s="10" t="str">
        <f>IF(tblSales[[#This Row],[Key]]="","",IFERROR(INDEX(ตารางรวม!$H:$H,MATCH(tblSales[[#This Row],[Key]],ตารางรวม!$Z:$Z,0))*tblSales[[#This Row],[จำนวนแก้ว]],0))</f>
        <v/>
      </c>
      <c r="V53" s="10" t="str">
        <f>IF(tblSales[[#This Row],[Key]]="","",IFERROR(INDEX(ตารางรวม!$I:$I,MATCH(tblSales[[#This Row],[Key]],ตารางรวม!$Z:$Z,0))*tblSales[[#This Row],[จำนวนแก้ว]],0))</f>
        <v/>
      </c>
      <c r="W53" s="10" t="str">
        <f>IF(tblSales[[#This Row],[Key]]="","",IFERROR(INDEX(ตารางรวม!$J:$J,MATCH(tblSales[[#This Row],[Key]],ตารางรวม!$Z:$Z,0))*tblSales[[#This Row],[จำนวนแก้ว]],0))</f>
        <v/>
      </c>
      <c r="X53" s="10" t="str">
        <f>IF(tblSales[[#This Row],[Key]]="","",IFERROR(INDEX(ตารางรวม!$K:$K,MATCH(tblSales[[#This Row],[Key]],ตารางรวม!$Z:$Z,0))*tblSales[[#This Row],[จำนวนแก้ว]],0))</f>
        <v/>
      </c>
      <c r="Y53" s="10" t="str">
        <f>IF(tblSales[[#This Row],[Key]]="","",IFERROR(INDEX(ตารางรวม!$L:$L,MATCH(tblSales[[#This Row],[Key]],ตารางรวม!$Z:$Z,0))*tblSales[[#This Row],[จำนวนแก้ว]],0))</f>
        <v/>
      </c>
      <c r="Z53" s="10" t="str">
        <f>IF(tblSales[[#This Row],[Key]]="","",IFERROR(INDEX(ตารางรวม!$M:$M,MATCH(tblSales[[#This Row],[Key]],ตารางรวม!$Z:$Z,0))*tblSales[[#This Row],[จำนวนแก้ว]],0))</f>
        <v/>
      </c>
      <c r="AA53" s="10" t="str">
        <f>IF(tblSales[[#This Row],[Key]]="","",IFERROR(INDEX(ตารางรวม!$N:$N,MATCH(tblSales[[#This Row],[Key]],ตารางรวม!$Z:$Z,0))*tblSales[[#This Row],[จำนวนแก้ว]],0))</f>
        <v/>
      </c>
      <c r="AB53" s="10" t="str">
        <f>IF(tblSales[[#This Row],[Key]]="","",IFERROR(INDEX(ตารางรวม!$O:$O,MATCH(tblSales[[#This Row],[Key]],ตารางรวม!$Z:$Z,0))*tblSales[[#This Row],[จำนวนแก้ว]],0))</f>
        <v/>
      </c>
      <c r="AC53" s="10" t="str">
        <f>IF(tblSales[[#This Row],[Key]]="","",IFERROR(INDEX(ตารางรวม!$P:$P,MATCH(tblSales[[#This Row],[Key]],ตารางรวม!$Z:$Z,0))*tblSales[[#This Row],[จำนวนแก้ว]],0))</f>
        <v/>
      </c>
      <c r="AD53" s="10" t="str">
        <f>IF(tblSales[[#This Row],[Key]]="","",IFERROR(INDEX(ตารางรวม!$Q:$Q,MATCH(tblSales[[#This Row],[Key]],ตารางรวม!$Z:$Z,0))*tblSales[[#This Row],[จำนวนแก้ว]],0))</f>
        <v/>
      </c>
      <c r="AE53" s="10" t="str">
        <f>IF(tblSales[[#This Row],[Key]]="","",IFERROR(INDEX(ตารางรวม!$R:$R,MATCH(tblSales[[#This Row],[Key]],ตารางรวม!$Z:$Z,0))*tblSales[[#This Row],[จำนวนแก้ว]],0))</f>
        <v/>
      </c>
      <c r="AF53" s="10" t="str">
        <f>IF(tblSales[[#This Row],[Key]]="","",IFERROR(INDEX(ตารางรวม!$S:$S,MATCH(tblSales[[#This Row],[Key]],ตารางรวม!$Z:$Z,0))*tblSales[[#This Row],[จำนวนแก้ว]],0))</f>
        <v/>
      </c>
      <c r="AG53" s="10" t="str">
        <f>IF(tblSales[[#This Row],[Key]]="","",IFERROR(INDEX(ตารางรวม!$T:$T,MATCH(tblSales[[#This Row],[Key]],ตารางรวม!$Z:$Z,0))*tblSales[[#This Row],[จำนวนแก้ว]],0))</f>
        <v/>
      </c>
      <c r="AH53" s="10" t="str">
        <f>IF(tblSales[[#This Row],[Key]]="","",IF(tblSales[[#This Row],[ขนาด]]="16 oz",tblSales[[#This Row],[จำนวนแก้ว]],0))</f>
        <v/>
      </c>
      <c r="AI53" s="10" t="str">
        <f>IF(tblSales[[#This Row],[Key]]="","",IF(tblSales[[#This Row],[ขนาด]]="20 oz",tblSales[[#This Row],[จำนวนแก้ว]],0))</f>
        <v/>
      </c>
      <c r="AJ53" s="10" t="str">
        <f>IF(tblSales[[#This Row],[Key]]="","",IF(tblSales[[#This Row],[ขนาด]]="22 oz",tblSales[[#This Row],[จำนวนแก้ว]],0))</f>
        <v/>
      </c>
    </row>
    <row r="54" spans="1:36" x14ac:dyDescent="0.25">
      <c r="A54" s="4" t="str">
        <f>IF(tblSales[[#This Row],[วันที่]]="","","S"&amp;TEXT(tblSales[[#This Row],[วันที่]],"yymmdd")&amp;"-"&amp;TEXT(ROW()-5,"000"))</f>
        <v/>
      </c>
      <c r="B54" s="16"/>
      <c r="C54" s="6"/>
      <c r="D54" s="6"/>
      <c r="E54" s="20"/>
      <c r="F54" s="6"/>
      <c r="G54" s="6"/>
      <c r="H54" s="6"/>
      <c r="I54" s="6"/>
      <c r="J5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4" s="8" t="str">
        <f>IF(tblSales[[#This Row],[Key]]="","",IFERROR(INDEX(ตารางรวม!$W:$W,MATCH(tblSales[[#This Row],[Key]],ตารางรวม!$Z:$Z,0)),"ไม่พบสูตร"))</f>
        <v/>
      </c>
      <c r="L54" s="8" t="str">
        <f>IF(tblSales[[#This Row],[Key]]="","",IFERROR(INDEX(ตารางรวม!$V:$V,MATCH(tblSales[[#This Row],[Key]],ตารางรวม!$Z:$Z,0)),"ไม่พบสูตร"))</f>
        <v/>
      </c>
      <c r="M54" s="8" t="str">
        <f>IF(tblSales[[#This Row],[Key]]="","",IFERROR(tblSales[[#This Row],[ราคาต่อแก้ว]]*tblSales[[#This Row],[จำนวนแก้ว]],""))</f>
        <v/>
      </c>
      <c r="N54" s="8" t="str">
        <f>IF(tblSales[[#This Row],[Key]]="","",IFERROR(tblSales[[#This Row],[ต้นทุนต่อแก้ว]]*tblSales[[#This Row],[จำนวนแก้ว]],""))</f>
        <v/>
      </c>
      <c r="O54" s="8" t="str">
        <f>IF(tblSales[[#This Row],[Key]]="","",IFERROR(tblSales[[#This Row],[ยอดขาย (บาท)]]-tblSales[[#This Row],[ต้นทุนรวม (บาท)]],""))</f>
        <v/>
      </c>
      <c r="P54" s="21" t="str">
        <f>IF(tblSales[[#This Row],[Key]]="","",IFERROR(tblSales[[#This Row],[กำไร (บาท)]]/tblSales[[#This Row],[ยอดขาย (บาท)]],""))</f>
        <v/>
      </c>
      <c r="Q54" s="10" t="str">
        <f>IF(tblSales[[#This Row],[Key]]="","",IFERROR(INDEX(ตารางรวม!$D:$D,MATCH(tblSales[[#This Row],[Key]],ตารางรวม!$Z:$Z,0))*tblSales[[#This Row],[จำนวนแก้ว]],0))</f>
        <v/>
      </c>
      <c r="R54" s="10" t="str">
        <f>IF(tblSales[[#This Row],[Key]]="","",IFERROR(INDEX(ตารางรวม!$E:$E,MATCH(tblSales[[#This Row],[Key]],ตารางรวม!$Z:$Z,0))*tblSales[[#This Row],[จำนวนแก้ว]],0))</f>
        <v/>
      </c>
      <c r="S54" s="10" t="str">
        <f>IF(tblSales[[#This Row],[Key]]="","",IFERROR(INDEX(ตารางรวม!$F:$F,MATCH(tblSales[[#This Row],[Key]],ตารางรวม!$Z:$Z,0))*tblSales[[#This Row],[จำนวนแก้ว]],0))</f>
        <v/>
      </c>
      <c r="T54" s="10" t="str">
        <f>IF(tblSales[[#This Row],[Key]]="","",IFERROR(INDEX(ตารางรวม!$G:$G,MATCH(tblSales[[#This Row],[Key]],ตารางรวม!$Z:$Z,0))*tblSales[[#This Row],[จำนวนแก้ว]],0))</f>
        <v/>
      </c>
      <c r="U54" s="10" t="str">
        <f>IF(tblSales[[#This Row],[Key]]="","",IFERROR(INDEX(ตารางรวม!$H:$H,MATCH(tblSales[[#This Row],[Key]],ตารางรวม!$Z:$Z,0))*tblSales[[#This Row],[จำนวนแก้ว]],0))</f>
        <v/>
      </c>
      <c r="V54" s="10" t="str">
        <f>IF(tblSales[[#This Row],[Key]]="","",IFERROR(INDEX(ตารางรวม!$I:$I,MATCH(tblSales[[#This Row],[Key]],ตารางรวม!$Z:$Z,0))*tblSales[[#This Row],[จำนวนแก้ว]],0))</f>
        <v/>
      </c>
      <c r="W54" s="10" t="str">
        <f>IF(tblSales[[#This Row],[Key]]="","",IFERROR(INDEX(ตารางรวม!$J:$J,MATCH(tblSales[[#This Row],[Key]],ตารางรวม!$Z:$Z,0))*tblSales[[#This Row],[จำนวนแก้ว]],0))</f>
        <v/>
      </c>
      <c r="X54" s="10" t="str">
        <f>IF(tblSales[[#This Row],[Key]]="","",IFERROR(INDEX(ตารางรวม!$K:$K,MATCH(tblSales[[#This Row],[Key]],ตารางรวม!$Z:$Z,0))*tblSales[[#This Row],[จำนวนแก้ว]],0))</f>
        <v/>
      </c>
      <c r="Y54" s="10" t="str">
        <f>IF(tblSales[[#This Row],[Key]]="","",IFERROR(INDEX(ตารางรวม!$L:$L,MATCH(tblSales[[#This Row],[Key]],ตารางรวม!$Z:$Z,0))*tblSales[[#This Row],[จำนวนแก้ว]],0))</f>
        <v/>
      </c>
      <c r="Z54" s="10" t="str">
        <f>IF(tblSales[[#This Row],[Key]]="","",IFERROR(INDEX(ตารางรวม!$M:$M,MATCH(tblSales[[#This Row],[Key]],ตารางรวม!$Z:$Z,0))*tblSales[[#This Row],[จำนวนแก้ว]],0))</f>
        <v/>
      </c>
      <c r="AA54" s="10" t="str">
        <f>IF(tblSales[[#This Row],[Key]]="","",IFERROR(INDEX(ตารางรวม!$N:$N,MATCH(tblSales[[#This Row],[Key]],ตารางรวม!$Z:$Z,0))*tblSales[[#This Row],[จำนวนแก้ว]],0))</f>
        <v/>
      </c>
      <c r="AB54" s="10" t="str">
        <f>IF(tblSales[[#This Row],[Key]]="","",IFERROR(INDEX(ตารางรวม!$O:$O,MATCH(tblSales[[#This Row],[Key]],ตารางรวม!$Z:$Z,0))*tblSales[[#This Row],[จำนวนแก้ว]],0))</f>
        <v/>
      </c>
      <c r="AC54" s="10" t="str">
        <f>IF(tblSales[[#This Row],[Key]]="","",IFERROR(INDEX(ตารางรวม!$P:$P,MATCH(tblSales[[#This Row],[Key]],ตารางรวม!$Z:$Z,0))*tblSales[[#This Row],[จำนวนแก้ว]],0))</f>
        <v/>
      </c>
      <c r="AD54" s="10" t="str">
        <f>IF(tblSales[[#This Row],[Key]]="","",IFERROR(INDEX(ตารางรวม!$Q:$Q,MATCH(tblSales[[#This Row],[Key]],ตารางรวม!$Z:$Z,0))*tblSales[[#This Row],[จำนวนแก้ว]],0))</f>
        <v/>
      </c>
      <c r="AE54" s="10" t="str">
        <f>IF(tblSales[[#This Row],[Key]]="","",IFERROR(INDEX(ตารางรวม!$R:$R,MATCH(tblSales[[#This Row],[Key]],ตารางรวม!$Z:$Z,0))*tblSales[[#This Row],[จำนวนแก้ว]],0))</f>
        <v/>
      </c>
      <c r="AF54" s="10" t="str">
        <f>IF(tblSales[[#This Row],[Key]]="","",IFERROR(INDEX(ตารางรวม!$S:$S,MATCH(tblSales[[#This Row],[Key]],ตารางรวม!$Z:$Z,0))*tblSales[[#This Row],[จำนวนแก้ว]],0))</f>
        <v/>
      </c>
      <c r="AG54" s="10" t="str">
        <f>IF(tblSales[[#This Row],[Key]]="","",IFERROR(INDEX(ตารางรวม!$T:$T,MATCH(tblSales[[#This Row],[Key]],ตารางรวม!$Z:$Z,0))*tblSales[[#This Row],[จำนวนแก้ว]],0))</f>
        <v/>
      </c>
      <c r="AH54" s="10" t="str">
        <f>IF(tblSales[[#This Row],[Key]]="","",IF(tblSales[[#This Row],[ขนาด]]="16 oz",tblSales[[#This Row],[จำนวนแก้ว]],0))</f>
        <v/>
      </c>
      <c r="AI54" s="10" t="str">
        <f>IF(tblSales[[#This Row],[Key]]="","",IF(tblSales[[#This Row],[ขนาด]]="20 oz",tblSales[[#This Row],[จำนวนแก้ว]],0))</f>
        <v/>
      </c>
      <c r="AJ54" s="10" t="str">
        <f>IF(tblSales[[#This Row],[Key]]="","",IF(tblSales[[#This Row],[ขนาด]]="22 oz",tblSales[[#This Row],[จำนวนแก้ว]],0))</f>
        <v/>
      </c>
    </row>
    <row r="55" spans="1:36" x14ac:dyDescent="0.25">
      <c r="A55" s="4" t="str">
        <f>IF(tblSales[[#This Row],[วันที่]]="","","S"&amp;TEXT(tblSales[[#This Row],[วันที่]],"yymmdd")&amp;"-"&amp;TEXT(ROW()-5,"000"))</f>
        <v/>
      </c>
      <c r="B55" s="16"/>
      <c r="C55" s="6"/>
      <c r="D55" s="6"/>
      <c r="E55" s="20"/>
      <c r="F55" s="6"/>
      <c r="G55" s="6"/>
      <c r="H55" s="6"/>
      <c r="I55" s="6"/>
      <c r="J5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5" s="8" t="str">
        <f>IF(tblSales[[#This Row],[Key]]="","",IFERROR(INDEX(ตารางรวม!$W:$W,MATCH(tblSales[[#This Row],[Key]],ตารางรวม!$Z:$Z,0)),"ไม่พบสูตร"))</f>
        <v/>
      </c>
      <c r="L55" s="8" t="str">
        <f>IF(tblSales[[#This Row],[Key]]="","",IFERROR(INDEX(ตารางรวม!$V:$V,MATCH(tblSales[[#This Row],[Key]],ตารางรวม!$Z:$Z,0)),"ไม่พบสูตร"))</f>
        <v/>
      </c>
      <c r="M55" s="8" t="str">
        <f>IF(tblSales[[#This Row],[Key]]="","",IFERROR(tblSales[[#This Row],[ราคาต่อแก้ว]]*tblSales[[#This Row],[จำนวนแก้ว]],""))</f>
        <v/>
      </c>
      <c r="N55" s="8" t="str">
        <f>IF(tblSales[[#This Row],[Key]]="","",IFERROR(tblSales[[#This Row],[ต้นทุนต่อแก้ว]]*tblSales[[#This Row],[จำนวนแก้ว]],""))</f>
        <v/>
      </c>
      <c r="O55" s="8" t="str">
        <f>IF(tblSales[[#This Row],[Key]]="","",IFERROR(tblSales[[#This Row],[ยอดขาย (บาท)]]-tblSales[[#This Row],[ต้นทุนรวม (บาท)]],""))</f>
        <v/>
      </c>
      <c r="P55" s="21" t="str">
        <f>IF(tblSales[[#This Row],[Key]]="","",IFERROR(tblSales[[#This Row],[กำไร (บาท)]]/tblSales[[#This Row],[ยอดขาย (บาท)]],""))</f>
        <v/>
      </c>
      <c r="Q55" s="10" t="str">
        <f>IF(tblSales[[#This Row],[Key]]="","",IFERROR(INDEX(ตารางรวม!$D:$D,MATCH(tblSales[[#This Row],[Key]],ตารางรวม!$Z:$Z,0))*tblSales[[#This Row],[จำนวนแก้ว]],0))</f>
        <v/>
      </c>
      <c r="R55" s="10" t="str">
        <f>IF(tblSales[[#This Row],[Key]]="","",IFERROR(INDEX(ตารางรวม!$E:$E,MATCH(tblSales[[#This Row],[Key]],ตารางรวม!$Z:$Z,0))*tblSales[[#This Row],[จำนวนแก้ว]],0))</f>
        <v/>
      </c>
      <c r="S55" s="10" t="str">
        <f>IF(tblSales[[#This Row],[Key]]="","",IFERROR(INDEX(ตารางรวม!$F:$F,MATCH(tblSales[[#This Row],[Key]],ตารางรวม!$Z:$Z,0))*tblSales[[#This Row],[จำนวนแก้ว]],0))</f>
        <v/>
      </c>
      <c r="T55" s="10" t="str">
        <f>IF(tblSales[[#This Row],[Key]]="","",IFERROR(INDEX(ตารางรวม!$G:$G,MATCH(tblSales[[#This Row],[Key]],ตารางรวม!$Z:$Z,0))*tblSales[[#This Row],[จำนวนแก้ว]],0))</f>
        <v/>
      </c>
      <c r="U55" s="10" t="str">
        <f>IF(tblSales[[#This Row],[Key]]="","",IFERROR(INDEX(ตารางรวม!$H:$H,MATCH(tblSales[[#This Row],[Key]],ตารางรวม!$Z:$Z,0))*tblSales[[#This Row],[จำนวนแก้ว]],0))</f>
        <v/>
      </c>
      <c r="V55" s="10" t="str">
        <f>IF(tblSales[[#This Row],[Key]]="","",IFERROR(INDEX(ตารางรวม!$I:$I,MATCH(tblSales[[#This Row],[Key]],ตารางรวม!$Z:$Z,0))*tblSales[[#This Row],[จำนวนแก้ว]],0))</f>
        <v/>
      </c>
      <c r="W55" s="10" t="str">
        <f>IF(tblSales[[#This Row],[Key]]="","",IFERROR(INDEX(ตารางรวม!$J:$J,MATCH(tblSales[[#This Row],[Key]],ตารางรวม!$Z:$Z,0))*tblSales[[#This Row],[จำนวนแก้ว]],0))</f>
        <v/>
      </c>
      <c r="X55" s="10" t="str">
        <f>IF(tblSales[[#This Row],[Key]]="","",IFERROR(INDEX(ตารางรวม!$K:$K,MATCH(tblSales[[#This Row],[Key]],ตารางรวม!$Z:$Z,0))*tblSales[[#This Row],[จำนวนแก้ว]],0))</f>
        <v/>
      </c>
      <c r="Y55" s="10" t="str">
        <f>IF(tblSales[[#This Row],[Key]]="","",IFERROR(INDEX(ตารางรวม!$L:$L,MATCH(tblSales[[#This Row],[Key]],ตารางรวม!$Z:$Z,0))*tblSales[[#This Row],[จำนวนแก้ว]],0))</f>
        <v/>
      </c>
      <c r="Z55" s="10" t="str">
        <f>IF(tblSales[[#This Row],[Key]]="","",IFERROR(INDEX(ตารางรวม!$M:$M,MATCH(tblSales[[#This Row],[Key]],ตารางรวม!$Z:$Z,0))*tblSales[[#This Row],[จำนวนแก้ว]],0))</f>
        <v/>
      </c>
      <c r="AA55" s="10" t="str">
        <f>IF(tblSales[[#This Row],[Key]]="","",IFERROR(INDEX(ตารางรวม!$N:$N,MATCH(tblSales[[#This Row],[Key]],ตารางรวม!$Z:$Z,0))*tblSales[[#This Row],[จำนวนแก้ว]],0))</f>
        <v/>
      </c>
      <c r="AB55" s="10" t="str">
        <f>IF(tblSales[[#This Row],[Key]]="","",IFERROR(INDEX(ตารางรวม!$O:$O,MATCH(tblSales[[#This Row],[Key]],ตารางรวม!$Z:$Z,0))*tblSales[[#This Row],[จำนวนแก้ว]],0))</f>
        <v/>
      </c>
      <c r="AC55" s="10" t="str">
        <f>IF(tblSales[[#This Row],[Key]]="","",IFERROR(INDEX(ตารางรวม!$P:$P,MATCH(tblSales[[#This Row],[Key]],ตารางรวม!$Z:$Z,0))*tblSales[[#This Row],[จำนวนแก้ว]],0))</f>
        <v/>
      </c>
      <c r="AD55" s="10" t="str">
        <f>IF(tblSales[[#This Row],[Key]]="","",IFERROR(INDEX(ตารางรวม!$Q:$Q,MATCH(tblSales[[#This Row],[Key]],ตารางรวม!$Z:$Z,0))*tblSales[[#This Row],[จำนวนแก้ว]],0))</f>
        <v/>
      </c>
      <c r="AE55" s="10" t="str">
        <f>IF(tblSales[[#This Row],[Key]]="","",IFERROR(INDEX(ตารางรวม!$R:$R,MATCH(tblSales[[#This Row],[Key]],ตารางรวม!$Z:$Z,0))*tblSales[[#This Row],[จำนวนแก้ว]],0))</f>
        <v/>
      </c>
      <c r="AF55" s="10" t="str">
        <f>IF(tblSales[[#This Row],[Key]]="","",IFERROR(INDEX(ตารางรวม!$S:$S,MATCH(tblSales[[#This Row],[Key]],ตารางรวม!$Z:$Z,0))*tblSales[[#This Row],[จำนวนแก้ว]],0))</f>
        <v/>
      </c>
      <c r="AG55" s="10" t="str">
        <f>IF(tblSales[[#This Row],[Key]]="","",IFERROR(INDEX(ตารางรวม!$T:$T,MATCH(tblSales[[#This Row],[Key]],ตารางรวม!$Z:$Z,0))*tblSales[[#This Row],[จำนวนแก้ว]],0))</f>
        <v/>
      </c>
      <c r="AH55" s="10" t="str">
        <f>IF(tblSales[[#This Row],[Key]]="","",IF(tblSales[[#This Row],[ขนาด]]="16 oz",tblSales[[#This Row],[จำนวนแก้ว]],0))</f>
        <v/>
      </c>
      <c r="AI55" s="10" t="str">
        <f>IF(tblSales[[#This Row],[Key]]="","",IF(tblSales[[#This Row],[ขนาด]]="20 oz",tblSales[[#This Row],[จำนวนแก้ว]],0))</f>
        <v/>
      </c>
      <c r="AJ55" s="10" t="str">
        <f>IF(tblSales[[#This Row],[Key]]="","",IF(tblSales[[#This Row],[ขนาด]]="22 oz",tblSales[[#This Row],[จำนวนแก้ว]],0))</f>
        <v/>
      </c>
    </row>
    <row r="56" spans="1:36" x14ac:dyDescent="0.25">
      <c r="A56" s="4" t="str">
        <f>IF(tblSales[[#This Row],[วันที่]]="","","S"&amp;TEXT(tblSales[[#This Row],[วันที่]],"yymmdd")&amp;"-"&amp;TEXT(ROW()-5,"000"))</f>
        <v/>
      </c>
      <c r="B56" s="16"/>
      <c r="C56" s="6"/>
      <c r="D56" s="6"/>
      <c r="E56" s="20"/>
      <c r="F56" s="6"/>
      <c r="G56" s="6"/>
      <c r="H56" s="6"/>
      <c r="I56" s="6"/>
      <c r="J5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6" s="8" t="str">
        <f>IF(tblSales[[#This Row],[Key]]="","",IFERROR(INDEX(ตารางรวม!$W:$W,MATCH(tblSales[[#This Row],[Key]],ตารางรวม!$Z:$Z,0)),"ไม่พบสูตร"))</f>
        <v/>
      </c>
      <c r="L56" s="8" t="str">
        <f>IF(tblSales[[#This Row],[Key]]="","",IFERROR(INDEX(ตารางรวม!$V:$V,MATCH(tblSales[[#This Row],[Key]],ตารางรวม!$Z:$Z,0)),"ไม่พบสูตร"))</f>
        <v/>
      </c>
      <c r="M56" s="8" t="str">
        <f>IF(tblSales[[#This Row],[Key]]="","",IFERROR(tblSales[[#This Row],[ราคาต่อแก้ว]]*tblSales[[#This Row],[จำนวนแก้ว]],""))</f>
        <v/>
      </c>
      <c r="N56" s="8" t="str">
        <f>IF(tblSales[[#This Row],[Key]]="","",IFERROR(tblSales[[#This Row],[ต้นทุนต่อแก้ว]]*tblSales[[#This Row],[จำนวนแก้ว]],""))</f>
        <v/>
      </c>
      <c r="O56" s="8" t="str">
        <f>IF(tblSales[[#This Row],[Key]]="","",IFERROR(tblSales[[#This Row],[ยอดขาย (บาท)]]-tblSales[[#This Row],[ต้นทุนรวม (บาท)]],""))</f>
        <v/>
      </c>
      <c r="P56" s="21" t="str">
        <f>IF(tblSales[[#This Row],[Key]]="","",IFERROR(tblSales[[#This Row],[กำไร (บาท)]]/tblSales[[#This Row],[ยอดขาย (บาท)]],""))</f>
        <v/>
      </c>
      <c r="Q56" s="10" t="str">
        <f>IF(tblSales[[#This Row],[Key]]="","",IFERROR(INDEX(ตารางรวม!$D:$D,MATCH(tblSales[[#This Row],[Key]],ตารางรวม!$Z:$Z,0))*tblSales[[#This Row],[จำนวนแก้ว]],0))</f>
        <v/>
      </c>
      <c r="R56" s="10" t="str">
        <f>IF(tblSales[[#This Row],[Key]]="","",IFERROR(INDEX(ตารางรวม!$E:$E,MATCH(tblSales[[#This Row],[Key]],ตารางรวม!$Z:$Z,0))*tblSales[[#This Row],[จำนวนแก้ว]],0))</f>
        <v/>
      </c>
      <c r="S56" s="10" t="str">
        <f>IF(tblSales[[#This Row],[Key]]="","",IFERROR(INDEX(ตารางรวม!$F:$F,MATCH(tblSales[[#This Row],[Key]],ตารางรวม!$Z:$Z,0))*tblSales[[#This Row],[จำนวนแก้ว]],0))</f>
        <v/>
      </c>
      <c r="T56" s="10" t="str">
        <f>IF(tblSales[[#This Row],[Key]]="","",IFERROR(INDEX(ตารางรวม!$G:$G,MATCH(tblSales[[#This Row],[Key]],ตารางรวม!$Z:$Z,0))*tblSales[[#This Row],[จำนวนแก้ว]],0))</f>
        <v/>
      </c>
      <c r="U56" s="10" t="str">
        <f>IF(tblSales[[#This Row],[Key]]="","",IFERROR(INDEX(ตารางรวม!$H:$H,MATCH(tblSales[[#This Row],[Key]],ตารางรวม!$Z:$Z,0))*tblSales[[#This Row],[จำนวนแก้ว]],0))</f>
        <v/>
      </c>
      <c r="V56" s="10" t="str">
        <f>IF(tblSales[[#This Row],[Key]]="","",IFERROR(INDEX(ตารางรวม!$I:$I,MATCH(tblSales[[#This Row],[Key]],ตารางรวม!$Z:$Z,0))*tblSales[[#This Row],[จำนวนแก้ว]],0))</f>
        <v/>
      </c>
      <c r="W56" s="10" t="str">
        <f>IF(tblSales[[#This Row],[Key]]="","",IFERROR(INDEX(ตารางรวม!$J:$J,MATCH(tblSales[[#This Row],[Key]],ตารางรวม!$Z:$Z,0))*tblSales[[#This Row],[จำนวนแก้ว]],0))</f>
        <v/>
      </c>
      <c r="X56" s="10" t="str">
        <f>IF(tblSales[[#This Row],[Key]]="","",IFERROR(INDEX(ตารางรวม!$K:$K,MATCH(tblSales[[#This Row],[Key]],ตารางรวม!$Z:$Z,0))*tblSales[[#This Row],[จำนวนแก้ว]],0))</f>
        <v/>
      </c>
      <c r="Y56" s="10" t="str">
        <f>IF(tblSales[[#This Row],[Key]]="","",IFERROR(INDEX(ตารางรวม!$L:$L,MATCH(tblSales[[#This Row],[Key]],ตารางรวม!$Z:$Z,0))*tblSales[[#This Row],[จำนวนแก้ว]],0))</f>
        <v/>
      </c>
      <c r="Z56" s="10" t="str">
        <f>IF(tblSales[[#This Row],[Key]]="","",IFERROR(INDEX(ตารางรวม!$M:$M,MATCH(tblSales[[#This Row],[Key]],ตารางรวม!$Z:$Z,0))*tblSales[[#This Row],[จำนวนแก้ว]],0))</f>
        <v/>
      </c>
      <c r="AA56" s="10" t="str">
        <f>IF(tblSales[[#This Row],[Key]]="","",IFERROR(INDEX(ตารางรวม!$N:$N,MATCH(tblSales[[#This Row],[Key]],ตารางรวม!$Z:$Z,0))*tblSales[[#This Row],[จำนวนแก้ว]],0))</f>
        <v/>
      </c>
      <c r="AB56" s="10" t="str">
        <f>IF(tblSales[[#This Row],[Key]]="","",IFERROR(INDEX(ตารางรวม!$O:$O,MATCH(tblSales[[#This Row],[Key]],ตารางรวม!$Z:$Z,0))*tblSales[[#This Row],[จำนวนแก้ว]],0))</f>
        <v/>
      </c>
      <c r="AC56" s="10" t="str">
        <f>IF(tblSales[[#This Row],[Key]]="","",IFERROR(INDEX(ตารางรวม!$P:$P,MATCH(tblSales[[#This Row],[Key]],ตารางรวม!$Z:$Z,0))*tblSales[[#This Row],[จำนวนแก้ว]],0))</f>
        <v/>
      </c>
      <c r="AD56" s="10" t="str">
        <f>IF(tblSales[[#This Row],[Key]]="","",IFERROR(INDEX(ตารางรวม!$Q:$Q,MATCH(tblSales[[#This Row],[Key]],ตารางรวม!$Z:$Z,0))*tblSales[[#This Row],[จำนวนแก้ว]],0))</f>
        <v/>
      </c>
      <c r="AE56" s="10" t="str">
        <f>IF(tblSales[[#This Row],[Key]]="","",IFERROR(INDEX(ตารางรวม!$R:$R,MATCH(tblSales[[#This Row],[Key]],ตารางรวม!$Z:$Z,0))*tblSales[[#This Row],[จำนวนแก้ว]],0))</f>
        <v/>
      </c>
      <c r="AF56" s="10" t="str">
        <f>IF(tblSales[[#This Row],[Key]]="","",IFERROR(INDEX(ตารางรวม!$S:$S,MATCH(tblSales[[#This Row],[Key]],ตารางรวม!$Z:$Z,0))*tblSales[[#This Row],[จำนวนแก้ว]],0))</f>
        <v/>
      </c>
      <c r="AG56" s="10" t="str">
        <f>IF(tblSales[[#This Row],[Key]]="","",IFERROR(INDEX(ตารางรวม!$T:$T,MATCH(tblSales[[#This Row],[Key]],ตารางรวม!$Z:$Z,0))*tblSales[[#This Row],[จำนวนแก้ว]],0))</f>
        <v/>
      </c>
      <c r="AH56" s="10" t="str">
        <f>IF(tblSales[[#This Row],[Key]]="","",IF(tblSales[[#This Row],[ขนาด]]="16 oz",tblSales[[#This Row],[จำนวนแก้ว]],0))</f>
        <v/>
      </c>
      <c r="AI56" s="10" t="str">
        <f>IF(tblSales[[#This Row],[Key]]="","",IF(tblSales[[#This Row],[ขนาด]]="20 oz",tblSales[[#This Row],[จำนวนแก้ว]],0))</f>
        <v/>
      </c>
      <c r="AJ56" s="10" t="str">
        <f>IF(tblSales[[#This Row],[Key]]="","",IF(tblSales[[#This Row],[ขนาด]]="22 oz",tblSales[[#This Row],[จำนวนแก้ว]],0))</f>
        <v/>
      </c>
    </row>
    <row r="57" spans="1:36" x14ac:dyDescent="0.25">
      <c r="A57" s="4" t="str">
        <f>IF(tblSales[[#This Row],[วันที่]]="","","S"&amp;TEXT(tblSales[[#This Row],[วันที่]],"yymmdd")&amp;"-"&amp;TEXT(ROW()-5,"000"))</f>
        <v/>
      </c>
      <c r="B57" s="16"/>
      <c r="C57" s="6"/>
      <c r="D57" s="6"/>
      <c r="E57" s="20"/>
      <c r="F57" s="6"/>
      <c r="G57" s="6"/>
      <c r="H57" s="6"/>
      <c r="I57" s="6"/>
      <c r="J5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7" s="8" t="str">
        <f>IF(tblSales[[#This Row],[Key]]="","",IFERROR(INDEX(ตารางรวม!$W:$W,MATCH(tblSales[[#This Row],[Key]],ตารางรวม!$Z:$Z,0)),"ไม่พบสูตร"))</f>
        <v/>
      </c>
      <c r="L57" s="8" t="str">
        <f>IF(tblSales[[#This Row],[Key]]="","",IFERROR(INDEX(ตารางรวม!$V:$V,MATCH(tblSales[[#This Row],[Key]],ตารางรวม!$Z:$Z,0)),"ไม่พบสูตร"))</f>
        <v/>
      </c>
      <c r="M57" s="8" t="str">
        <f>IF(tblSales[[#This Row],[Key]]="","",IFERROR(tblSales[[#This Row],[ราคาต่อแก้ว]]*tblSales[[#This Row],[จำนวนแก้ว]],""))</f>
        <v/>
      </c>
      <c r="N57" s="8" t="str">
        <f>IF(tblSales[[#This Row],[Key]]="","",IFERROR(tblSales[[#This Row],[ต้นทุนต่อแก้ว]]*tblSales[[#This Row],[จำนวนแก้ว]],""))</f>
        <v/>
      </c>
      <c r="O57" s="8" t="str">
        <f>IF(tblSales[[#This Row],[Key]]="","",IFERROR(tblSales[[#This Row],[ยอดขาย (บาท)]]-tblSales[[#This Row],[ต้นทุนรวม (บาท)]],""))</f>
        <v/>
      </c>
      <c r="P57" s="21" t="str">
        <f>IF(tblSales[[#This Row],[Key]]="","",IFERROR(tblSales[[#This Row],[กำไร (บาท)]]/tblSales[[#This Row],[ยอดขาย (บาท)]],""))</f>
        <v/>
      </c>
      <c r="Q57" s="10" t="str">
        <f>IF(tblSales[[#This Row],[Key]]="","",IFERROR(INDEX(ตารางรวม!$D:$D,MATCH(tblSales[[#This Row],[Key]],ตารางรวม!$Z:$Z,0))*tblSales[[#This Row],[จำนวนแก้ว]],0))</f>
        <v/>
      </c>
      <c r="R57" s="10" t="str">
        <f>IF(tblSales[[#This Row],[Key]]="","",IFERROR(INDEX(ตารางรวม!$E:$E,MATCH(tblSales[[#This Row],[Key]],ตารางรวม!$Z:$Z,0))*tblSales[[#This Row],[จำนวนแก้ว]],0))</f>
        <v/>
      </c>
      <c r="S57" s="10" t="str">
        <f>IF(tblSales[[#This Row],[Key]]="","",IFERROR(INDEX(ตารางรวม!$F:$F,MATCH(tblSales[[#This Row],[Key]],ตารางรวม!$Z:$Z,0))*tblSales[[#This Row],[จำนวนแก้ว]],0))</f>
        <v/>
      </c>
      <c r="T57" s="10" t="str">
        <f>IF(tblSales[[#This Row],[Key]]="","",IFERROR(INDEX(ตารางรวม!$G:$G,MATCH(tblSales[[#This Row],[Key]],ตารางรวม!$Z:$Z,0))*tblSales[[#This Row],[จำนวนแก้ว]],0))</f>
        <v/>
      </c>
      <c r="U57" s="10" t="str">
        <f>IF(tblSales[[#This Row],[Key]]="","",IFERROR(INDEX(ตารางรวม!$H:$H,MATCH(tblSales[[#This Row],[Key]],ตารางรวม!$Z:$Z,0))*tblSales[[#This Row],[จำนวนแก้ว]],0))</f>
        <v/>
      </c>
      <c r="V57" s="10" t="str">
        <f>IF(tblSales[[#This Row],[Key]]="","",IFERROR(INDEX(ตารางรวม!$I:$I,MATCH(tblSales[[#This Row],[Key]],ตารางรวม!$Z:$Z,0))*tblSales[[#This Row],[จำนวนแก้ว]],0))</f>
        <v/>
      </c>
      <c r="W57" s="10" t="str">
        <f>IF(tblSales[[#This Row],[Key]]="","",IFERROR(INDEX(ตารางรวม!$J:$J,MATCH(tblSales[[#This Row],[Key]],ตารางรวม!$Z:$Z,0))*tblSales[[#This Row],[จำนวนแก้ว]],0))</f>
        <v/>
      </c>
      <c r="X57" s="10" t="str">
        <f>IF(tblSales[[#This Row],[Key]]="","",IFERROR(INDEX(ตารางรวม!$K:$K,MATCH(tblSales[[#This Row],[Key]],ตารางรวม!$Z:$Z,0))*tblSales[[#This Row],[จำนวนแก้ว]],0))</f>
        <v/>
      </c>
      <c r="Y57" s="10" t="str">
        <f>IF(tblSales[[#This Row],[Key]]="","",IFERROR(INDEX(ตารางรวม!$L:$L,MATCH(tblSales[[#This Row],[Key]],ตารางรวม!$Z:$Z,0))*tblSales[[#This Row],[จำนวนแก้ว]],0))</f>
        <v/>
      </c>
      <c r="Z57" s="10" t="str">
        <f>IF(tblSales[[#This Row],[Key]]="","",IFERROR(INDEX(ตารางรวม!$M:$M,MATCH(tblSales[[#This Row],[Key]],ตารางรวม!$Z:$Z,0))*tblSales[[#This Row],[จำนวนแก้ว]],0))</f>
        <v/>
      </c>
      <c r="AA57" s="10" t="str">
        <f>IF(tblSales[[#This Row],[Key]]="","",IFERROR(INDEX(ตารางรวม!$N:$N,MATCH(tblSales[[#This Row],[Key]],ตารางรวม!$Z:$Z,0))*tblSales[[#This Row],[จำนวนแก้ว]],0))</f>
        <v/>
      </c>
      <c r="AB57" s="10" t="str">
        <f>IF(tblSales[[#This Row],[Key]]="","",IFERROR(INDEX(ตารางรวม!$O:$O,MATCH(tblSales[[#This Row],[Key]],ตารางรวม!$Z:$Z,0))*tblSales[[#This Row],[จำนวนแก้ว]],0))</f>
        <v/>
      </c>
      <c r="AC57" s="10" t="str">
        <f>IF(tblSales[[#This Row],[Key]]="","",IFERROR(INDEX(ตารางรวม!$P:$P,MATCH(tblSales[[#This Row],[Key]],ตารางรวม!$Z:$Z,0))*tblSales[[#This Row],[จำนวนแก้ว]],0))</f>
        <v/>
      </c>
      <c r="AD57" s="10" t="str">
        <f>IF(tblSales[[#This Row],[Key]]="","",IFERROR(INDEX(ตารางรวม!$Q:$Q,MATCH(tblSales[[#This Row],[Key]],ตารางรวม!$Z:$Z,0))*tblSales[[#This Row],[จำนวนแก้ว]],0))</f>
        <v/>
      </c>
      <c r="AE57" s="10" t="str">
        <f>IF(tblSales[[#This Row],[Key]]="","",IFERROR(INDEX(ตารางรวม!$R:$R,MATCH(tblSales[[#This Row],[Key]],ตารางรวม!$Z:$Z,0))*tblSales[[#This Row],[จำนวนแก้ว]],0))</f>
        <v/>
      </c>
      <c r="AF57" s="10" t="str">
        <f>IF(tblSales[[#This Row],[Key]]="","",IFERROR(INDEX(ตารางรวม!$S:$S,MATCH(tblSales[[#This Row],[Key]],ตารางรวม!$Z:$Z,0))*tblSales[[#This Row],[จำนวนแก้ว]],0))</f>
        <v/>
      </c>
      <c r="AG57" s="10" t="str">
        <f>IF(tblSales[[#This Row],[Key]]="","",IFERROR(INDEX(ตารางรวม!$T:$T,MATCH(tblSales[[#This Row],[Key]],ตารางรวม!$Z:$Z,0))*tblSales[[#This Row],[จำนวนแก้ว]],0))</f>
        <v/>
      </c>
      <c r="AH57" s="10" t="str">
        <f>IF(tblSales[[#This Row],[Key]]="","",IF(tblSales[[#This Row],[ขนาด]]="16 oz",tblSales[[#This Row],[จำนวนแก้ว]],0))</f>
        <v/>
      </c>
      <c r="AI57" s="10" t="str">
        <f>IF(tblSales[[#This Row],[Key]]="","",IF(tblSales[[#This Row],[ขนาด]]="20 oz",tblSales[[#This Row],[จำนวนแก้ว]],0))</f>
        <v/>
      </c>
      <c r="AJ57" s="10" t="str">
        <f>IF(tblSales[[#This Row],[Key]]="","",IF(tblSales[[#This Row],[ขนาด]]="22 oz",tblSales[[#This Row],[จำนวนแก้ว]],0))</f>
        <v/>
      </c>
    </row>
    <row r="58" spans="1:36" x14ac:dyDescent="0.25">
      <c r="A58" s="4" t="str">
        <f>IF(tblSales[[#This Row],[วันที่]]="","","S"&amp;TEXT(tblSales[[#This Row],[วันที่]],"yymmdd")&amp;"-"&amp;TEXT(ROW()-5,"000"))</f>
        <v/>
      </c>
      <c r="B58" s="16"/>
      <c r="C58" s="6"/>
      <c r="D58" s="6"/>
      <c r="E58" s="20"/>
      <c r="F58" s="6"/>
      <c r="G58" s="6"/>
      <c r="H58" s="6"/>
      <c r="I58" s="6"/>
      <c r="J5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8" s="8" t="str">
        <f>IF(tblSales[[#This Row],[Key]]="","",IFERROR(INDEX(ตารางรวม!$W:$W,MATCH(tblSales[[#This Row],[Key]],ตารางรวม!$Z:$Z,0)),"ไม่พบสูตร"))</f>
        <v/>
      </c>
      <c r="L58" s="8" t="str">
        <f>IF(tblSales[[#This Row],[Key]]="","",IFERROR(INDEX(ตารางรวม!$V:$V,MATCH(tblSales[[#This Row],[Key]],ตารางรวม!$Z:$Z,0)),"ไม่พบสูตร"))</f>
        <v/>
      </c>
      <c r="M58" s="8" t="str">
        <f>IF(tblSales[[#This Row],[Key]]="","",IFERROR(tblSales[[#This Row],[ราคาต่อแก้ว]]*tblSales[[#This Row],[จำนวนแก้ว]],""))</f>
        <v/>
      </c>
      <c r="N58" s="8" t="str">
        <f>IF(tblSales[[#This Row],[Key]]="","",IFERROR(tblSales[[#This Row],[ต้นทุนต่อแก้ว]]*tblSales[[#This Row],[จำนวนแก้ว]],""))</f>
        <v/>
      </c>
      <c r="O58" s="8" t="str">
        <f>IF(tblSales[[#This Row],[Key]]="","",IFERROR(tblSales[[#This Row],[ยอดขาย (บาท)]]-tblSales[[#This Row],[ต้นทุนรวม (บาท)]],""))</f>
        <v/>
      </c>
      <c r="P58" s="21" t="str">
        <f>IF(tblSales[[#This Row],[Key]]="","",IFERROR(tblSales[[#This Row],[กำไร (บาท)]]/tblSales[[#This Row],[ยอดขาย (บาท)]],""))</f>
        <v/>
      </c>
      <c r="Q58" s="10" t="str">
        <f>IF(tblSales[[#This Row],[Key]]="","",IFERROR(INDEX(ตารางรวม!$D:$D,MATCH(tblSales[[#This Row],[Key]],ตารางรวม!$Z:$Z,0))*tblSales[[#This Row],[จำนวนแก้ว]],0))</f>
        <v/>
      </c>
      <c r="R58" s="10" t="str">
        <f>IF(tblSales[[#This Row],[Key]]="","",IFERROR(INDEX(ตารางรวม!$E:$E,MATCH(tblSales[[#This Row],[Key]],ตารางรวม!$Z:$Z,0))*tblSales[[#This Row],[จำนวนแก้ว]],0))</f>
        <v/>
      </c>
      <c r="S58" s="10" t="str">
        <f>IF(tblSales[[#This Row],[Key]]="","",IFERROR(INDEX(ตารางรวม!$F:$F,MATCH(tblSales[[#This Row],[Key]],ตารางรวม!$Z:$Z,0))*tblSales[[#This Row],[จำนวนแก้ว]],0))</f>
        <v/>
      </c>
      <c r="T58" s="10" t="str">
        <f>IF(tblSales[[#This Row],[Key]]="","",IFERROR(INDEX(ตารางรวม!$G:$G,MATCH(tblSales[[#This Row],[Key]],ตารางรวม!$Z:$Z,0))*tblSales[[#This Row],[จำนวนแก้ว]],0))</f>
        <v/>
      </c>
      <c r="U58" s="10" t="str">
        <f>IF(tblSales[[#This Row],[Key]]="","",IFERROR(INDEX(ตารางรวม!$H:$H,MATCH(tblSales[[#This Row],[Key]],ตารางรวม!$Z:$Z,0))*tblSales[[#This Row],[จำนวนแก้ว]],0))</f>
        <v/>
      </c>
      <c r="V58" s="10" t="str">
        <f>IF(tblSales[[#This Row],[Key]]="","",IFERROR(INDEX(ตารางรวม!$I:$I,MATCH(tblSales[[#This Row],[Key]],ตารางรวม!$Z:$Z,0))*tblSales[[#This Row],[จำนวนแก้ว]],0))</f>
        <v/>
      </c>
      <c r="W58" s="10" t="str">
        <f>IF(tblSales[[#This Row],[Key]]="","",IFERROR(INDEX(ตารางรวม!$J:$J,MATCH(tblSales[[#This Row],[Key]],ตารางรวม!$Z:$Z,0))*tblSales[[#This Row],[จำนวนแก้ว]],0))</f>
        <v/>
      </c>
      <c r="X58" s="10" t="str">
        <f>IF(tblSales[[#This Row],[Key]]="","",IFERROR(INDEX(ตารางรวม!$K:$K,MATCH(tblSales[[#This Row],[Key]],ตารางรวม!$Z:$Z,0))*tblSales[[#This Row],[จำนวนแก้ว]],0))</f>
        <v/>
      </c>
      <c r="Y58" s="10" t="str">
        <f>IF(tblSales[[#This Row],[Key]]="","",IFERROR(INDEX(ตารางรวม!$L:$L,MATCH(tblSales[[#This Row],[Key]],ตารางรวม!$Z:$Z,0))*tblSales[[#This Row],[จำนวนแก้ว]],0))</f>
        <v/>
      </c>
      <c r="Z58" s="10" t="str">
        <f>IF(tblSales[[#This Row],[Key]]="","",IFERROR(INDEX(ตารางรวม!$M:$M,MATCH(tblSales[[#This Row],[Key]],ตารางรวม!$Z:$Z,0))*tblSales[[#This Row],[จำนวนแก้ว]],0))</f>
        <v/>
      </c>
      <c r="AA58" s="10" t="str">
        <f>IF(tblSales[[#This Row],[Key]]="","",IFERROR(INDEX(ตารางรวม!$N:$N,MATCH(tblSales[[#This Row],[Key]],ตารางรวม!$Z:$Z,0))*tblSales[[#This Row],[จำนวนแก้ว]],0))</f>
        <v/>
      </c>
      <c r="AB58" s="10" t="str">
        <f>IF(tblSales[[#This Row],[Key]]="","",IFERROR(INDEX(ตารางรวม!$O:$O,MATCH(tblSales[[#This Row],[Key]],ตารางรวม!$Z:$Z,0))*tblSales[[#This Row],[จำนวนแก้ว]],0))</f>
        <v/>
      </c>
      <c r="AC58" s="10" t="str">
        <f>IF(tblSales[[#This Row],[Key]]="","",IFERROR(INDEX(ตารางรวม!$P:$P,MATCH(tblSales[[#This Row],[Key]],ตารางรวม!$Z:$Z,0))*tblSales[[#This Row],[จำนวนแก้ว]],0))</f>
        <v/>
      </c>
      <c r="AD58" s="10" t="str">
        <f>IF(tblSales[[#This Row],[Key]]="","",IFERROR(INDEX(ตารางรวม!$Q:$Q,MATCH(tblSales[[#This Row],[Key]],ตารางรวม!$Z:$Z,0))*tblSales[[#This Row],[จำนวนแก้ว]],0))</f>
        <v/>
      </c>
      <c r="AE58" s="10" t="str">
        <f>IF(tblSales[[#This Row],[Key]]="","",IFERROR(INDEX(ตารางรวม!$R:$R,MATCH(tblSales[[#This Row],[Key]],ตารางรวม!$Z:$Z,0))*tblSales[[#This Row],[จำนวนแก้ว]],0))</f>
        <v/>
      </c>
      <c r="AF58" s="10" t="str">
        <f>IF(tblSales[[#This Row],[Key]]="","",IFERROR(INDEX(ตารางรวม!$S:$S,MATCH(tblSales[[#This Row],[Key]],ตารางรวม!$Z:$Z,0))*tblSales[[#This Row],[จำนวนแก้ว]],0))</f>
        <v/>
      </c>
      <c r="AG58" s="10" t="str">
        <f>IF(tblSales[[#This Row],[Key]]="","",IFERROR(INDEX(ตารางรวม!$T:$T,MATCH(tblSales[[#This Row],[Key]],ตารางรวม!$Z:$Z,0))*tblSales[[#This Row],[จำนวนแก้ว]],0))</f>
        <v/>
      </c>
      <c r="AH58" s="10" t="str">
        <f>IF(tblSales[[#This Row],[Key]]="","",IF(tblSales[[#This Row],[ขนาด]]="16 oz",tblSales[[#This Row],[จำนวนแก้ว]],0))</f>
        <v/>
      </c>
      <c r="AI58" s="10" t="str">
        <f>IF(tblSales[[#This Row],[Key]]="","",IF(tblSales[[#This Row],[ขนาด]]="20 oz",tblSales[[#This Row],[จำนวนแก้ว]],0))</f>
        <v/>
      </c>
      <c r="AJ58" s="10" t="str">
        <f>IF(tblSales[[#This Row],[Key]]="","",IF(tblSales[[#This Row],[ขนาด]]="22 oz",tblSales[[#This Row],[จำนวนแก้ว]],0))</f>
        <v/>
      </c>
    </row>
    <row r="59" spans="1:36" x14ac:dyDescent="0.25">
      <c r="A59" s="4" t="str">
        <f>IF(tblSales[[#This Row],[วันที่]]="","","S"&amp;TEXT(tblSales[[#This Row],[วันที่]],"yymmdd")&amp;"-"&amp;TEXT(ROW()-5,"000"))</f>
        <v/>
      </c>
      <c r="B59" s="16"/>
      <c r="C59" s="6"/>
      <c r="D59" s="6"/>
      <c r="E59" s="20"/>
      <c r="F59" s="6"/>
      <c r="G59" s="6"/>
      <c r="H59" s="6"/>
      <c r="I59" s="6"/>
      <c r="J5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59" s="8" t="str">
        <f>IF(tblSales[[#This Row],[Key]]="","",IFERROR(INDEX(ตารางรวม!$W:$W,MATCH(tblSales[[#This Row],[Key]],ตารางรวม!$Z:$Z,0)),"ไม่พบสูตร"))</f>
        <v/>
      </c>
      <c r="L59" s="8" t="str">
        <f>IF(tblSales[[#This Row],[Key]]="","",IFERROR(INDEX(ตารางรวม!$V:$V,MATCH(tblSales[[#This Row],[Key]],ตารางรวม!$Z:$Z,0)),"ไม่พบสูตร"))</f>
        <v/>
      </c>
      <c r="M59" s="8" t="str">
        <f>IF(tblSales[[#This Row],[Key]]="","",IFERROR(tblSales[[#This Row],[ราคาต่อแก้ว]]*tblSales[[#This Row],[จำนวนแก้ว]],""))</f>
        <v/>
      </c>
      <c r="N59" s="8" t="str">
        <f>IF(tblSales[[#This Row],[Key]]="","",IFERROR(tblSales[[#This Row],[ต้นทุนต่อแก้ว]]*tblSales[[#This Row],[จำนวนแก้ว]],""))</f>
        <v/>
      </c>
      <c r="O59" s="8" t="str">
        <f>IF(tblSales[[#This Row],[Key]]="","",IFERROR(tblSales[[#This Row],[ยอดขาย (บาท)]]-tblSales[[#This Row],[ต้นทุนรวม (บาท)]],""))</f>
        <v/>
      </c>
      <c r="P59" s="21" t="str">
        <f>IF(tblSales[[#This Row],[Key]]="","",IFERROR(tblSales[[#This Row],[กำไร (บาท)]]/tblSales[[#This Row],[ยอดขาย (บาท)]],""))</f>
        <v/>
      </c>
      <c r="Q59" s="10" t="str">
        <f>IF(tblSales[[#This Row],[Key]]="","",IFERROR(INDEX(ตารางรวม!$D:$D,MATCH(tblSales[[#This Row],[Key]],ตารางรวม!$Z:$Z,0))*tblSales[[#This Row],[จำนวนแก้ว]],0))</f>
        <v/>
      </c>
      <c r="R59" s="10" t="str">
        <f>IF(tblSales[[#This Row],[Key]]="","",IFERROR(INDEX(ตารางรวม!$E:$E,MATCH(tblSales[[#This Row],[Key]],ตารางรวม!$Z:$Z,0))*tblSales[[#This Row],[จำนวนแก้ว]],0))</f>
        <v/>
      </c>
      <c r="S59" s="10" t="str">
        <f>IF(tblSales[[#This Row],[Key]]="","",IFERROR(INDEX(ตารางรวม!$F:$F,MATCH(tblSales[[#This Row],[Key]],ตารางรวม!$Z:$Z,0))*tblSales[[#This Row],[จำนวนแก้ว]],0))</f>
        <v/>
      </c>
      <c r="T59" s="10" t="str">
        <f>IF(tblSales[[#This Row],[Key]]="","",IFERROR(INDEX(ตารางรวม!$G:$G,MATCH(tblSales[[#This Row],[Key]],ตารางรวม!$Z:$Z,0))*tblSales[[#This Row],[จำนวนแก้ว]],0))</f>
        <v/>
      </c>
      <c r="U59" s="10" t="str">
        <f>IF(tblSales[[#This Row],[Key]]="","",IFERROR(INDEX(ตารางรวม!$H:$H,MATCH(tblSales[[#This Row],[Key]],ตารางรวม!$Z:$Z,0))*tblSales[[#This Row],[จำนวนแก้ว]],0))</f>
        <v/>
      </c>
      <c r="V59" s="10" t="str">
        <f>IF(tblSales[[#This Row],[Key]]="","",IFERROR(INDEX(ตารางรวม!$I:$I,MATCH(tblSales[[#This Row],[Key]],ตารางรวม!$Z:$Z,0))*tblSales[[#This Row],[จำนวนแก้ว]],0))</f>
        <v/>
      </c>
      <c r="W59" s="10" t="str">
        <f>IF(tblSales[[#This Row],[Key]]="","",IFERROR(INDEX(ตารางรวม!$J:$J,MATCH(tblSales[[#This Row],[Key]],ตารางรวม!$Z:$Z,0))*tblSales[[#This Row],[จำนวนแก้ว]],0))</f>
        <v/>
      </c>
      <c r="X59" s="10" t="str">
        <f>IF(tblSales[[#This Row],[Key]]="","",IFERROR(INDEX(ตารางรวม!$K:$K,MATCH(tblSales[[#This Row],[Key]],ตารางรวม!$Z:$Z,0))*tblSales[[#This Row],[จำนวนแก้ว]],0))</f>
        <v/>
      </c>
      <c r="Y59" s="10" t="str">
        <f>IF(tblSales[[#This Row],[Key]]="","",IFERROR(INDEX(ตารางรวม!$L:$L,MATCH(tblSales[[#This Row],[Key]],ตารางรวม!$Z:$Z,0))*tblSales[[#This Row],[จำนวนแก้ว]],0))</f>
        <v/>
      </c>
      <c r="Z59" s="10" t="str">
        <f>IF(tblSales[[#This Row],[Key]]="","",IFERROR(INDEX(ตารางรวม!$M:$M,MATCH(tblSales[[#This Row],[Key]],ตารางรวม!$Z:$Z,0))*tblSales[[#This Row],[จำนวนแก้ว]],0))</f>
        <v/>
      </c>
      <c r="AA59" s="10" t="str">
        <f>IF(tblSales[[#This Row],[Key]]="","",IFERROR(INDEX(ตารางรวม!$N:$N,MATCH(tblSales[[#This Row],[Key]],ตารางรวม!$Z:$Z,0))*tblSales[[#This Row],[จำนวนแก้ว]],0))</f>
        <v/>
      </c>
      <c r="AB59" s="10" t="str">
        <f>IF(tblSales[[#This Row],[Key]]="","",IFERROR(INDEX(ตารางรวม!$O:$O,MATCH(tblSales[[#This Row],[Key]],ตารางรวม!$Z:$Z,0))*tblSales[[#This Row],[จำนวนแก้ว]],0))</f>
        <v/>
      </c>
      <c r="AC59" s="10" t="str">
        <f>IF(tblSales[[#This Row],[Key]]="","",IFERROR(INDEX(ตารางรวม!$P:$P,MATCH(tblSales[[#This Row],[Key]],ตารางรวม!$Z:$Z,0))*tblSales[[#This Row],[จำนวนแก้ว]],0))</f>
        <v/>
      </c>
      <c r="AD59" s="10" t="str">
        <f>IF(tblSales[[#This Row],[Key]]="","",IFERROR(INDEX(ตารางรวม!$Q:$Q,MATCH(tblSales[[#This Row],[Key]],ตารางรวม!$Z:$Z,0))*tblSales[[#This Row],[จำนวนแก้ว]],0))</f>
        <v/>
      </c>
      <c r="AE59" s="10" t="str">
        <f>IF(tblSales[[#This Row],[Key]]="","",IFERROR(INDEX(ตารางรวม!$R:$R,MATCH(tblSales[[#This Row],[Key]],ตารางรวม!$Z:$Z,0))*tblSales[[#This Row],[จำนวนแก้ว]],0))</f>
        <v/>
      </c>
      <c r="AF59" s="10" t="str">
        <f>IF(tblSales[[#This Row],[Key]]="","",IFERROR(INDEX(ตารางรวม!$S:$S,MATCH(tblSales[[#This Row],[Key]],ตารางรวม!$Z:$Z,0))*tblSales[[#This Row],[จำนวนแก้ว]],0))</f>
        <v/>
      </c>
      <c r="AG59" s="10" t="str">
        <f>IF(tblSales[[#This Row],[Key]]="","",IFERROR(INDEX(ตารางรวม!$T:$T,MATCH(tblSales[[#This Row],[Key]],ตารางรวม!$Z:$Z,0))*tblSales[[#This Row],[จำนวนแก้ว]],0))</f>
        <v/>
      </c>
      <c r="AH59" s="10" t="str">
        <f>IF(tblSales[[#This Row],[Key]]="","",IF(tblSales[[#This Row],[ขนาด]]="16 oz",tblSales[[#This Row],[จำนวนแก้ว]],0))</f>
        <v/>
      </c>
      <c r="AI59" s="10" t="str">
        <f>IF(tblSales[[#This Row],[Key]]="","",IF(tblSales[[#This Row],[ขนาด]]="20 oz",tblSales[[#This Row],[จำนวนแก้ว]],0))</f>
        <v/>
      </c>
      <c r="AJ59" s="10" t="str">
        <f>IF(tblSales[[#This Row],[Key]]="","",IF(tblSales[[#This Row],[ขนาด]]="22 oz",tblSales[[#This Row],[จำนวนแก้ว]],0))</f>
        <v/>
      </c>
    </row>
    <row r="60" spans="1:36" x14ac:dyDescent="0.25">
      <c r="A60" s="4" t="str">
        <f>IF(tblSales[[#This Row],[วันที่]]="","","S"&amp;TEXT(tblSales[[#This Row],[วันที่]],"yymmdd")&amp;"-"&amp;TEXT(ROW()-5,"000"))</f>
        <v/>
      </c>
      <c r="B60" s="16"/>
      <c r="C60" s="6"/>
      <c r="D60" s="6"/>
      <c r="E60" s="20"/>
      <c r="F60" s="6"/>
      <c r="G60" s="6"/>
      <c r="H60" s="6"/>
      <c r="I60" s="6"/>
      <c r="J6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0" s="8" t="str">
        <f>IF(tblSales[[#This Row],[Key]]="","",IFERROR(INDEX(ตารางรวม!$W:$W,MATCH(tblSales[[#This Row],[Key]],ตารางรวม!$Z:$Z,0)),"ไม่พบสูตร"))</f>
        <v/>
      </c>
      <c r="L60" s="8" t="str">
        <f>IF(tblSales[[#This Row],[Key]]="","",IFERROR(INDEX(ตารางรวม!$V:$V,MATCH(tblSales[[#This Row],[Key]],ตารางรวม!$Z:$Z,0)),"ไม่พบสูตร"))</f>
        <v/>
      </c>
      <c r="M60" s="8" t="str">
        <f>IF(tblSales[[#This Row],[Key]]="","",IFERROR(tblSales[[#This Row],[ราคาต่อแก้ว]]*tblSales[[#This Row],[จำนวนแก้ว]],""))</f>
        <v/>
      </c>
      <c r="N60" s="8" t="str">
        <f>IF(tblSales[[#This Row],[Key]]="","",IFERROR(tblSales[[#This Row],[ต้นทุนต่อแก้ว]]*tblSales[[#This Row],[จำนวนแก้ว]],""))</f>
        <v/>
      </c>
      <c r="O60" s="8" t="str">
        <f>IF(tblSales[[#This Row],[Key]]="","",IFERROR(tblSales[[#This Row],[ยอดขาย (บาท)]]-tblSales[[#This Row],[ต้นทุนรวม (บาท)]],""))</f>
        <v/>
      </c>
      <c r="P60" s="21" t="str">
        <f>IF(tblSales[[#This Row],[Key]]="","",IFERROR(tblSales[[#This Row],[กำไร (บาท)]]/tblSales[[#This Row],[ยอดขาย (บาท)]],""))</f>
        <v/>
      </c>
      <c r="Q60" s="10" t="str">
        <f>IF(tblSales[[#This Row],[Key]]="","",IFERROR(INDEX(ตารางรวม!$D:$D,MATCH(tblSales[[#This Row],[Key]],ตารางรวม!$Z:$Z,0))*tblSales[[#This Row],[จำนวนแก้ว]],0))</f>
        <v/>
      </c>
      <c r="R60" s="10" t="str">
        <f>IF(tblSales[[#This Row],[Key]]="","",IFERROR(INDEX(ตารางรวม!$E:$E,MATCH(tblSales[[#This Row],[Key]],ตารางรวม!$Z:$Z,0))*tblSales[[#This Row],[จำนวนแก้ว]],0))</f>
        <v/>
      </c>
      <c r="S60" s="10" t="str">
        <f>IF(tblSales[[#This Row],[Key]]="","",IFERROR(INDEX(ตารางรวม!$F:$F,MATCH(tblSales[[#This Row],[Key]],ตารางรวม!$Z:$Z,0))*tblSales[[#This Row],[จำนวนแก้ว]],0))</f>
        <v/>
      </c>
      <c r="T60" s="10" t="str">
        <f>IF(tblSales[[#This Row],[Key]]="","",IFERROR(INDEX(ตารางรวม!$G:$G,MATCH(tblSales[[#This Row],[Key]],ตารางรวม!$Z:$Z,0))*tblSales[[#This Row],[จำนวนแก้ว]],0))</f>
        <v/>
      </c>
      <c r="U60" s="10" t="str">
        <f>IF(tblSales[[#This Row],[Key]]="","",IFERROR(INDEX(ตารางรวม!$H:$H,MATCH(tblSales[[#This Row],[Key]],ตารางรวม!$Z:$Z,0))*tblSales[[#This Row],[จำนวนแก้ว]],0))</f>
        <v/>
      </c>
      <c r="V60" s="10" t="str">
        <f>IF(tblSales[[#This Row],[Key]]="","",IFERROR(INDEX(ตารางรวม!$I:$I,MATCH(tblSales[[#This Row],[Key]],ตารางรวม!$Z:$Z,0))*tblSales[[#This Row],[จำนวนแก้ว]],0))</f>
        <v/>
      </c>
      <c r="W60" s="10" t="str">
        <f>IF(tblSales[[#This Row],[Key]]="","",IFERROR(INDEX(ตารางรวม!$J:$J,MATCH(tblSales[[#This Row],[Key]],ตารางรวม!$Z:$Z,0))*tblSales[[#This Row],[จำนวนแก้ว]],0))</f>
        <v/>
      </c>
      <c r="X60" s="10" t="str">
        <f>IF(tblSales[[#This Row],[Key]]="","",IFERROR(INDEX(ตารางรวม!$K:$K,MATCH(tblSales[[#This Row],[Key]],ตารางรวม!$Z:$Z,0))*tblSales[[#This Row],[จำนวนแก้ว]],0))</f>
        <v/>
      </c>
      <c r="Y60" s="10" t="str">
        <f>IF(tblSales[[#This Row],[Key]]="","",IFERROR(INDEX(ตารางรวม!$L:$L,MATCH(tblSales[[#This Row],[Key]],ตารางรวม!$Z:$Z,0))*tblSales[[#This Row],[จำนวนแก้ว]],0))</f>
        <v/>
      </c>
      <c r="Z60" s="10" t="str">
        <f>IF(tblSales[[#This Row],[Key]]="","",IFERROR(INDEX(ตารางรวม!$M:$M,MATCH(tblSales[[#This Row],[Key]],ตารางรวม!$Z:$Z,0))*tblSales[[#This Row],[จำนวนแก้ว]],0))</f>
        <v/>
      </c>
      <c r="AA60" s="10" t="str">
        <f>IF(tblSales[[#This Row],[Key]]="","",IFERROR(INDEX(ตารางรวม!$N:$N,MATCH(tblSales[[#This Row],[Key]],ตารางรวม!$Z:$Z,0))*tblSales[[#This Row],[จำนวนแก้ว]],0))</f>
        <v/>
      </c>
      <c r="AB60" s="10" t="str">
        <f>IF(tblSales[[#This Row],[Key]]="","",IFERROR(INDEX(ตารางรวม!$O:$O,MATCH(tblSales[[#This Row],[Key]],ตารางรวม!$Z:$Z,0))*tblSales[[#This Row],[จำนวนแก้ว]],0))</f>
        <v/>
      </c>
      <c r="AC60" s="10" t="str">
        <f>IF(tblSales[[#This Row],[Key]]="","",IFERROR(INDEX(ตารางรวม!$P:$P,MATCH(tblSales[[#This Row],[Key]],ตารางรวม!$Z:$Z,0))*tblSales[[#This Row],[จำนวนแก้ว]],0))</f>
        <v/>
      </c>
      <c r="AD60" s="10" t="str">
        <f>IF(tblSales[[#This Row],[Key]]="","",IFERROR(INDEX(ตารางรวม!$Q:$Q,MATCH(tblSales[[#This Row],[Key]],ตารางรวม!$Z:$Z,0))*tblSales[[#This Row],[จำนวนแก้ว]],0))</f>
        <v/>
      </c>
      <c r="AE60" s="10" t="str">
        <f>IF(tblSales[[#This Row],[Key]]="","",IFERROR(INDEX(ตารางรวม!$R:$R,MATCH(tblSales[[#This Row],[Key]],ตารางรวม!$Z:$Z,0))*tblSales[[#This Row],[จำนวนแก้ว]],0))</f>
        <v/>
      </c>
      <c r="AF60" s="10" t="str">
        <f>IF(tblSales[[#This Row],[Key]]="","",IFERROR(INDEX(ตารางรวม!$S:$S,MATCH(tblSales[[#This Row],[Key]],ตารางรวม!$Z:$Z,0))*tblSales[[#This Row],[จำนวนแก้ว]],0))</f>
        <v/>
      </c>
      <c r="AG60" s="10" t="str">
        <f>IF(tblSales[[#This Row],[Key]]="","",IFERROR(INDEX(ตารางรวม!$T:$T,MATCH(tblSales[[#This Row],[Key]],ตารางรวม!$Z:$Z,0))*tblSales[[#This Row],[จำนวนแก้ว]],0))</f>
        <v/>
      </c>
      <c r="AH60" s="10" t="str">
        <f>IF(tblSales[[#This Row],[Key]]="","",IF(tblSales[[#This Row],[ขนาด]]="16 oz",tblSales[[#This Row],[จำนวนแก้ว]],0))</f>
        <v/>
      </c>
      <c r="AI60" s="10" t="str">
        <f>IF(tblSales[[#This Row],[Key]]="","",IF(tblSales[[#This Row],[ขนาด]]="20 oz",tblSales[[#This Row],[จำนวนแก้ว]],0))</f>
        <v/>
      </c>
      <c r="AJ60" s="10" t="str">
        <f>IF(tblSales[[#This Row],[Key]]="","",IF(tblSales[[#This Row],[ขนาด]]="22 oz",tblSales[[#This Row],[จำนวนแก้ว]],0))</f>
        <v/>
      </c>
    </row>
    <row r="61" spans="1:36" x14ac:dyDescent="0.25">
      <c r="A61" s="4" t="str">
        <f>IF(tblSales[[#This Row],[วันที่]]="","","S"&amp;TEXT(tblSales[[#This Row],[วันที่]],"yymmdd")&amp;"-"&amp;TEXT(ROW()-5,"000"))</f>
        <v/>
      </c>
      <c r="B61" s="16"/>
      <c r="C61" s="6"/>
      <c r="D61" s="6"/>
      <c r="E61" s="20"/>
      <c r="F61" s="6"/>
      <c r="G61" s="6"/>
      <c r="H61" s="6"/>
      <c r="I61" s="6"/>
      <c r="J6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1" s="8" t="str">
        <f>IF(tblSales[[#This Row],[Key]]="","",IFERROR(INDEX(ตารางรวม!$W:$W,MATCH(tblSales[[#This Row],[Key]],ตารางรวม!$Z:$Z,0)),"ไม่พบสูตร"))</f>
        <v/>
      </c>
      <c r="L61" s="8" t="str">
        <f>IF(tblSales[[#This Row],[Key]]="","",IFERROR(INDEX(ตารางรวม!$V:$V,MATCH(tblSales[[#This Row],[Key]],ตารางรวม!$Z:$Z,0)),"ไม่พบสูตร"))</f>
        <v/>
      </c>
      <c r="M61" s="8" t="str">
        <f>IF(tblSales[[#This Row],[Key]]="","",IFERROR(tblSales[[#This Row],[ราคาต่อแก้ว]]*tblSales[[#This Row],[จำนวนแก้ว]],""))</f>
        <v/>
      </c>
      <c r="N61" s="8" t="str">
        <f>IF(tblSales[[#This Row],[Key]]="","",IFERROR(tblSales[[#This Row],[ต้นทุนต่อแก้ว]]*tblSales[[#This Row],[จำนวนแก้ว]],""))</f>
        <v/>
      </c>
      <c r="O61" s="8" t="str">
        <f>IF(tblSales[[#This Row],[Key]]="","",IFERROR(tblSales[[#This Row],[ยอดขาย (บาท)]]-tblSales[[#This Row],[ต้นทุนรวม (บาท)]],""))</f>
        <v/>
      </c>
      <c r="P61" s="21" t="str">
        <f>IF(tblSales[[#This Row],[Key]]="","",IFERROR(tblSales[[#This Row],[กำไร (บาท)]]/tblSales[[#This Row],[ยอดขาย (บาท)]],""))</f>
        <v/>
      </c>
      <c r="Q61" s="10" t="str">
        <f>IF(tblSales[[#This Row],[Key]]="","",IFERROR(INDEX(ตารางรวม!$D:$D,MATCH(tblSales[[#This Row],[Key]],ตารางรวม!$Z:$Z,0))*tblSales[[#This Row],[จำนวนแก้ว]],0))</f>
        <v/>
      </c>
      <c r="R61" s="10" t="str">
        <f>IF(tblSales[[#This Row],[Key]]="","",IFERROR(INDEX(ตารางรวม!$E:$E,MATCH(tblSales[[#This Row],[Key]],ตารางรวม!$Z:$Z,0))*tblSales[[#This Row],[จำนวนแก้ว]],0))</f>
        <v/>
      </c>
      <c r="S61" s="10" t="str">
        <f>IF(tblSales[[#This Row],[Key]]="","",IFERROR(INDEX(ตารางรวม!$F:$F,MATCH(tblSales[[#This Row],[Key]],ตารางรวม!$Z:$Z,0))*tblSales[[#This Row],[จำนวนแก้ว]],0))</f>
        <v/>
      </c>
      <c r="T61" s="10" t="str">
        <f>IF(tblSales[[#This Row],[Key]]="","",IFERROR(INDEX(ตารางรวม!$G:$G,MATCH(tblSales[[#This Row],[Key]],ตารางรวม!$Z:$Z,0))*tblSales[[#This Row],[จำนวนแก้ว]],0))</f>
        <v/>
      </c>
      <c r="U61" s="10" t="str">
        <f>IF(tblSales[[#This Row],[Key]]="","",IFERROR(INDEX(ตารางรวม!$H:$H,MATCH(tblSales[[#This Row],[Key]],ตารางรวม!$Z:$Z,0))*tblSales[[#This Row],[จำนวนแก้ว]],0))</f>
        <v/>
      </c>
      <c r="V61" s="10" t="str">
        <f>IF(tblSales[[#This Row],[Key]]="","",IFERROR(INDEX(ตารางรวม!$I:$I,MATCH(tblSales[[#This Row],[Key]],ตารางรวม!$Z:$Z,0))*tblSales[[#This Row],[จำนวนแก้ว]],0))</f>
        <v/>
      </c>
      <c r="W61" s="10" t="str">
        <f>IF(tblSales[[#This Row],[Key]]="","",IFERROR(INDEX(ตารางรวม!$J:$J,MATCH(tblSales[[#This Row],[Key]],ตารางรวม!$Z:$Z,0))*tblSales[[#This Row],[จำนวนแก้ว]],0))</f>
        <v/>
      </c>
      <c r="X61" s="10" t="str">
        <f>IF(tblSales[[#This Row],[Key]]="","",IFERROR(INDEX(ตารางรวม!$K:$K,MATCH(tblSales[[#This Row],[Key]],ตารางรวม!$Z:$Z,0))*tblSales[[#This Row],[จำนวนแก้ว]],0))</f>
        <v/>
      </c>
      <c r="Y61" s="10" t="str">
        <f>IF(tblSales[[#This Row],[Key]]="","",IFERROR(INDEX(ตารางรวม!$L:$L,MATCH(tblSales[[#This Row],[Key]],ตารางรวม!$Z:$Z,0))*tblSales[[#This Row],[จำนวนแก้ว]],0))</f>
        <v/>
      </c>
      <c r="Z61" s="10" t="str">
        <f>IF(tblSales[[#This Row],[Key]]="","",IFERROR(INDEX(ตารางรวม!$M:$M,MATCH(tblSales[[#This Row],[Key]],ตารางรวม!$Z:$Z,0))*tblSales[[#This Row],[จำนวนแก้ว]],0))</f>
        <v/>
      </c>
      <c r="AA61" s="10" t="str">
        <f>IF(tblSales[[#This Row],[Key]]="","",IFERROR(INDEX(ตารางรวม!$N:$N,MATCH(tblSales[[#This Row],[Key]],ตารางรวม!$Z:$Z,0))*tblSales[[#This Row],[จำนวนแก้ว]],0))</f>
        <v/>
      </c>
      <c r="AB61" s="10" t="str">
        <f>IF(tblSales[[#This Row],[Key]]="","",IFERROR(INDEX(ตารางรวม!$O:$O,MATCH(tblSales[[#This Row],[Key]],ตารางรวม!$Z:$Z,0))*tblSales[[#This Row],[จำนวนแก้ว]],0))</f>
        <v/>
      </c>
      <c r="AC61" s="10" t="str">
        <f>IF(tblSales[[#This Row],[Key]]="","",IFERROR(INDEX(ตารางรวม!$P:$P,MATCH(tblSales[[#This Row],[Key]],ตารางรวม!$Z:$Z,0))*tblSales[[#This Row],[จำนวนแก้ว]],0))</f>
        <v/>
      </c>
      <c r="AD61" s="10" t="str">
        <f>IF(tblSales[[#This Row],[Key]]="","",IFERROR(INDEX(ตารางรวม!$Q:$Q,MATCH(tblSales[[#This Row],[Key]],ตารางรวม!$Z:$Z,0))*tblSales[[#This Row],[จำนวนแก้ว]],0))</f>
        <v/>
      </c>
      <c r="AE61" s="10" t="str">
        <f>IF(tblSales[[#This Row],[Key]]="","",IFERROR(INDEX(ตารางรวม!$R:$R,MATCH(tblSales[[#This Row],[Key]],ตารางรวม!$Z:$Z,0))*tblSales[[#This Row],[จำนวนแก้ว]],0))</f>
        <v/>
      </c>
      <c r="AF61" s="10" t="str">
        <f>IF(tblSales[[#This Row],[Key]]="","",IFERROR(INDEX(ตารางรวม!$S:$S,MATCH(tblSales[[#This Row],[Key]],ตารางรวม!$Z:$Z,0))*tblSales[[#This Row],[จำนวนแก้ว]],0))</f>
        <v/>
      </c>
      <c r="AG61" s="10" t="str">
        <f>IF(tblSales[[#This Row],[Key]]="","",IFERROR(INDEX(ตารางรวม!$T:$T,MATCH(tblSales[[#This Row],[Key]],ตารางรวม!$Z:$Z,0))*tblSales[[#This Row],[จำนวนแก้ว]],0))</f>
        <v/>
      </c>
      <c r="AH61" s="10" t="str">
        <f>IF(tblSales[[#This Row],[Key]]="","",IF(tblSales[[#This Row],[ขนาด]]="16 oz",tblSales[[#This Row],[จำนวนแก้ว]],0))</f>
        <v/>
      </c>
      <c r="AI61" s="10" t="str">
        <f>IF(tblSales[[#This Row],[Key]]="","",IF(tblSales[[#This Row],[ขนาด]]="20 oz",tblSales[[#This Row],[จำนวนแก้ว]],0))</f>
        <v/>
      </c>
      <c r="AJ61" s="10" t="str">
        <f>IF(tblSales[[#This Row],[Key]]="","",IF(tblSales[[#This Row],[ขนาด]]="22 oz",tblSales[[#This Row],[จำนวนแก้ว]],0))</f>
        <v/>
      </c>
    </row>
    <row r="62" spans="1:36" x14ac:dyDescent="0.25">
      <c r="A62" s="4" t="str">
        <f>IF(tblSales[[#This Row],[วันที่]]="","","S"&amp;TEXT(tblSales[[#This Row],[วันที่]],"yymmdd")&amp;"-"&amp;TEXT(ROW()-5,"000"))</f>
        <v/>
      </c>
      <c r="B62" s="16"/>
      <c r="C62" s="6"/>
      <c r="D62" s="6"/>
      <c r="E62" s="20"/>
      <c r="F62" s="6"/>
      <c r="G62" s="6"/>
      <c r="H62" s="6"/>
      <c r="I62" s="6"/>
      <c r="J6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2" s="8" t="str">
        <f>IF(tblSales[[#This Row],[Key]]="","",IFERROR(INDEX(ตารางรวม!$W:$W,MATCH(tblSales[[#This Row],[Key]],ตารางรวม!$Z:$Z,0)),"ไม่พบสูตร"))</f>
        <v/>
      </c>
      <c r="L62" s="8" t="str">
        <f>IF(tblSales[[#This Row],[Key]]="","",IFERROR(INDEX(ตารางรวม!$V:$V,MATCH(tblSales[[#This Row],[Key]],ตารางรวม!$Z:$Z,0)),"ไม่พบสูตร"))</f>
        <v/>
      </c>
      <c r="M62" s="8" t="str">
        <f>IF(tblSales[[#This Row],[Key]]="","",IFERROR(tblSales[[#This Row],[ราคาต่อแก้ว]]*tblSales[[#This Row],[จำนวนแก้ว]],""))</f>
        <v/>
      </c>
      <c r="N62" s="8" t="str">
        <f>IF(tblSales[[#This Row],[Key]]="","",IFERROR(tblSales[[#This Row],[ต้นทุนต่อแก้ว]]*tblSales[[#This Row],[จำนวนแก้ว]],""))</f>
        <v/>
      </c>
      <c r="O62" s="8" t="str">
        <f>IF(tblSales[[#This Row],[Key]]="","",IFERROR(tblSales[[#This Row],[ยอดขาย (บาท)]]-tblSales[[#This Row],[ต้นทุนรวม (บาท)]],""))</f>
        <v/>
      </c>
      <c r="P62" s="21" t="str">
        <f>IF(tblSales[[#This Row],[Key]]="","",IFERROR(tblSales[[#This Row],[กำไร (บาท)]]/tblSales[[#This Row],[ยอดขาย (บาท)]],""))</f>
        <v/>
      </c>
      <c r="Q62" s="10" t="str">
        <f>IF(tblSales[[#This Row],[Key]]="","",IFERROR(INDEX(ตารางรวม!$D:$D,MATCH(tblSales[[#This Row],[Key]],ตารางรวม!$Z:$Z,0))*tblSales[[#This Row],[จำนวนแก้ว]],0))</f>
        <v/>
      </c>
      <c r="R62" s="10" t="str">
        <f>IF(tblSales[[#This Row],[Key]]="","",IFERROR(INDEX(ตารางรวม!$E:$E,MATCH(tblSales[[#This Row],[Key]],ตารางรวม!$Z:$Z,0))*tblSales[[#This Row],[จำนวนแก้ว]],0))</f>
        <v/>
      </c>
      <c r="S62" s="10" t="str">
        <f>IF(tblSales[[#This Row],[Key]]="","",IFERROR(INDEX(ตารางรวม!$F:$F,MATCH(tblSales[[#This Row],[Key]],ตารางรวม!$Z:$Z,0))*tblSales[[#This Row],[จำนวนแก้ว]],0))</f>
        <v/>
      </c>
      <c r="T62" s="10" t="str">
        <f>IF(tblSales[[#This Row],[Key]]="","",IFERROR(INDEX(ตารางรวม!$G:$G,MATCH(tblSales[[#This Row],[Key]],ตารางรวม!$Z:$Z,0))*tblSales[[#This Row],[จำนวนแก้ว]],0))</f>
        <v/>
      </c>
      <c r="U62" s="10" t="str">
        <f>IF(tblSales[[#This Row],[Key]]="","",IFERROR(INDEX(ตารางรวม!$H:$H,MATCH(tblSales[[#This Row],[Key]],ตารางรวม!$Z:$Z,0))*tblSales[[#This Row],[จำนวนแก้ว]],0))</f>
        <v/>
      </c>
      <c r="V62" s="10" t="str">
        <f>IF(tblSales[[#This Row],[Key]]="","",IFERROR(INDEX(ตารางรวม!$I:$I,MATCH(tblSales[[#This Row],[Key]],ตารางรวม!$Z:$Z,0))*tblSales[[#This Row],[จำนวนแก้ว]],0))</f>
        <v/>
      </c>
      <c r="W62" s="10" t="str">
        <f>IF(tblSales[[#This Row],[Key]]="","",IFERROR(INDEX(ตารางรวม!$J:$J,MATCH(tblSales[[#This Row],[Key]],ตารางรวม!$Z:$Z,0))*tblSales[[#This Row],[จำนวนแก้ว]],0))</f>
        <v/>
      </c>
      <c r="X62" s="10" t="str">
        <f>IF(tblSales[[#This Row],[Key]]="","",IFERROR(INDEX(ตารางรวม!$K:$K,MATCH(tblSales[[#This Row],[Key]],ตารางรวม!$Z:$Z,0))*tblSales[[#This Row],[จำนวนแก้ว]],0))</f>
        <v/>
      </c>
      <c r="Y62" s="10" t="str">
        <f>IF(tblSales[[#This Row],[Key]]="","",IFERROR(INDEX(ตารางรวม!$L:$L,MATCH(tblSales[[#This Row],[Key]],ตารางรวม!$Z:$Z,0))*tblSales[[#This Row],[จำนวนแก้ว]],0))</f>
        <v/>
      </c>
      <c r="Z62" s="10" t="str">
        <f>IF(tblSales[[#This Row],[Key]]="","",IFERROR(INDEX(ตารางรวม!$M:$M,MATCH(tblSales[[#This Row],[Key]],ตารางรวม!$Z:$Z,0))*tblSales[[#This Row],[จำนวนแก้ว]],0))</f>
        <v/>
      </c>
      <c r="AA62" s="10" t="str">
        <f>IF(tblSales[[#This Row],[Key]]="","",IFERROR(INDEX(ตารางรวม!$N:$N,MATCH(tblSales[[#This Row],[Key]],ตารางรวม!$Z:$Z,0))*tblSales[[#This Row],[จำนวนแก้ว]],0))</f>
        <v/>
      </c>
      <c r="AB62" s="10" t="str">
        <f>IF(tblSales[[#This Row],[Key]]="","",IFERROR(INDEX(ตารางรวม!$O:$O,MATCH(tblSales[[#This Row],[Key]],ตารางรวม!$Z:$Z,0))*tblSales[[#This Row],[จำนวนแก้ว]],0))</f>
        <v/>
      </c>
      <c r="AC62" s="10" t="str">
        <f>IF(tblSales[[#This Row],[Key]]="","",IFERROR(INDEX(ตารางรวม!$P:$P,MATCH(tblSales[[#This Row],[Key]],ตารางรวม!$Z:$Z,0))*tblSales[[#This Row],[จำนวนแก้ว]],0))</f>
        <v/>
      </c>
      <c r="AD62" s="10" t="str">
        <f>IF(tblSales[[#This Row],[Key]]="","",IFERROR(INDEX(ตารางรวม!$Q:$Q,MATCH(tblSales[[#This Row],[Key]],ตารางรวม!$Z:$Z,0))*tblSales[[#This Row],[จำนวนแก้ว]],0))</f>
        <v/>
      </c>
      <c r="AE62" s="10" t="str">
        <f>IF(tblSales[[#This Row],[Key]]="","",IFERROR(INDEX(ตารางรวม!$R:$R,MATCH(tblSales[[#This Row],[Key]],ตารางรวม!$Z:$Z,0))*tblSales[[#This Row],[จำนวนแก้ว]],0))</f>
        <v/>
      </c>
      <c r="AF62" s="10" t="str">
        <f>IF(tblSales[[#This Row],[Key]]="","",IFERROR(INDEX(ตารางรวม!$S:$S,MATCH(tblSales[[#This Row],[Key]],ตารางรวม!$Z:$Z,0))*tblSales[[#This Row],[จำนวนแก้ว]],0))</f>
        <v/>
      </c>
      <c r="AG62" s="10" t="str">
        <f>IF(tblSales[[#This Row],[Key]]="","",IFERROR(INDEX(ตารางรวม!$T:$T,MATCH(tblSales[[#This Row],[Key]],ตารางรวม!$Z:$Z,0))*tblSales[[#This Row],[จำนวนแก้ว]],0))</f>
        <v/>
      </c>
      <c r="AH62" s="10" t="str">
        <f>IF(tblSales[[#This Row],[Key]]="","",IF(tblSales[[#This Row],[ขนาด]]="16 oz",tblSales[[#This Row],[จำนวนแก้ว]],0))</f>
        <v/>
      </c>
      <c r="AI62" s="10" t="str">
        <f>IF(tblSales[[#This Row],[Key]]="","",IF(tblSales[[#This Row],[ขนาด]]="20 oz",tblSales[[#This Row],[จำนวนแก้ว]],0))</f>
        <v/>
      </c>
      <c r="AJ62" s="10" t="str">
        <f>IF(tblSales[[#This Row],[Key]]="","",IF(tblSales[[#This Row],[ขนาด]]="22 oz",tblSales[[#This Row],[จำนวนแก้ว]],0))</f>
        <v/>
      </c>
    </row>
    <row r="63" spans="1:36" x14ac:dyDescent="0.25">
      <c r="A63" s="4" t="str">
        <f>IF(tblSales[[#This Row],[วันที่]]="","","S"&amp;TEXT(tblSales[[#This Row],[วันที่]],"yymmdd")&amp;"-"&amp;TEXT(ROW()-5,"000"))</f>
        <v/>
      </c>
      <c r="B63" s="16"/>
      <c r="C63" s="6"/>
      <c r="D63" s="6"/>
      <c r="E63" s="20"/>
      <c r="F63" s="6"/>
      <c r="G63" s="6"/>
      <c r="H63" s="6"/>
      <c r="I63" s="6"/>
      <c r="J6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3" s="8" t="str">
        <f>IF(tblSales[[#This Row],[Key]]="","",IFERROR(INDEX(ตารางรวม!$W:$W,MATCH(tblSales[[#This Row],[Key]],ตารางรวม!$Z:$Z,0)),"ไม่พบสูตร"))</f>
        <v/>
      </c>
      <c r="L63" s="8" t="str">
        <f>IF(tblSales[[#This Row],[Key]]="","",IFERROR(INDEX(ตารางรวม!$V:$V,MATCH(tblSales[[#This Row],[Key]],ตารางรวม!$Z:$Z,0)),"ไม่พบสูตร"))</f>
        <v/>
      </c>
      <c r="M63" s="8" t="str">
        <f>IF(tblSales[[#This Row],[Key]]="","",IFERROR(tblSales[[#This Row],[ราคาต่อแก้ว]]*tblSales[[#This Row],[จำนวนแก้ว]],""))</f>
        <v/>
      </c>
      <c r="N63" s="8" t="str">
        <f>IF(tblSales[[#This Row],[Key]]="","",IFERROR(tblSales[[#This Row],[ต้นทุนต่อแก้ว]]*tblSales[[#This Row],[จำนวนแก้ว]],""))</f>
        <v/>
      </c>
      <c r="O63" s="8" t="str">
        <f>IF(tblSales[[#This Row],[Key]]="","",IFERROR(tblSales[[#This Row],[ยอดขาย (บาท)]]-tblSales[[#This Row],[ต้นทุนรวม (บาท)]],""))</f>
        <v/>
      </c>
      <c r="P63" s="21" t="str">
        <f>IF(tblSales[[#This Row],[Key]]="","",IFERROR(tblSales[[#This Row],[กำไร (บาท)]]/tblSales[[#This Row],[ยอดขาย (บาท)]],""))</f>
        <v/>
      </c>
      <c r="Q63" s="10" t="str">
        <f>IF(tblSales[[#This Row],[Key]]="","",IFERROR(INDEX(ตารางรวม!$D:$D,MATCH(tblSales[[#This Row],[Key]],ตารางรวม!$Z:$Z,0))*tblSales[[#This Row],[จำนวนแก้ว]],0))</f>
        <v/>
      </c>
      <c r="R63" s="10" t="str">
        <f>IF(tblSales[[#This Row],[Key]]="","",IFERROR(INDEX(ตารางรวม!$E:$E,MATCH(tblSales[[#This Row],[Key]],ตารางรวม!$Z:$Z,0))*tblSales[[#This Row],[จำนวนแก้ว]],0))</f>
        <v/>
      </c>
      <c r="S63" s="10" t="str">
        <f>IF(tblSales[[#This Row],[Key]]="","",IFERROR(INDEX(ตารางรวม!$F:$F,MATCH(tblSales[[#This Row],[Key]],ตารางรวม!$Z:$Z,0))*tblSales[[#This Row],[จำนวนแก้ว]],0))</f>
        <v/>
      </c>
      <c r="T63" s="10" t="str">
        <f>IF(tblSales[[#This Row],[Key]]="","",IFERROR(INDEX(ตารางรวม!$G:$G,MATCH(tblSales[[#This Row],[Key]],ตารางรวม!$Z:$Z,0))*tblSales[[#This Row],[จำนวนแก้ว]],0))</f>
        <v/>
      </c>
      <c r="U63" s="10" t="str">
        <f>IF(tblSales[[#This Row],[Key]]="","",IFERROR(INDEX(ตารางรวม!$H:$H,MATCH(tblSales[[#This Row],[Key]],ตารางรวม!$Z:$Z,0))*tblSales[[#This Row],[จำนวนแก้ว]],0))</f>
        <v/>
      </c>
      <c r="V63" s="10" t="str">
        <f>IF(tblSales[[#This Row],[Key]]="","",IFERROR(INDEX(ตารางรวม!$I:$I,MATCH(tblSales[[#This Row],[Key]],ตารางรวม!$Z:$Z,0))*tblSales[[#This Row],[จำนวนแก้ว]],0))</f>
        <v/>
      </c>
      <c r="W63" s="10" t="str">
        <f>IF(tblSales[[#This Row],[Key]]="","",IFERROR(INDEX(ตารางรวม!$J:$J,MATCH(tblSales[[#This Row],[Key]],ตารางรวม!$Z:$Z,0))*tblSales[[#This Row],[จำนวนแก้ว]],0))</f>
        <v/>
      </c>
      <c r="X63" s="10" t="str">
        <f>IF(tblSales[[#This Row],[Key]]="","",IFERROR(INDEX(ตารางรวม!$K:$K,MATCH(tblSales[[#This Row],[Key]],ตารางรวม!$Z:$Z,0))*tblSales[[#This Row],[จำนวนแก้ว]],0))</f>
        <v/>
      </c>
      <c r="Y63" s="10" t="str">
        <f>IF(tblSales[[#This Row],[Key]]="","",IFERROR(INDEX(ตารางรวม!$L:$L,MATCH(tblSales[[#This Row],[Key]],ตารางรวม!$Z:$Z,0))*tblSales[[#This Row],[จำนวนแก้ว]],0))</f>
        <v/>
      </c>
      <c r="Z63" s="10" t="str">
        <f>IF(tblSales[[#This Row],[Key]]="","",IFERROR(INDEX(ตารางรวม!$M:$M,MATCH(tblSales[[#This Row],[Key]],ตารางรวม!$Z:$Z,0))*tblSales[[#This Row],[จำนวนแก้ว]],0))</f>
        <v/>
      </c>
      <c r="AA63" s="10" t="str">
        <f>IF(tblSales[[#This Row],[Key]]="","",IFERROR(INDEX(ตารางรวม!$N:$N,MATCH(tblSales[[#This Row],[Key]],ตารางรวม!$Z:$Z,0))*tblSales[[#This Row],[จำนวนแก้ว]],0))</f>
        <v/>
      </c>
      <c r="AB63" s="10" t="str">
        <f>IF(tblSales[[#This Row],[Key]]="","",IFERROR(INDEX(ตารางรวม!$O:$O,MATCH(tblSales[[#This Row],[Key]],ตารางรวม!$Z:$Z,0))*tblSales[[#This Row],[จำนวนแก้ว]],0))</f>
        <v/>
      </c>
      <c r="AC63" s="10" t="str">
        <f>IF(tblSales[[#This Row],[Key]]="","",IFERROR(INDEX(ตารางรวม!$P:$P,MATCH(tblSales[[#This Row],[Key]],ตารางรวม!$Z:$Z,0))*tblSales[[#This Row],[จำนวนแก้ว]],0))</f>
        <v/>
      </c>
      <c r="AD63" s="10" t="str">
        <f>IF(tblSales[[#This Row],[Key]]="","",IFERROR(INDEX(ตารางรวม!$Q:$Q,MATCH(tblSales[[#This Row],[Key]],ตารางรวม!$Z:$Z,0))*tblSales[[#This Row],[จำนวนแก้ว]],0))</f>
        <v/>
      </c>
      <c r="AE63" s="10" t="str">
        <f>IF(tblSales[[#This Row],[Key]]="","",IFERROR(INDEX(ตารางรวม!$R:$R,MATCH(tblSales[[#This Row],[Key]],ตารางรวม!$Z:$Z,0))*tblSales[[#This Row],[จำนวนแก้ว]],0))</f>
        <v/>
      </c>
      <c r="AF63" s="10" t="str">
        <f>IF(tblSales[[#This Row],[Key]]="","",IFERROR(INDEX(ตารางรวม!$S:$S,MATCH(tblSales[[#This Row],[Key]],ตารางรวม!$Z:$Z,0))*tblSales[[#This Row],[จำนวนแก้ว]],0))</f>
        <v/>
      </c>
      <c r="AG63" s="10" t="str">
        <f>IF(tblSales[[#This Row],[Key]]="","",IFERROR(INDEX(ตารางรวม!$T:$T,MATCH(tblSales[[#This Row],[Key]],ตารางรวม!$Z:$Z,0))*tblSales[[#This Row],[จำนวนแก้ว]],0))</f>
        <v/>
      </c>
      <c r="AH63" s="10" t="str">
        <f>IF(tblSales[[#This Row],[Key]]="","",IF(tblSales[[#This Row],[ขนาด]]="16 oz",tblSales[[#This Row],[จำนวนแก้ว]],0))</f>
        <v/>
      </c>
      <c r="AI63" s="10" t="str">
        <f>IF(tblSales[[#This Row],[Key]]="","",IF(tblSales[[#This Row],[ขนาด]]="20 oz",tblSales[[#This Row],[จำนวนแก้ว]],0))</f>
        <v/>
      </c>
      <c r="AJ63" s="10" t="str">
        <f>IF(tblSales[[#This Row],[Key]]="","",IF(tblSales[[#This Row],[ขนาด]]="22 oz",tblSales[[#This Row],[จำนวนแก้ว]],0))</f>
        <v/>
      </c>
    </row>
    <row r="64" spans="1:36" x14ac:dyDescent="0.25">
      <c r="A64" s="4" t="str">
        <f>IF(tblSales[[#This Row],[วันที่]]="","","S"&amp;TEXT(tblSales[[#This Row],[วันที่]],"yymmdd")&amp;"-"&amp;TEXT(ROW()-5,"000"))</f>
        <v/>
      </c>
      <c r="B64" s="16"/>
      <c r="C64" s="6"/>
      <c r="D64" s="6"/>
      <c r="E64" s="20"/>
      <c r="F64" s="6"/>
      <c r="G64" s="6"/>
      <c r="H64" s="6"/>
      <c r="I64" s="6"/>
      <c r="J6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4" s="8" t="str">
        <f>IF(tblSales[[#This Row],[Key]]="","",IFERROR(INDEX(ตารางรวม!$W:$W,MATCH(tblSales[[#This Row],[Key]],ตารางรวม!$Z:$Z,0)),"ไม่พบสูตร"))</f>
        <v/>
      </c>
      <c r="L64" s="8" t="str">
        <f>IF(tblSales[[#This Row],[Key]]="","",IFERROR(INDEX(ตารางรวม!$V:$V,MATCH(tblSales[[#This Row],[Key]],ตารางรวม!$Z:$Z,0)),"ไม่พบสูตร"))</f>
        <v/>
      </c>
      <c r="M64" s="8" t="str">
        <f>IF(tblSales[[#This Row],[Key]]="","",IFERROR(tblSales[[#This Row],[ราคาต่อแก้ว]]*tblSales[[#This Row],[จำนวนแก้ว]],""))</f>
        <v/>
      </c>
      <c r="N64" s="8" t="str">
        <f>IF(tblSales[[#This Row],[Key]]="","",IFERROR(tblSales[[#This Row],[ต้นทุนต่อแก้ว]]*tblSales[[#This Row],[จำนวนแก้ว]],""))</f>
        <v/>
      </c>
      <c r="O64" s="8" t="str">
        <f>IF(tblSales[[#This Row],[Key]]="","",IFERROR(tblSales[[#This Row],[ยอดขาย (บาท)]]-tblSales[[#This Row],[ต้นทุนรวม (บาท)]],""))</f>
        <v/>
      </c>
      <c r="P64" s="21" t="str">
        <f>IF(tblSales[[#This Row],[Key]]="","",IFERROR(tblSales[[#This Row],[กำไร (บาท)]]/tblSales[[#This Row],[ยอดขาย (บาท)]],""))</f>
        <v/>
      </c>
      <c r="Q64" s="10" t="str">
        <f>IF(tblSales[[#This Row],[Key]]="","",IFERROR(INDEX(ตารางรวม!$D:$D,MATCH(tblSales[[#This Row],[Key]],ตารางรวม!$Z:$Z,0))*tblSales[[#This Row],[จำนวนแก้ว]],0))</f>
        <v/>
      </c>
      <c r="R64" s="10" t="str">
        <f>IF(tblSales[[#This Row],[Key]]="","",IFERROR(INDEX(ตารางรวม!$E:$E,MATCH(tblSales[[#This Row],[Key]],ตารางรวม!$Z:$Z,0))*tblSales[[#This Row],[จำนวนแก้ว]],0))</f>
        <v/>
      </c>
      <c r="S64" s="10" t="str">
        <f>IF(tblSales[[#This Row],[Key]]="","",IFERROR(INDEX(ตารางรวม!$F:$F,MATCH(tblSales[[#This Row],[Key]],ตารางรวม!$Z:$Z,0))*tblSales[[#This Row],[จำนวนแก้ว]],0))</f>
        <v/>
      </c>
      <c r="T64" s="10" t="str">
        <f>IF(tblSales[[#This Row],[Key]]="","",IFERROR(INDEX(ตารางรวม!$G:$G,MATCH(tblSales[[#This Row],[Key]],ตารางรวม!$Z:$Z,0))*tblSales[[#This Row],[จำนวนแก้ว]],0))</f>
        <v/>
      </c>
      <c r="U64" s="10" t="str">
        <f>IF(tblSales[[#This Row],[Key]]="","",IFERROR(INDEX(ตารางรวม!$H:$H,MATCH(tblSales[[#This Row],[Key]],ตารางรวม!$Z:$Z,0))*tblSales[[#This Row],[จำนวนแก้ว]],0))</f>
        <v/>
      </c>
      <c r="V64" s="10" t="str">
        <f>IF(tblSales[[#This Row],[Key]]="","",IFERROR(INDEX(ตารางรวม!$I:$I,MATCH(tblSales[[#This Row],[Key]],ตารางรวม!$Z:$Z,0))*tblSales[[#This Row],[จำนวนแก้ว]],0))</f>
        <v/>
      </c>
      <c r="W64" s="10" t="str">
        <f>IF(tblSales[[#This Row],[Key]]="","",IFERROR(INDEX(ตารางรวม!$J:$J,MATCH(tblSales[[#This Row],[Key]],ตารางรวม!$Z:$Z,0))*tblSales[[#This Row],[จำนวนแก้ว]],0))</f>
        <v/>
      </c>
      <c r="X64" s="10" t="str">
        <f>IF(tblSales[[#This Row],[Key]]="","",IFERROR(INDEX(ตารางรวม!$K:$K,MATCH(tblSales[[#This Row],[Key]],ตารางรวม!$Z:$Z,0))*tblSales[[#This Row],[จำนวนแก้ว]],0))</f>
        <v/>
      </c>
      <c r="Y64" s="10" t="str">
        <f>IF(tblSales[[#This Row],[Key]]="","",IFERROR(INDEX(ตารางรวม!$L:$L,MATCH(tblSales[[#This Row],[Key]],ตารางรวม!$Z:$Z,0))*tblSales[[#This Row],[จำนวนแก้ว]],0))</f>
        <v/>
      </c>
      <c r="Z64" s="10" t="str">
        <f>IF(tblSales[[#This Row],[Key]]="","",IFERROR(INDEX(ตารางรวม!$M:$M,MATCH(tblSales[[#This Row],[Key]],ตารางรวม!$Z:$Z,0))*tblSales[[#This Row],[จำนวนแก้ว]],0))</f>
        <v/>
      </c>
      <c r="AA64" s="10" t="str">
        <f>IF(tblSales[[#This Row],[Key]]="","",IFERROR(INDEX(ตารางรวม!$N:$N,MATCH(tblSales[[#This Row],[Key]],ตารางรวม!$Z:$Z,0))*tblSales[[#This Row],[จำนวนแก้ว]],0))</f>
        <v/>
      </c>
      <c r="AB64" s="10" t="str">
        <f>IF(tblSales[[#This Row],[Key]]="","",IFERROR(INDEX(ตารางรวม!$O:$O,MATCH(tblSales[[#This Row],[Key]],ตารางรวม!$Z:$Z,0))*tblSales[[#This Row],[จำนวนแก้ว]],0))</f>
        <v/>
      </c>
      <c r="AC64" s="10" t="str">
        <f>IF(tblSales[[#This Row],[Key]]="","",IFERROR(INDEX(ตารางรวม!$P:$P,MATCH(tblSales[[#This Row],[Key]],ตารางรวม!$Z:$Z,0))*tblSales[[#This Row],[จำนวนแก้ว]],0))</f>
        <v/>
      </c>
      <c r="AD64" s="10" t="str">
        <f>IF(tblSales[[#This Row],[Key]]="","",IFERROR(INDEX(ตารางรวม!$Q:$Q,MATCH(tblSales[[#This Row],[Key]],ตารางรวม!$Z:$Z,0))*tblSales[[#This Row],[จำนวนแก้ว]],0))</f>
        <v/>
      </c>
      <c r="AE64" s="10" t="str">
        <f>IF(tblSales[[#This Row],[Key]]="","",IFERROR(INDEX(ตารางรวม!$R:$R,MATCH(tblSales[[#This Row],[Key]],ตารางรวม!$Z:$Z,0))*tblSales[[#This Row],[จำนวนแก้ว]],0))</f>
        <v/>
      </c>
      <c r="AF64" s="10" t="str">
        <f>IF(tblSales[[#This Row],[Key]]="","",IFERROR(INDEX(ตารางรวม!$S:$S,MATCH(tblSales[[#This Row],[Key]],ตารางรวม!$Z:$Z,0))*tblSales[[#This Row],[จำนวนแก้ว]],0))</f>
        <v/>
      </c>
      <c r="AG64" s="10" t="str">
        <f>IF(tblSales[[#This Row],[Key]]="","",IFERROR(INDEX(ตารางรวม!$T:$T,MATCH(tblSales[[#This Row],[Key]],ตารางรวม!$Z:$Z,0))*tblSales[[#This Row],[จำนวนแก้ว]],0))</f>
        <v/>
      </c>
      <c r="AH64" s="10" t="str">
        <f>IF(tblSales[[#This Row],[Key]]="","",IF(tblSales[[#This Row],[ขนาด]]="16 oz",tblSales[[#This Row],[จำนวนแก้ว]],0))</f>
        <v/>
      </c>
      <c r="AI64" s="10" t="str">
        <f>IF(tblSales[[#This Row],[Key]]="","",IF(tblSales[[#This Row],[ขนาด]]="20 oz",tblSales[[#This Row],[จำนวนแก้ว]],0))</f>
        <v/>
      </c>
      <c r="AJ64" s="10" t="str">
        <f>IF(tblSales[[#This Row],[Key]]="","",IF(tblSales[[#This Row],[ขนาด]]="22 oz",tblSales[[#This Row],[จำนวนแก้ว]],0))</f>
        <v/>
      </c>
    </row>
    <row r="65" spans="1:36" x14ac:dyDescent="0.25">
      <c r="A65" s="4" t="str">
        <f>IF(tblSales[[#This Row],[วันที่]]="","","S"&amp;TEXT(tblSales[[#This Row],[วันที่]],"yymmdd")&amp;"-"&amp;TEXT(ROW()-5,"000"))</f>
        <v/>
      </c>
      <c r="B65" s="16"/>
      <c r="C65" s="6"/>
      <c r="D65" s="6"/>
      <c r="E65" s="20"/>
      <c r="F65" s="6"/>
      <c r="G65" s="6"/>
      <c r="H65" s="6"/>
      <c r="I65" s="6"/>
      <c r="J6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5" s="8" t="str">
        <f>IF(tblSales[[#This Row],[Key]]="","",IFERROR(INDEX(ตารางรวม!$W:$W,MATCH(tblSales[[#This Row],[Key]],ตารางรวม!$Z:$Z,0)),"ไม่พบสูตร"))</f>
        <v/>
      </c>
      <c r="L65" s="8" t="str">
        <f>IF(tblSales[[#This Row],[Key]]="","",IFERROR(INDEX(ตารางรวม!$V:$V,MATCH(tblSales[[#This Row],[Key]],ตารางรวม!$Z:$Z,0)),"ไม่พบสูตร"))</f>
        <v/>
      </c>
      <c r="M65" s="8" t="str">
        <f>IF(tblSales[[#This Row],[Key]]="","",IFERROR(tblSales[[#This Row],[ราคาต่อแก้ว]]*tblSales[[#This Row],[จำนวนแก้ว]],""))</f>
        <v/>
      </c>
      <c r="N65" s="8" t="str">
        <f>IF(tblSales[[#This Row],[Key]]="","",IFERROR(tblSales[[#This Row],[ต้นทุนต่อแก้ว]]*tblSales[[#This Row],[จำนวนแก้ว]],""))</f>
        <v/>
      </c>
      <c r="O65" s="8" t="str">
        <f>IF(tblSales[[#This Row],[Key]]="","",IFERROR(tblSales[[#This Row],[ยอดขาย (บาท)]]-tblSales[[#This Row],[ต้นทุนรวม (บาท)]],""))</f>
        <v/>
      </c>
      <c r="P65" s="21" t="str">
        <f>IF(tblSales[[#This Row],[Key]]="","",IFERROR(tblSales[[#This Row],[กำไร (บาท)]]/tblSales[[#This Row],[ยอดขาย (บาท)]],""))</f>
        <v/>
      </c>
      <c r="Q65" s="10" t="str">
        <f>IF(tblSales[[#This Row],[Key]]="","",IFERROR(INDEX(ตารางรวม!$D:$D,MATCH(tblSales[[#This Row],[Key]],ตารางรวม!$Z:$Z,0))*tblSales[[#This Row],[จำนวนแก้ว]],0))</f>
        <v/>
      </c>
      <c r="R65" s="10" t="str">
        <f>IF(tblSales[[#This Row],[Key]]="","",IFERROR(INDEX(ตารางรวม!$E:$E,MATCH(tblSales[[#This Row],[Key]],ตารางรวม!$Z:$Z,0))*tblSales[[#This Row],[จำนวนแก้ว]],0))</f>
        <v/>
      </c>
      <c r="S65" s="10" t="str">
        <f>IF(tblSales[[#This Row],[Key]]="","",IFERROR(INDEX(ตารางรวม!$F:$F,MATCH(tblSales[[#This Row],[Key]],ตารางรวม!$Z:$Z,0))*tblSales[[#This Row],[จำนวนแก้ว]],0))</f>
        <v/>
      </c>
      <c r="T65" s="10" t="str">
        <f>IF(tblSales[[#This Row],[Key]]="","",IFERROR(INDEX(ตารางรวม!$G:$G,MATCH(tblSales[[#This Row],[Key]],ตารางรวม!$Z:$Z,0))*tblSales[[#This Row],[จำนวนแก้ว]],0))</f>
        <v/>
      </c>
      <c r="U65" s="10" t="str">
        <f>IF(tblSales[[#This Row],[Key]]="","",IFERROR(INDEX(ตารางรวม!$H:$H,MATCH(tblSales[[#This Row],[Key]],ตารางรวม!$Z:$Z,0))*tblSales[[#This Row],[จำนวนแก้ว]],0))</f>
        <v/>
      </c>
      <c r="V65" s="10" t="str">
        <f>IF(tblSales[[#This Row],[Key]]="","",IFERROR(INDEX(ตารางรวม!$I:$I,MATCH(tblSales[[#This Row],[Key]],ตารางรวม!$Z:$Z,0))*tblSales[[#This Row],[จำนวนแก้ว]],0))</f>
        <v/>
      </c>
      <c r="W65" s="10" t="str">
        <f>IF(tblSales[[#This Row],[Key]]="","",IFERROR(INDEX(ตารางรวม!$J:$J,MATCH(tblSales[[#This Row],[Key]],ตารางรวม!$Z:$Z,0))*tblSales[[#This Row],[จำนวนแก้ว]],0))</f>
        <v/>
      </c>
      <c r="X65" s="10" t="str">
        <f>IF(tblSales[[#This Row],[Key]]="","",IFERROR(INDEX(ตารางรวม!$K:$K,MATCH(tblSales[[#This Row],[Key]],ตารางรวม!$Z:$Z,0))*tblSales[[#This Row],[จำนวนแก้ว]],0))</f>
        <v/>
      </c>
      <c r="Y65" s="10" t="str">
        <f>IF(tblSales[[#This Row],[Key]]="","",IFERROR(INDEX(ตารางรวม!$L:$L,MATCH(tblSales[[#This Row],[Key]],ตารางรวม!$Z:$Z,0))*tblSales[[#This Row],[จำนวนแก้ว]],0))</f>
        <v/>
      </c>
      <c r="Z65" s="10" t="str">
        <f>IF(tblSales[[#This Row],[Key]]="","",IFERROR(INDEX(ตารางรวม!$M:$M,MATCH(tblSales[[#This Row],[Key]],ตารางรวม!$Z:$Z,0))*tblSales[[#This Row],[จำนวนแก้ว]],0))</f>
        <v/>
      </c>
      <c r="AA65" s="10" t="str">
        <f>IF(tblSales[[#This Row],[Key]]="","",IFERROR(INDEX(ตารางรวม!$N:$N,MATCH(tblSales[[#This Row],[Key]],ตารางรวม!$Z:$Z,0))*tblSales[[#This Row],[จำนวนแก้ว]],0))</f>
        <v/>
      </c>
      <c r="AB65" s="10" t="str">
        <f>IF(tblSales[[#This Row],[Key]]="","",IFERROR(INDEX(ตารางรวม!$O:$O,MATCH(tblSales[[#This Row],[Key]],ตารางรวม!$Z:$Z,0))*tblSales[[#This Row],[จำนวนแก้ว]],0))</f>
        <v/>
      </c>
      <c r="AC65" s="10" t="str">
        <f>IF(tblSales[[#This Row],[Key]]="","",IFERROR(INDEX(ตารางรวม!$P:$P,MATCH(tblSales[[#This Row],[Key]],ตารางรวม!$Z:$Z,0))*tblSales[[#This Row],[จำนวนแก้ว]],0))</f>
        <v/>
      </c>
      <c r="AD65" s="10" t="str">
        <f>IF(tblSales[[#This Row],[Key]]="","",IFERROR(INDEX(ตารางรวม!$Q:$Q,MATCH(tblSales[[#This Row],[Key]],ตารางรวม!$Z:$Z,0))*tblSales[[#This Row],[จำนวนแก้ว]],0))</f>
        <v/>
      </c>
      <c r="AE65" s="10" t="str">
        <f>IF(tblSales[[#This Row],[Key]]="","",IFERROR(INDEX(ตารางรวม!$R:$R,MATCH(tblSales[[#This Row],[Key]],ตารางรวม!$Z:$Z,0))*tblSales[[#This Row],[จำนวนแก้ว]],0))</f>
        <v/>
      </c>
      <c r="AF65" s="10" t="str">
        <f>IF(tblSales[[#This Row],[Key]]="","",IFERROR(INDEX(ตารางรวม!$S:$S,MATCH(tblSales[[#This Row],[Key]],ตารางรวม!$Z:$Z,0))*tblSales[[#This Row],[จำนวนแก้ว]],0))</f>
        <v/>
      </c>
      <c r="AG65" s="10" t="str">
        <f>IF(tblSales[[#This Row],[Key]]="","",IFERROR(INDEX(ตารางรวม!$T:$T,MATCH(tblSales[[#This Row],[Key]],ตารางรวม!$Z:$Z,0))*tblSales[[#This Row],[จำนวนแก้ว]],0))</f>
        <v/>
      </c>
      <c r="AH65" s="10" t="str">
        <f>IF(tblSales[[#This Row],[Key]]="","",IF(tblSales[[#This Row],[ขนาด]]="16 oz",tblSales[[#This Row],[จำนวนแก้ว]],0))</f>
        <v/>
      </c>
      <c r="AI65" s="10" t="str">
        <f>IF(tblSales[[#This Row],[Key]]="","",IF(tblSales[[#This Row],[ขนาด]]="20 oz",tblSales[[#This Row],[จำนวนแก้ว]],0))</f>
        <v/>
      </c>
      <c r="AJ65" s="10" t="str">
        <f>IF(tblSales[[#This Row],[Key]]="","",IF(tblSales[[#This Row],[ขนาด]]="22 oz",tblSales[[#This Row],[จำนวนแก้ว]],0))</f>
        <v/>
      </c>
    </row>
    <row r="66" spans="1:36" x14ac:dyDescent="0.25">
      <c r="A66" s="4" t="str">
        <f>IF(tblSales[[#This Row],[วันที่]]="","","S"&amp;TEXT(tblSales[[#This Row],[วันที่]],"yymmdd")&amp;"-"&amp;TEXT(ROW()-5,"000"))</f>
        <v/>
      </c>
      <c r="B66" s="16"/>
      <c r="C66" s="6"/>
      <c r="D66" s="6"/>
      <c r="E66" s="20"/>
      <c r="F66" s="6"/>
      <c r="G66" s="6"/>
      <c r="H66" s="6"/>
      <c r="I66" s="6"/>
      <c r="J6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6" s="8" t="str">
        <f>IF(tblSales[[#This Row],[Key]]="","",IFERROR(INDEX(ตารางรวม!$W:$W,MATCH(tblSales[[#This Row],[Key]],ตารางรวม!$Z:$Z,0)),"ไม่พบสูตร"))</f>
        <v/>
      </c>
      <c r="L66" s="8" t="str">
        <f>IF(tblSales[[#This Row],[Key]]="","",IFERROR(INDEX(ตารางรวม!$V:$V,MATCH(tblSales[[#This Row],[Key]],ตารางรวม!$Z:$Z,0)),"ไม่พบสูตร"))</f>
        <v/>
      </c>
      <c r="M66" s="8" t="str">
        <f>IF(tblSales[[#This Row],[Key]]="","",IFERROR(tblSales[[#This Row],[ราคาต่อแก้ว]]*tblSales[[#This Row],[จำนวนแก้ว]],""))</f>
        <v/>
      </c>
      <c r="N66" s="8" t="str">
        <f>IF(tblSales[[#This Row],[Key]]="","",IFERROR(tblSales[[#This Row],[ต้นทุนต่อแก้ว]]*tblSales[[#This Row],[จำนวนแก้ว]],""))</f>
        <v/>
      </c>
      <c r="O66" s="8" t="str">
        <f>IF(tblSales[[#This Row],[Key]]="","",IFERROR(tblSales[[#This Row],[ยอดขาย (บาท)]]-tblSales[[#This Row],[ต้นทุนรวม (บาท)]],""))</f>
        <v/>
      </c>
      <c r="P66" s="21" t="str">
        <f>IF(tblSales[[#This Row],[Key]]="","",IFERROR(tblSales[[#This Row],[กำไร (บาท)]]/tblSales[[#This Row],[ยอดขาย (บาท)]],""))</f>
        <v/>
      </c>
      <c r="Q66" s="10" t="str">
        <f>IF(tblSales[[#This Row],[Key]]="","",IFERROR(INDEX(ตารางรวม!$D:$D,MATCH(tblSales[[#This Row],[Key]],ตารางรวม!$Z:$Z,0))*tblSales[[#This Row],[จำนวนแก้ว]],0))</f>
        <v/>
      </c>
      <c r="R66" s="10" t="str">
        <f>IF(tblSales[[#This Row],[Key]]="","",IFERROR(INDEX(ตารางรวม!$E:$E,MATCH(tblSales[[#This Row],[Key]],ตารางรวม!$Z:$Z,0))*tblSales[[#This Row],[จำนวนแก้ว]],0))</f>
        <v/>
      </c>
      <c r="S66" s="10" t="str">
        <f>IF(tblSales[[#This Row],[Key]]="","",IFERROR(INDEX(ตารางรวม!$F:$F,MATCH(tblSales[[#This Row],[Key]],ตารางรวม!$Z:$Z,0))*tblSales[[#This Row],[จำนวนแก้ว]],0))</f>
        <v/>
      </c>
      <c r="T66" s="10" t="str">
        <f>IF(tblSales[[#This Row],[Key]]="","",IFERROR(INDEX(ตารางรวม!$G:$G,MATCH(tblSales[[#This Row],[Key]],ตารางรวม!$Z:$Z,0))*tblSales[[#This Row],[จำนวนแก้ว]],0))</f>
        <v/>
      </c>
      <c r="U66" s="10" t="str">
        <f>IF(tblSales[[#This Row],[Key]]="","",IFERROR(INDEX(ตารางรวม!$H:$H,MATCH(tblSales[[#This Row],[Key]],ตารางรวม!$Z:$Z,0))*tblSales[[#This Row],[จำนวนแก้ว]],0))</f>
        <v/>
      </c>
      <c r="V66" s="10" t="str">
        <f>IF(tblSales[[#This Row],[Key]]="","",IFERROR(INDEX(ตารางรวม!$I:$I,MATCH(tblSales[[#This Row],[Key]],ตารางรวม!$Z:$Z,0))*tblSales[[#This Row],[จำนวนแก้ว]],0))</f>
        <v/>
      </c>
      <c r="W66" s="10" t="str">
        <f>IF(tblSales[[#This Row],[Key]]="","",IFERROR(INDEX(ตารางรวม!$J:$J,MATCH(tblSales[[#This Row],[Key]],ตารางรวม!$Z:$Z,0))*tblSales[[#This Row],[จำนวนแก้ว]],0))</f>
        <v/>
      </c>
      <c r="X66" s="10" t="str">
        <f>IF(tblSales[[#This Row],[Key]]="","",IFERROR(INDEX(ตารางรวม!$K:$K,MATCH(tblSales[[#This Row],[Key]],ตารางรวม!$Z:$Z,0))*tblSales[[#This Row],[จำนวนแก้ว]],0))</f>
        <v/>
      </c>
      <c r="Y66" s="10" t="str">
        <f>IF(tblSales[[#This Row],[Key]]="","",IFERROR(INDEX(ตารางรวม!$L:$L,MATCH(tblSales[[#This Row],[Key]],ตารางรวม!$Z:$Z,0))*tblSales[[#This Row],[จำนวนแก้ว]],0))</f>
        <v/>
      </c>
      <c r="Z66" s="10" t="str">
        <f>IF(tblSales[[#This Row],[Key]]="","",IFERROR(INDEX(ตารางรวม!$M:$M,MATCH(tblSales[[#This Row],[Key]],ตารางรวม!$Z:$Z,0))*tblSales[[#This Row],[จำนวนแก้ว]],0))</f>
        <v/>
      </c>
      <c r="AA66" s="10" t="str">
        <f>IF(tblSales[[#This Row],[Key]]="","",IFERROR(INDEX(ตารางรวม!$N:$N,MATCH(tblSales[[#This Row],[Key]],ตารางรวม!$Z:$Z,0))*tblSales[[#This Row],[จำนวนแก้ว]],0))</f>
        <v/>
      </c>
      <c r="AB66" s="10" t="str">
        <f>IF(tblSales[[#This Row],[Key]]="","",IFERROR(INDEX(ตารางรวม!$O:$O,MATCH(tblSales[[#This Row],[Key]],ตารางรวม!$Z:$Z,0))*tblSales[[#This Row],[จำนวนแก้ว]],0))</f>
        <v/>
      </c>
      <c r="AC66" s="10" t="str">
        <f>IF(tblSales[[#This Row],[Key]]="","",IFERROR(INDEX(ตารางรวม!$P:$P,MATCH(tblSales[[#This Row],[Key]],ตารางรวม!$Z:$Z,0))*tblSales[[#This Row],[จำนวนแก้ว]],0))</f>
        <v/>
      </c>
      <c r="AD66" s="10" t="str">
        <f>IF(tblSales[[#This Row],[Key]]="","",IFERROR(INDEX(ตารางรวม!$Q:$Q,MATCH(tblSales[[#This Row],[Key]],ตารางรวม!$Z:$Z,0))*tblSales[[#This Row],[จำนวนแก้ว]],0))</f>
        <v/>
      </c>
      <c r="AE66" s="10" t="str">
        <f>IF(tblSales[[#This Row],[Key]]="","",IFERROR(INDEX(ตารางรวม!$R:$R,MATCH(tblSales[[#This Row],[Key]],ตารางรวม!$Z:$Z,0))*tblSales[[#This Row],[จำนวนแก้ว]],0))</f>
        <v/>
      </c>
      <c r="AF66" s="10" t="str">
        <f>IF(tblSales[[#This Row],[Key]]="","",IFERROR(INDEX(ตารางรวม!$S:$S,MATCH(tblSales[[#This Row],[Key]],ตารางรวม!$Z:$Z,0))*tblSales[[#This Row],[จำนวนแก้ว]],0))</f>
        <v/>
      </c>
      <c r="AG66" s="10" t="str">
        <f>IF(tblSales[[#This Row],[Key]]="","",IFERROR(INDEX(ตารางรวม!$T:$T,MATCH(tblSales[[#This Row],[Key]],ตารางรวม!$Z:$Z,0))*tblSales[[#This Row],[จำนวนแก้ว]],0))</f>
        <v/>
      </c>
      <c r="AH66" s="10" t="str">
        <f>IF(tblSales[[#This Row],[Key]]="","",IF(tblSales[[#This Row],[ขนาด]]="16 oz",tblSales[[#This Row],[จำนวนแก้ว]],0))</f>
        <v/>
      </c>
      <c r="AI66" s="10" t="str">
        <f>IF(tblSales[[#This Row],[Key]]="","",IF(tblSales[[#This Row],[ขนาด]]="20 oz",tblSales[[#This Row],[จำนวนแก้ว]],0))</f>
        <v/>
      </c>
      <c r="AJ66" s="10" t="str">
        <f>IF(tblSales[[#This Row],[Key]]="","",IF(tblSales[[#This Row],[ขนาด]]="22 oz",tblSales[[#This Row],[จำนวนแก้ว]],0))</f>
        <v/>
      </c>
    </row>
    <row r="67" spans="1:36" x14ac:dyDescent="0.25">
      <c r="A67" s="4" t="str">
        <f>IF(tblSales[[#This Row],[วันที่]]="","","S"&amp;TEXT(tblSales[[#This Row],[วันที่]],"yymmdd")&amp;"-"&amp;TEXT(ROW()-5,"000"))</f>
        <v/>
      </c>
      <c r="B67" s="16"/>
      <c r="C67" s="6"/>
      <c r="D67" s="6"/>
      <c r="E67" s="20"/>
      <c r="F67" s="6"/>
      <c r="G67" s="6"/>
      <c r="H67" s="6"/>
      <c r="I67" s="6"/>
      <c r="J6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7" s="8" t="str">
        <f>IF(tblSales[[#This Row],[Key]]="","",IFERROR(INDEX(ตารางรวม!$W:$W,MATCH(tblSales[[#This Row],[Key]],ตารางรวม!$Z:$Z,0)),"ไม่พบสูตร"))</f>
        <v/>
      </c>
      <c r="L67" s="8" t="str">
        <f>IF(tblSales[[#This Row],[Key]]="","",IFERROR(INDEX(ตารางรวม!$V:$V,MATCH(tblSales[[#This Row],[Key]],ตารางรวม!$Z:$Z,0)),"ไม่พบสูตร"))</f>
        <v/>
      </c>
      <c r="M67" s="8" t="str">
        <f>IF(tblSales[[#This Row],[Key]]="","",IFERROR(tblSales[[#This Row],[ราคาต่อแก้ว]]*tblSales[[#This Row],[จำนวนแก้ว]],""))</f>
        <v/>
      </c>
      <c r="N67" s="8" t="str">
        <f>IF(tblSales[[#This Row],[Key]]="","",IFERROR(tblSales[[#This Row],[ต้นทุนต่อแก้ว]]*tblSales[[#This Row],[จำนวนแก้ว]],""))</f>
        <v/>
      </c>
      <c r="O67" s="8" t="str">
        <f>IF(tblSales[[#This Row],[Key]]="","",IFERROR(tblSales[[#This Row],[ยอดขาย (บาท)]]-tblSales[[#This Row],[ต้นทุนรวม (บาท)]],""))</f>
        <v/>
      </c>
      <c r="P67" s="21" t="str">
        <f>IF(tblSales[[#This Row],[Key]]="","",IFERROR(tblSales[[#This Row],[กำไร (บาท)]]/tblSales[[#This Row],[ยอดขาย (บาท)]],""))</f>
        <v/>
      </c>
      <c r="Q67" s="10" t="str">
        <f>IF(tblSales[[#This Row],[Key]]="","",IFERROR(INDEX(ตารางรวม!$D:$D,MATCH(tblSales[[#This Row],[Key]],ตารางรวม!$Z:$Z,0))*tblSales[[#This Row],[จำนวนแก้ว]],0))</f>
        <v/>
      </c>
      <c r="R67" s="10" t="str">
        <f>IF(tblSales[[#This Row],[Key]]="","",IFERROR(INDEX(ตารางรวม!$E:$E,MATCH(tblSales[[#This Row],[Key]],ตารางรวม!$Z:$Z,0))*tblSales[[#This Row],[จำนวนแก้ว]],0))</f>
        <v/>
      </c>
      <c r="S67" s="10" t="str">
        <f>IF(tblSales[[#This Row],[Key]]="","",IFERROR(INDEX(ตารางรวม!$F:$F,MATCH(tblSales[[#This Row],[Key]],ตารางรวม!$Z:$Z,0))*tblSales[[#This Row],[จำนวนแก้ว]],0))</f>
        <v/>
      </c>
      <c r="T67" s="10" t="str">
        <f>IF(tblSales[[#This Row],[Key]]="","",IFERROR(INDEX(ตารางรวม!$G:$G,MATCH(tblSales[[#This Row],[Key]],ตารางรวม!$Z:$Z,0))*tblSales[[#This Row],[จำนวนแก้ว]],0))</f>
        <v/>
      </c>
      <c r="U67" s="10" t="str">
        <f>IF(tblSales[[#This Row],[Key]]="","",IFERROR(INDEX(ตารางรวม!$H:$H,MATCH(tblSales[[#This Row],[Key]],ตารางรวม!$Z:$Z,0))*tblSales[[#This Row],[จำนวนแก้ว]],0))</f>
        <v/>
      </c>
      <c r="V67" s="10" t="str">
        <f>IF(tblSales[[#This Row],[Key]]="","",IFERROR(INDEX(ตารางรวม!$I:$I,MATCH(tblSales[[#This Row],[Key]],ตารางรวม!$Z:$Z,0))*tblSales[[#This Row],[จำนวนแก้ว]],0))</f>
        <v/>
      </c>
      <c r="W67" s="10" t="str">
        <f>IF(tblSales[[#This Row],[Key]]="","",IFERROR(INDEX(ตารางรวม!$J:$J,MATCH(tblSales[[#This Row],[Key]],ตารางรวม!$Z:$Z,0))*tblSales[[#This Row],[จำนวนแก้ว]],0))</f>
        <v/>
      </c>
      <c r="X67" s="10" t="str">
        <f>IF(tblSales[[#This Row],[Key]]="","",IFERROR(INDEX(ตารางรวม!$K:$K,MATCH(tblSales[[#This Row],[Key]],ตารางรวม!$Z:$Z,0))*tblSales[[#This Row],[จำนวนแก้ว]],0))</f>
        <v/>
      </c>
      <c r="Y67" s="10" t="str">
        <f>IF(tblSales[[#This Row],[Key]]="","",IFERROR(INDEX(ตารางรวม!$L:$L,MATCH(tblSales[[#This Row],[Key]],ตารางรวม!$Z:$Z,0))*tblSales[[#This Row],[จำนวนแก้ว]],0))</f>
        <v/>
      </c>
      <c r="Z67" s="10" t="str">
        <f>IF(tblSales[[#This Row],[Key]]="","",IFERROR(INDEX(ตารางรวม!$M:$M,MATCH(tblSales[[#This Row],[Key]],ตารางรวม!$Z:$Z,0))*tblSales[[#This Row],[จำนวนแก้ว]],0))</f>
        <v/>
      </c>
      <c r="AA67" s="10" t="str">
        <f>IF(tblSales[[#This Row],[Key]]="","",IFERROR(INDEX(ตารางรวม!$N:$N,MATCH(tblSales[[#This Row],[Key]],ตารางรวม!$Z:$Z,0))*tblSales[[#This Row],[จำนวนแก้ว]],0))</f>
        <v/>
      </c>
      <c r="AB67" s="10" t="str">
        <f>IF(tblSales[[#This Row],[Key]]="","",IFERROR(INDEX(ตารางรวม!$O:$O,MATCH(tblSales[[#This Row],[Key]],ตารางรวม!$Z:$Z,0))*tblSales[[#This Row],[จำนวนแก้ว]],0))</f>
        <v/>
      </c>
      <c r="AC67" s="10" t="str">
        <f>IF(tblSales[[#This Row],[Key]]="","",IFERROR(INDEX(ตารางรวม!$P:$P,MATCH(tblSales[[#This Row],[Key]],ตารางรวม!$Z:$Z,0))*tblSales[[#This Row],[จำนวนแก้ว]],0))</f>
        <v/>
      </c>
      <c r="AD67" s="10" t="str">
        <f>IF(tblSales[[#This Row],[Key]]="","",IFERROR(INDEX(ตารางรวม!$Q:$Q,MATCH(tblSales[[#This Row],[Key]],ตารางรวม!$Z:$Z,0))*tblSales[[#This Row],[จำนวนแก้ว]],0))</f>
        <v/>
      </c>
      <c r="AE67" s="10" t="str">
        <f>IF(tblSales[[#This Row],[Key]]="","",IFERROR(INDEX(ตารางรวม!$R:$R,MATCH(tblSales[[#This Row],[Key]],ตารางรวม!$Z:$Z,0))*tblSales[[#This Row],[จำนวนแก้ว]],0))</f>
        <v/>
      </c>
      <c r="AF67" s="10" t="str">
        <f>IF(tblSales[[#This Row],[Key]]="","",IFERROR(INDEX(ตารางรวม!$S:$S,MATCH(tblSales[[#This Row],[Key]],ตารางรวม!$Z:$Z,0))*tblSales[[#This Row],[จำนวนแก้ว]],0))</f>
        <v/>
      </c>
      <c r="AG67" s="10" t="str">
        <f>IF(tblSales[[#This Row],[Key]]="","",IFERROR(INDEX(ตารางรวม!$T:$T,MATCH(tblSales[[#This Row],[Key]],ตารางรวม!$Z:$Z,0))*tblSales[[#This Row],[จำนวนแก้ว]],0))</f>
        <v/>
      </c>
      <c r="AH67" s="10" t="str">
        <f>IF(tblSales[[#This Row],[Key]]="","",IF(tblSales[[#This Row],[ขนาด]]="16 oz",tblSales[[#This Row],[จำนวนแก้ว]],0))</f>
        <v/>
      </c>
      <c r="AI67" s="10" t="str">
        <f>IF(tblSales[[#This Row],[Key]]="","",IF(tblSales[[#This Row],[ขนาด]]="20 oz",tblSales[[#This Row],[จำนวนแก้ว]],0))</f>
        <v/>
      </c>
      <c r="AJ67" s="10" t="str">
        <f>IF(tblSales[[#This Row],[Key]]="","",IF(tblSales[[#This Row],[ขนาด]]="22 oz",tblSales[[#This Row],[จำนวนแก้ว]],0))</f>
        <v/>
      </c>
    </row>
    <row r="68" spans="1:36" x14ac:dyDescent="0.25">
      <c r="A68" s="4" t="str">
        <f>IF(tblSales[[#This Row],[วันที่]]="","","S"&amp;TEXT(tblSales[[#This Row],[วันที่]],"yymmdd")&amp;"-"&amp;TEXT(ROW()-5,"000"))</f>
        <v/>
      </c>
      <c r="B68" s="16"/>
      <c r="C68" s="6"/>
      <c r="D68" s="6"/>
      <c r="E68" s="20"/>
      <c r="F68" s="6"/>
      <c r="G68" s="6"/>
      <c r="H68" s="6"/>
      <c r="I68" s="6"/>
      <c r="J6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8" s="8" t="str">
        <f>IF(tblSales[[#This Row],[Key]]="","",IFERROR(INDEX(ตารางรวม!$W:$W,MATCH(tblSales[[#This Row],[Key]],ตารางรวม!$Z:$Z,0)),"ไม่พบสูตร"))</f>
        <v/>
      </c>
      <c r="L68" s="8" t="str">
        <f>IF(tblSales[[#This Row],[Key]]="","",IFERROR(INDEX(ตารางรวม!$V:$V,MATCH(tblSales[[#This Row],[Key]],ตารางรวม!$Z:$Z,0)),"ไม่พบสูตร"))</f>
        <v/>
      </c>
      <c r="M68" s="8" t="str">
        <f>IF(tblSales[[#This Row],[Key]]="","",IFERROR(tblSales[[#This Row],[ราคาต่อแก้ว]]*tblSales[[#This Row],[จำนวนแก้ว]],""))</f>
        <v/>
      </c>
      <c r="N68" s="8" t="str">
        <f>IF(tblSales[[#This Row],[Key]]="","",IFERROR(tblSales[[#This Row],[ต้นทุนต่อแก้ว]]*tblSales[[#This Row],[จำนวนแก้ว]],""))</f>
        <v/>
      </c>
      <c r="O68" s="8" t="str">
        <f>IF(tblSales[[#This Row],[Key]]="","",IFERROR(tblSales[[#This Row],[ยอดขาย (บาท)]]-tblSales[[#This Row],[ต้นทุนรวม (บาท)]],""))</f>
        <v/>
      </c>
      <c r="P68" s="21" t="str">
        <f>IF(tblSales[[#This Row],[Key]]="","",IFERROR(tblSales[[#This Row],[กำไร (บาท)]]/tblSales[[#This Row],[ยอดขาย (บาท)]],""))</f>
        <v/>
      </c>
      <c r="Q68" s="10" t="str">
        <f>IF(tblSales[[#This Row],[Key]]="","",IFERROR(INDEX(ตารางรวม!$D:$D,MATCH(tblSales[[#This Row],[Key]],ตารางรวม!$Z:$Z,0))*tblSales[[#This Row],[จำนวนแก้ว]],0))</f>
        <v/>
      </c>
      <c r="R68" s="10" t="str">
        <f>IF(tblSales[[#This Row],[Key]]="","",IFERROR(INDEX(ตารางรวม!$E:$E,MATCH(tblSales[[#This Row],[Key]],ตารางรวม!$Z:$Z,0))*tblSales[[#This Row],[จำนวนแก้ว]],0))</f>
        <v/>
      </c>
      <c r="S68" s="10" t="str">
        <f>IF(tblSales[[#This Row],[Key]]="","",IFERROR(INDEX(ตารางรวม!$F:$F,MATCH(tblSales[[#This Row],[Key]],ตารางรวม!$Z:$Z,0))*tblSales[[#This Row],[จำนวนแก้ว]],0))</f>
        <v/>
      </c>
      <c r="T68" s="10" t="str">
        <f>IF(tblSales[[#This Row],[Key]]="","",IFERROR(INDEX(ตารางรวม!$G:$G,MATCH(tblSales[[#This Row],[Key]],ตารางรวม!$Z:$Z,0))*tblSales[[#This Row],[จำนวนแก้ว]],0))</f>
        <v/>
      </c>
      <c r="U68" s="10" t="str">
        <f>IF(tblSales[[#This Row],[Key]]="","",IFERROR(INDEX(ตารางรวม!$H:$H,MATCH(tblSales[[#This Row],[Key]],ตารางรวม!$Z:$Z,0))*tblSales[[#This Row],[จำนวนแก้ว]],0))</f>
        <v/>
      </c>
      <c r="V68" s="10" t="str">
        <f>IF(tblSales[[#This Row],[Key]]="","",IFERROR(INDEX(ตารางรวม!$I:$I,MATCH(tblSales[[#This Row],[Key]],ตารางรวม!$Z:$Z,0))*tblSales[[#This Row],[จำนวนแก้ว]],0))</f>
        <v/>
      </c>
      <c r="W68" s="10" t="str">
        <f>IF(tblSales[[#This Row],[Key]]="","",IFERROR(INDEX(ตารางรวม!$J:$J,MATCH(tblSales[[#This Row],[Key]],ตารางรวม!$Z:$Z,0))*tblSales[[#This Row],[จำนวนแก้ว]],0))</f>
        <v/>
      </c>
      <c r="X68" s="10" t="str">
        <f>IF(tblSales[[#This Row],[Key]]="","",IFERROR(INDEX(ตารางรวม!$K:$K,MATCH(tblSales[[#This Row],[Key]],ตารางรวม!$Z:$Z,0))*tblSales[[#This Row],[จำนวนแก้ว]],0))</f>
        <v/>
      </c>
      <c r="Y68" s="10" t="str">
        <f>IF(tblSales[[#This Row],[Key]]="","",IFERROR(INDEX(ตารางรวม!$L:$L,MATCH(tblSales[[#This Row],[Key]],ตารางรวม!$Z:$Z,0))*tblSales[[#This Row],[จำนวนแก้ว]],0))</f>
        <v/>
      </c>
      <c r="Z68" s="10" t="str">
        <f>IF(tblSales[[#This Row],[Key]]="","",IFERROR(INDEX(ตารางรวม!$M:$M,MATCH(tblSales[[#This Row],[Key]],ตารางรวม!$Z:$Z,0))*tblSales[[#This Row],[จำนวนแก้ว]],0))</f>
        <v/>
      </c>
      <c r="AA68" s="10" t="str">
        <f>IF(tblSales[[#This Row],[Key]]="","",IFERROR(INDEX(ตารางรวม!$N:$N,MATCH(tblSales[[#This Row],[Key]],ตารางรวม!$Z:$Z,0))*tblSales[[#This Row],[จำนวนแก้ว]],0))</f>
        <v/>
      </c>
      <c r="AB68" s="10" t="str">
        <f>IF(tblSales[[#This Row],[Key]]="","",IFERROR(INDEX(ตารางรวม!$O:$O,MATCH(tblSales[[#This Row],[Key]],ตารางรวม!$Z:$Z,0))*tblSales[[#This Row],[จำนวนแก้ว]],0))</f>
        <v/>
      </c>
      <c r="AC68" s="10" t="str">
        <f>IF(tblSales[[#This Row],[Key]]="","",IFERROR(INDEX(ตารางรวม!$P:$P,MATCH(tblSales[[#This Row],[Key]],ตารางรวม!$Z:$Z,0))*tblSales[[#This Row],[จำนวนแก้ว]],0))</f>
        <v/>
      </c>
      <c r="AD68" s="10" t="str">
        <f>IF(tblSales[[#This Row],[Key]]="","",IFERROR(INDEX(ตารางรวม!$Q:$Q,MATCH(tblSales[[#This Row],[Key]],ตารางรวม!$Z:$Z,0))*tblSales[[#This Row],[จำนวนแก้ว]],0))</f>
        <v/>
      </c>
      <c r="AE68" s="10" t="str">
        <f>IF(tblSales[[#This Row],[Key]]="","",IFERROR(INDEX(ตารางรวม!$R:$R,MATCH(tblSales[[#This Row],[Key]],ตารางรวม!$Z:$Z,0))*tblSales[[#This Row],[จำนวนแก้ว]],0))</f>
        <v/>
      </c>
      <c r="AF68" s="10" t="str">
        <f>IF(tblSales[[#This Row],[Key]]="","",IFERROR(INDEX(ตารางรวม!$S:$S,MATCH(tblSales[[#This Row],[Key]],ตารางรวม!$Z:$Z,0))*tblSales[[#This Row],[จำนวนแก้ว]],0))</f>
        <v/>
      </c>
      <c r="AG68" s="10" t="str">
        <f>IF(tblSales[[#This Row],[Key]]="","",IFERROR(INDEX(ตารางรวม!$T:$T,MATCH(tblSales[[#This Row],[Key]],ตารางรวม!$Z:$Z,0))*tblSales[[#This Row],[จำนวนแก้ว]],0))</f>
        <v/>
      </c>
      <c r="AH68" s="10" t="str">
        <f>IF(tblSales[[#This Row],[Key]]="","",IF(tblSales[[#This Row],[ขนาด]]="16 oz",tblSales[[#This Row],[จำนวนแก้ว]],0))</f>
        <v/>
      </c>
      <c r="AI68" s="10" t="str">
        <f>IF(tblSales[[#This Row],[Key]]="","",IF(tblSales[[#This Row],[ขนาด]]="20 oz",tblSales[[#This Row],[จำนวนแก้ว]],0))</f>
        <v/>
      </c>
      <c r="AJ68" s="10" t="str">
        <f>IF(tblSales[[#This Row],[Key]]="","",IF(tblSales[[#This Row],[ขนาด]]="22 oz",tblSales[[#This Row],[จำนวนแก้ว]],0))</f>
        <v/>
      </c>
    </row>
    <row r="69" spans="1:36" x14ac:dyDescent="0.25">
      <c r="A69" s="4" t="str">
        <f>IF(tblSales[[#This Row],[วันที่]]="","","S"&amp;TEXT(tblSales[[#This Row],[วันที่]],"yymmdd")&amp;"-"&amp;TEXT(ROW()-5,"000"))</f>
        <v/>
      </c>
      <c r="B69" s="16"/>
      <c r="C69" s="6"/>
      <c r="D69" s="6"/>
      <c r="E69" s="20"/>
      <c r="F69" s="6"/>
      <c r="G69" s="6"/>
      <c r="H69" s="6"/>
      <c r="I69" s="6"/>
      <c r="J6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69" s="8" t="str">
        <f>IF(tblSales[[#This Row],[Key]]="","",IFERROR(INDEX(ตารางรวม!$W:$W,MATCH(tblSales[[#This Row],[Key]],ตารางรวม!$Z:$Z,0)),"ไม่พบสูตร"))</f>
        <v/>
      </c>
      <c r="L69" s="8" t="str">
        <f>IF(tblSales[[#This Row],[Key]]="","",IFERROR(INDEX(ตารางรวม!$V:$V,MATCH(tblSales[[#This Row],[Key]],ตารางรวม!$Z:$Z,0)),"ไม่พบสูตร"))</f>
        <v/>
      </c>
      <c r="M69" s="8" t="str">
        <f>IF(tblSales[[#This Row],[Key]]="","",IFERROR(tblSales[[#This Row],[ราคาต่อแก้ว]]*tblSales[[#This Row],[จำนวนแก้ว]],""))</f>
        <v/>
      </c>
      <c r="N69" s="8" t="str">
        <f>IF(tblSales[[#This Row],[Key]]="","",IFERROR(tblSales[[#This Row],[ต้นทุนต่อแก้ว]]*tblSales[[#This Row],[จำนวนแก้ว]],""))</f>
        <v/>
      </c>
      <c r="O69" s="8" t="str">
        <f>IF(tblSales[[#This Row],[Key]]="","",IFERROR(tblSales[[#This Row],[ยอดขาย (บาท)]]-tblSales[[#This Row],[ต้นทุนรวม (บาท)]],""))</f>
        <v/>
      </c>
      <c r="P69" s="21" t="str">
        <f>IF(tblSales[[#This Row],[Key]]="","",IFERROR(tblSales[[#This Row],[กำไร (บาท)]]/tblSales[[#This Row],[ยอดขาย (บาท)]],""))</f>
        <v/>
      </c>
      <c r="Q69" s="10" t="str">
        <f>IF(tblSales[[#This Row],[Key]]="","",IFERROR(INDEX(ตารางรวม!$D:$D,MATCH(tblSales[[#This Row],[Key]],ตารางรวม!$Z:$Z,0))*tblSales[[#This Row],[จำนวนแก้ว]],0))</f>
        <v/>
      </c>
      <c r="R69" s="10" t="str">
        <f>IF(tblSales[[#This Row],[Key]]="","",IFERROR(INDEX(ตารางรวม!$E:$E,MATCH(tblSales[[#This Row],[Key]],ตารางรวม!$Z:$Z,0))*tblSales[[#This Row],[จำนวนแก้ว]],0))</f>
        <v/>
      </c>
      <c r="S69" s="10" t="str">
        <f>IF(tblSales[[#This Row],[Key]]="","",IFERROR(INDEX(ตารางรวม!$F:$F,MATCH(tblSales[[#This Row],[Key]],ตารางรวม!$Z:$Z,0))*tblSales[[#This Row],[จำนวนแก้ว]],0))</f>
        <v/>
      </c>
      <c r="T69" s="10" t="str">
        <f>IF(tblSales[[#This Row],[Key]]="","",IFERROR(INDEX(ตารางรวม!$G:$G,MATCH(tblSales[[#This Row],[Key]],ตารางรวม!$Z:$Z,0))*tblSales[[#This Row],[จำนวนแก้ว]],0))</f>
        <v/>
      </c>
      <c r="U69" s="10" t="str">
        <f>IF(tblSales[[#This Row],[Key]]="","",IFERROR(INDEX(ตารางรวม!$H:$H,MATCH(tblSales[[#This Row],[Key]],ตารางรวม!$Z:$Z,0))*tblSales[[#This Row],[จำนวนแก้ว]],0))</f>
        <v/>
      </c>
      <c r="V69" s="10" t="str">
        <f>IF(tblSales[[#This Row],[Key]]="","",IFERROR(INDEX(ตารางรวม!$I:$I,MATCH(tblSales[[#This Row],[Key]],ตารางรวม!$Z:$Z,0))*tblSales[[#This Row],[จำนวนแก้ว]],0))</f>
        <v/>
      </c>
      <c r="W69" s="10" t="str">
        <f>IF(tblSales[[#This Row],[Key]]="","",IFERROR(INDEX(ตารางรวม!$J:$J,MATCH(tblSales[[#This Row],[Key]],ตารางรวม!$Z:$Z,0))*tblSales[[#This Row],[จำนวนแก้ว]],0))</f>
        <v/>
      </c>
      <c r="X69" s="10" t="str">
        <f>IF(tblSales[[#This Row],[Key]]="","",IFERROR(INDEX(ตารางรวม!$K:$K,MATCH(tblSales[[#This Row],[Key]],ตารางรวม!$Z:$Z,0))*tblSales[[#This Row],[จำนวนแก้ว]],0))</f>
        <v/>
      </c>
      <c r="Y69" s="10" t="str">
        <f>IF(tblSales[[#This Row],[Key]]="","",IFERROR(INDEX(ตารางรวม!$L:$L,MATCH(tblSales[[#This Row],[Key]],ตารางรวม!$Z:$Z,0))*tblSales[[#This Row],[จำนวนแก้ว]],0))</f>
        <v/>
      </c>
      <c r="Z69" s="10" t="str">
        <f>IF(tblSales[[#This Row],[Key]]="","",IFERROR(INDEX(ตารางรวม!$M:$M,MATCH(tblSales[[#This Row],[Key]],ตารางรวม!$Z:$Z,0))*tblSales[[#This Row],[จำนวนแก้ว]],0))</f>
        <v/>
      </c>
      <c r="AA69" s="10" t="str">
        <f>IF(tblSales[[#This Row],[Key]]="","",IFERROR(INDEX(ตารางรวม!$N:$N,MATCH(tblSales[[#This Row],[Key]],ตารางรวม!$Z:$Z,0))*tblSales[[#This Row],[จำนวนแก้ว]],0))</f>
        <v/>
      </c>
      <c r="AB69" s="10" t="str">
        <f>IF(tblSales[[#This Row],[Key]]="","",IFERROR(INDEX(ตารางรวม!$O:$O,MATCH(tblSales[[#This Row],[Key]],ตารางรวม!$Z:$Z,0))*tblSales[[#This Row],[จำนวนแก้ว]],0))</f>
        <v/>
      </c>
      <c r="AC69" s="10" t="str">
        <f>IF(tblSales[[#This Row],[Key]]="","",IFERROR(INDEX(ตารางรวม!$P:$P,MATCH(tblSales[[#This Row],[Key]],ตารางรวม!$Z:$Z,0))*tblSales[[#This Row],[จำนวนแก้ว]],0))</f>
        <v/>
      </c>
      <c r="AD69" s="10" t="str">
        <f>IF(tblSales[[#This Row],[Key]]="","",IFERROR(INDEX(ตารางรวม!$Q:$Q,MATCH(tblSales[[#This Row],[Key]],ตารางรวม!$Z:$Z,0))*tblSales[[#This Row],[จำนวนแก้ว]],0))</f>
        <v/>
      </c>
      <c r="AE69" s="10" t="str">
        <f>IF(tblSales[[#This Row],[Key]]="","",IFERROR(INDEX(ตารางรวม!$R:$R,MATCH(tblSales[[#This Row],[Key]],ตารางรวม!$Z:$Z,0))*tblSales[[#This Row],[จำนวนแก้ว]],0))</f>
        <v/>
      </c>
      <c r="AF69" s="10" t="str">
        <f>IF(tblSales[[#This Row],[Key]]="","",IFERROR(INDEX(ตารางรวม!$S:$S,MATCH(tblSales[[#This Row],[Key]],ตารางรวม!$Z:$Z,0))*tblSales[[#This Row],[จำนวนแก้ว]],0))</f>
        <v/>
      </c>
      <c r="AG69" s="10" t="str">
        <f>IF(tblSales[[#This Row],[Key]]="","",IFERROR(INDEX(ตารางรวม!$T:$T,MATCH(tblSales[[#This Row],[Key]],ตารางรวม!$Z:$Z,0))*tblSales[[#This Row],[จำนวนแก้ว]],0))</f>
        <v/>
      </c>
      <c r="AH69" s="10" t="str">
        <f>IF(tblSales[[#This Row],[Key]]="","",IF(tblSales[[#This Row],[ขนาด]]="16 oz",tblSales[[#This Row],[จำนวนแก้ว]],0))</f>
        <v/>
      </c>
      <c r="AI69" s="10" t="str">
        <f>IF(tblSales[[#This Row],[Key]]="","",IF(tblSales[[#This Row],[ขนาด]]="20 oz",tblSales[[#This Row],[จำนวนแก้ว]],0))</f>
        <v/>
      </c>
      <c r="AJ69" s="10" t="str">
        <f>IF(tblSales[[#This Row],[Key]]="","",IF(tblSales[[#This Row],[ขนาด]]="22 oz",tblSales[[#This Row],[จำนวนแก้ว]],0))</f>
        <v/>
      </c>
    </row>
    <row r="70" spans="1:36" x14ac:dyDescent="0.25">
      <c r="A70" s="4" t="str">
        <f>IF(tblSales[[#This Row],[วันที่]]="","","S"&amp;TEXT(tblSales[[#This Row],[วันที่]],"yymmdd")&amp;"-"&amp;TEXT(ROW()-5,"000"))</f>
        <v/>
      </c>
      <c r="B70" s="16"/>
      <c r="C70" s="6"/>
      <c r="D70" s="6"/>
      <c r="E70" s="20"/>
      <c r="F70" s="6"/>
      <c r="G70" s="6"/>
      <c r="H70" s="6"/>
      <c r="I70" s="6"/>
      <c r="J7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0" s="8" t="str">
        <f>IF(tblSales[[#This Row],[Key]]="","",IFERROR(INDEX(ตารางรวม!$W:$W,MATCH(tblSales[[#This Row],[Key]],ตารางรวม!$Z:$Z,0)),"ไม่พบสูตร"))</f>
        <v/>
      </c>
      <c r="L70" s="8" t="str">
        <f>IF(tblSales[[#This Row],[Key]]="","",IFERROR(INDEX(ตารางรวม!$V:$V,MATCH(tblSales[[#This Row],[Key]],ตารางรวม!$Z:$Z,0)),"ไม่พบสูตร"))</f>
        <v/>
      </c>
      <c r="M70" s="8" t="str">
        <f>IF(tblSales[[#This Row],[Key]]="","",IFERROR(tblSales[[#This Row],[ราคาต่อแก้ว]]*tblSales[[#This Row],[จำนวนแก้ว]],""))</f>
        <v/>
      </c>
      <c r="N70" s="8" t="str">
        <f>IF(tblSales[[#This Row],[Key]]="","",IFERROR(tblSales[[#This Row],[ต้นทุนต่อแก้ว]]*tblSales[[#This Row],[จำนวนแก้ว]],""))</f>
        <v/>
      </c>
      <c r="O70" s="8" t="str">
        <f>IF(tblSales[[#This Row],[Key]]="","",IFERROR(tblSales[[#This Row],[ยอดขาย (บาท)]]-tblSales[[#This Row],[ต้นทุนรวม (บาท)]],""))</f>
        <v/>
      </c>
      <c r="P70" s="21" t="str">
        <f>IF(tblSales[[#This Row],[Key]]="","",IFERROR(tblSales[[#This Row],[กำไร (บาท)]]/tblSales[[#This Row],[ยอดขาย (บาท)]],""))</f>
        <v/>
      </c>
      <c r="Q70" s="10" t="str">
        <f>IF(tblSales[[#This Row],[Key]]="","",IFERROR(INDEX(ตารางรวม!$D:$D,MATCH(tblSales[[#This Row],[Key]],ตารางรวม!$Z:$Z,0))*tblSales[[#This Row],[จำนวนแก้ว]],0))</f>
        <v/>
      </c>
      <c r="R70" s="10" t="str">
        <f>IF(tblSales[[#This Row],[Key]]="","",IFERROR(INDEX(ตารางรวม!$E:$E,MATCH(tblSales[[#This Row],[Key]],ตารางรวม!$Z:$Z,0))*tblSales[[#This Row],[จำนวนแก้ว]],0))</f>
        <v/>
      </c>
      <c r="S70" s="10" t="str">
        <f>IF(tblSales[[#This Row],[Key]]="","",IFERROR(INDEX(ตารางรวม!$F:$F,MATCH(tblSales[[#This Row],[Key]],ตารางรวม!$Z:$Z,0))*tblSales[[#This Row],[จำนวนแก้ว]],0))</f>
        <v/>
      </c>
      <c r="T70" s="10" t="str">
        <f>IF(tblSales[[#This Row],[Key]]="","",IFERROR(INDEX(ตารางรวม!$G:$G,MATCH(tblSales[[#This Row],[Key]],ตารางรวม!$Z:$Z,0))*tblSales[[#This Row],[จำนวนแก้ว]],0))</f>
        <v/>
      </c>
      <c r="U70" s="10" t="str">
        <f>IF(tblSales[[#This Row],[Key]]="","",IFERROR(INDEX(ตารางรวม!$H:$H,MATCH(tblSales[[#This Row],[Key]],ตารางรวม!$Z:$Z,0))*tblSales[[#This Row],[จำนวนแก้ว]],0))</f>
        <v/>
      </c>
      <c r="V70" s="10" t="str">
        <f>IF(tblSales[[#This Row],[Key]]="","",IFERROR(INDEX(ตารางรวม!$I:$I,MATCH(tblSales[[#This Row],[Key]],ตารางรวม!$Z:$Z,0))*tblSales[[#This Row],[จำนวนแก้ว]],0))</f>
        <v/>
      </c>
      <c r="W70" s="10" t="str">
        <f>IF(tblSales[[#This Row],[Key]]="","",IFERROR(INDEX(ตารางรวม!$J:$J,MATCH(tblSales[[#This Row],[Key]],ตารางรวม!$Z:$Z,0))*tblSales[[#This Row],[จำนวนแก้ว]],0))</f>
        <v/>
      </c>
      <c r="X70" s="10" t="str">
        <f>IF(tblSales[[#This Row],[Key]]="","",IFERROR(INDEX(ตารางรวม!$K:$K,MATCH(tblSales[[#This Row],[Key]],ตารางรวม!$Z:$Z,0))*tblSales[[#This Row],[จำนวนแก้ว]],0))</f>
        <v/>
      </c>
      <c r="Y70" s="10" t="str">
        <f>IF(tblSales[[#This Row],[Key]]="","",IFERROR(INDEX(ตารางรวม!$L:$L,MATCH(tblSales[[#This Row],[Key]],ตารางรวม!$Z:$Z,0))*tblSales[[#This Row],[จำนวนแก้ว]],0))</f>
        <v/>
      </c>
      <c r="Z70" s="10" t="str">
        <f>IF(tblSales[[#This Row],[Key]]="","",IFERROR(INDEX(ตารางรวม!$M:$M,MATCH(tblSales[[#This Row],[Key]],ตารางรวม!$Z:$Z,0))*tblSales[[#This Row],[จำนวนแก้ว]],0))</f>
        <v/>
      </c>
      <c r="AA70" s="10" t="str">
        <f>IF(tblSales[[#This Row],[Key]]="","",IFERROR(INDEX(ตารางรวม!$N:$N,MATCH(tblSales[[#This Row],[Key]],ตารางรวม!$Z:$Z,0))*tblSales[[#This Row],[จำนวนแก้ว]],0))</f>
        <v/>
      </c>
      <c r="AB70" s="10" t="str">
        <f>IF(tblSales[[#This Row],[Key]]="","",IFERROR(INDEX(ตารางรวม!$O:$O,MATCH(tblSales[[#This Row],[Key]],ตารางรวม!$Z:$Z,0))*tblSales[[#This Row],[จำนวนแก้ว]],0))</f>
        <v/>
      </c>
      <c r="AC70" s="10" t="str">
        <f>IF(tblSales[[#This Row],[Key]]="","",IFERROR(INDEX(ตารางรวม!$P:$P,MATCH(tblSales[[#This Row],[Key]],ตารางรวม!$Z:$Z,0))*tblSales[[#This Row],[จำนวนแก้ว]],0))</f>
        <v/>
      </c>
      <c r="AD70" s="10" t="str">
        <f>IF(tblSales[[#This Row],[Key]]="","",IFERROR(INDEX(ตารางรวม!$Q:$Q,MATCH(tblSales[[#This Row],[Key]],ตารางรวม!$Z:$Z,0))*tblSales[[#This Row],[จำนวนแก้ว]],0))</f>
        <v/>
      </c>
      <c r="AE70" s="10" t="str">
        <f>IF(tblSales[[#This Row],[Key]]="","",IFERROR(INDEX(ตารางรวม!$R:$R,MATCH(tblSales[[#This Row],[Key]],ตารางรวม!$Z:$Z,0))*tblSales[[#This Row],[จำนวนแก้ว]],0))</f>
        <v/>
      </c>
      <c r="AF70" s="10" t="str">
        <f>IF(tblSales[[#This Row],[Key]]="","",IFERROR(INDEX(ตารางรวม!$S:$S,MATCH(tblSales[[#This Row],[Key]],ตารางรวม!$Z:$Z,0))*tblSales[[#This Row],[จำนวนแก้ว]],0))</f>
        <v/>
      </c>
      <c r="AG70" s="10" t="str">
        <f>IF(tblSales[[#This Row],[Key]]="","",IFERROR(INDEX(ตารางรวม!$T:$T,MATCH(tblSales[[#This Row],[Key]],ตารางรวม!$Z:$Z,0))*tblSales[[#This Row],[จำนวนแก้ว]],0))</f>
        <v/>
      </c>
      <c r="AH70" s="10" t="str">
        <f>IF(tblSales[[#This Row],[Key]]="","",IF(tblSales[[#This Row],[ขนาด]]="16 oz",tblSales[[#This Row],[จำนวนแก้ว]],0))</f>
        <v/>
      </c>
      <c r="AI70" s="10" t="str">
        <f>IF(tblSales[[#This Row],[Key]]="","",IF(tblSales[[#This Row],[ขนาด]]="20 oz",tblSales[[#This Row],[จำนวนแก้ว]],0))</f>
        <v/>
      </c>
      <c r="AJ70" s="10" t="str">
        <f>IF(tblSales[[#This Row],[Key]]="","",IF(tblSales[[#This Row],[ขนาด]]="22 oz",tblSales[[#This Row],[จำนวนแก้ว]],0))</f>
        <v/>
      </c>
    </row>
    <row r="71" spans="1:36" x14ac:dyDescent="0.25">
      <c r="A71" s="4" t="str">
        <f>IF(tblSales[[#This Row],[วันที่]]="","","S"&amp;TEXT(tblSales[[#This Row],[วันที่]],"yymmdd")&amp;"-"&amp;TEXT(ROW()-5,"000"))</f>
        <v/>
      </c>
      <c r="B71" s="16"/>
      <c r="C71" s="6"/>
      <c r="D71" s="6"/>
      <c r="E71" s="20"/>
      <c r="F71" s="6"/>
      <c r="G71" s="6"/>
      <c r="H71" s="6"/>
      <c r="I71" s="6"/>
      <c r="J7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1" s="8" t="str">
        <f>IF(tblSales[[#This Row],[Key]]="","",IFERROR(INDEX(ตารางรวม!$W:$W,MATCH(tblSales[[#This Row],[Key]],ตารางรวม!$Z:$Z,0)),"ไม่พบสูตร"))</f>
        <v/>
      </c>
      <c r="L71" s="8" t="str">
        <f>IF(tblSales[[#This Row],[Key]]="","",IFERROR(INDEX(ตารางรวม!$V:$V,MATCH(tblSales[[#This Row],[Key]],ตารางรวม!$Z:$Z,0)),"ไม่พบสูตร"))</f>
        <v/>
      </c>
      <c r="M71" s="8" t="str">
        <f>IF(tblSales[[#This Row],[Key]]="","",IFERROR(tblSales[[#This Row],[ราคาต่อแก้ว]]*tblSales[[#This Row],[จำนวนแก้ว]],""))</f>
        <v/>
      </c>
      <c r="N71" s="8" t="str">
        <f>IF(tblSales[[#This Row],[Key]]="","",IFERROR(tblSales[[#This Row],[ต้นทุนต่อแก้ว]]*tblSales[[#This Row],[จำนวนแก้ว]],""))</f>
        <v/>
      </c>
      <c r="O71" s="8" t="str">
        <f>IF(tblSales[[#This Row],[Key]]="","",IFERROR(tblSales[[#This Row],[ยอดขาย (บาท)]]-tblSales[[#This Row],[ต้นทุนรวม (บาท)]],""))</f>
        <v/>
      </c>
      <c r="P71" s="21" t="str">
        <f>IF(tblSales[[#This Row],[Key]]="","",IFERROR(tblSales[[#This Row],[กำไร (บาท)]]/tblSales[[#This Row],[ยอดขาย (บาท)]],""))</f>
        <v/>
      </c>
      <c r="Q71" s="10" t="str">
        <f>IF(tblSales[[#This Row],[Key]]="","",IFERROR(INDEX(ตารางรวม!$D:$D,MATCH(tblSales[[#This Row],[Key]],ตารางรวม!$Z:$Z,0))*tblSales[[#This Row],[จำนวนแก้ว]],0))</f>
        <v/>
      </c>
      <c r="R71" s="10" t="str">
        <f>IF(tblSales[[#This Row],[Key]]="","",IFERROR(INDEX(ตารางรวม!$E:$E,MATCH(tblSales[[#This Row],[Key]],ตารางรวม!$Z:$Z,0))*tblSales[[#This Row],[จำนวนแก้ว]],0))</f>
        <v/>
      </c>
      <c r="S71" s="10" t="str">
        <f>IF(tblSales[[#This Row],[Key]]="","",IFERROR(INDEX(ตารางรวม!$F:$F,MATCH(tblSales[[#This Row],[Key]],ตารางรวม!$Z:$Z,0))*tblSales[[#This Row],[จำนวนแก้ว]],0))</f>
        <v/>
      </c>
      <c r="T71" s="10" t="str">
        <f>IF(tblSales[[#This Row],[Key]]="","",IFERROR(INDEX(ตารางรวม!$G:$G,MATCH(tblSales[[#This Row],[Key]],ตารางรวม!$Z:$Z,0))*tblSales[[#This Row],[จำนวนแก้ว]],0))</f>
        <v/>
      </c>
      <c r="U71" s="10" t="str">
        <f>IF(tblSales[[#This Row],[Key]]="","",IFERROR(INDEX(ตารางรวม!$H:$H,MATCH(tblSales[[#This Row],[Key]],ตารางรวม!$Z:$Z,0))*tblSales[[#This Row],[จำนวนแก้ว]],0))</f>
        <v/>
      </c>
      <c r="V71" s="10" t="str">
        <f>IF(tblSales[[#This Row],[Key]]="","",IFERROR(INDEX(ตารางรวม!$I:$I,MATCH(tblSales[[#This Row],[Key]],ตารางรวม!$Z:$Z,0))*tblSales[[#This Row],[จำนวนแก้ว]],0))</f>
        <v/>
      </c>
      <c r="W71" s="10" t="str">
        <f>IF(tblSales[[#This Row],[Key]]="","",IFERROR(INDEX(ตารางรวม!$J:$J,MATCH(tblSales[[#This Row],[Key]],ตารางรวม!$Z:$Z,0))*tblSales[[#This Row],[จำนวนแก้ว]],0))</f>
        <v/>
      </c>
      <c r="X71" s="10" t="str">
        <f>IF(tblSales[[#This Row],[Key]]="","",IFERROR(INDEX(ตารางรวม!$K:$K,MATCH(tblSales[[#This Row],[Key]],ตารางรวม!$Z:$Z,0))*tblSales[[#This Row],[จำนวนแก้ว]],0))</f>
        <v/>
      </c>
      <c r="Y71" s="10" t="str">
        <f>IF(tblSales[[#This Row],[Key]]="","",IFERROR(INDEX(ตารางรวม!$L:$L,MATCH(tblSales[[#This Row],[Key]],ตารางรวม!$Z:$Z,0))*tblSales[[#This Row],[จำนวนแก้ว]],0))</f>
        <v/>
      </c>
      <c r="Z71" s="10" t="str">
        <f>IF(tblSales[[#This Row],[Key]]="","",IFERROR(INDEX(ตารางรวม!$M:$M,MATCH(tblSales[[#This Row],[Key]],ตารางรวม!$Z:$Z,0))*tblSales[[#This Row],[จำนวนแก้ว]],0))</f>
        <v/>
      </c>
      <c r="AA71" s="10" t="str">
        <f>IF(tblSales[[#This Row],[Key]]="","",IFERROR(INDEX(ตารางรวม!$N:$N,MATCH(tblSales[[#This Row],[Key]],ตารางรวม!$Z:$Z,0))*tblSales[[#This Row],[จำนวนแก้ว]],0))</f>
        <v/>
      </c>
      <c r="AB71" s="10" t="str">
        <f>IF(tblSales[[#This Row],[Key]]="","",IFERROR(INDEX(ตารางรวม!$O:$O,MATCH(tblSales[[#This Row],[Key]],ตารางรวม!$Z:$Z,0))*tblSales[[#This Row],[จำนวนแก้ว]],0))</f>
        <v/>
      </c>
      <c r="AC71" s="10" t="str">
        <f>IF(tblSales[[#This Row],[Key]]="","",IFERROR(INDEX(ตารางรวม!$P:$P,MATCH(tblSales[[#This Row],[Key]],ตารางรวม!$Z:$Z,0))*tblSales[[#This Row],[จำนวนแก้ว]],0))</f>
        <v/>
      </c>
      <c r="AD71" s="10" t="str">
        <f>IF(tblSales[[#This Row],[Key]]="","",IFERROR(INDEX(ตารางรวม!$Q:$Q,MATCH(tblSales[[#This Row],[Key]],ตารางรวม!$Z:$Z,0))*tblSales[[#This Row],[จำนวนแก้ว]],0))</f>
        <v/>
      </c>
      <c r="AE71" s="10" t="str">
        <f>IF(tblSales[[#This Row],[Key]]="","",IFERROR(INDEX(ตารางรวม!$R:$R,MATCH(tblSales[[#This Row],[Key]],ตารางรวม!$Z:$Z,0))*tblSales[[#This Row],[จำนวนแก้ว]],0))</f>
        <v/>
      </c>
      <c r="AF71" s="10" t="str">
        <f>IF(tblSales[[#This Row],[Key]]="","",IFERROR(INDEX(ตารางรวม!$S:$S,MATCH(tblSales[[#This Row],[Key]],ตารางรวม!$Z:$Z,0))*tblSales[[#This Row],[จำนวนแก้ว]],0))</f>
        <v/>
      </c>
      <c r="AG71" s="10" t="str">
        <f>IF(tblSales[[#This Row],[Key]]="","",IFERROR(INDEX(ตารางรวม!$T:$T,MATCH(tblSales[[#This Row],[Key]],ตารางรวม!$Z:$Z,0))*tblSales[[#This Row],[จำนวนแก้ว]],0))</f>
        <v/>
      </c>
      <c r="AH71" s="10" t="str">
        <f>IF(tblSales[[#This Row],[Key]]="","",IF(tblSales[[#This Row],[ขนาด]]="16 oz",tblSales[[#This Row],[จำนวนแก้ว]],0))</f>
        <v/>
      </c>
      <c r="AI71" s="10" t="str">
        <f>IF(tblSales[[#This Row],[Key]]="","",IF(tblSales[[#This Row],[ขนาด]]="20 oz",tblSales[[#This Row],[จำนวนแก้ว]],0))</f>
        <v/>
      </c>
      <c r="AJ71" s="10" t="str">
        <f>IF(tblSales[[#This Row],[Key]]="","",IF(tblSales[[#This Row],[ขนาด]]="22 oz",tblSales[[#This Row],[จำนวนแก้ว]],0))</f>
        <v/>
      </c>
    </row>
    <row r="72" spans="1:36" x14ac:dyDescent="0.25">
      <c r="A72" s="4" t="str">
        <f>IF(tblSales[[#This Row],[วันที่]]="","","S"&amp;TEXT(tblSales[[#This Row],[วันที่]],"yymmdd")&amp;"-"&amp;TEXT(ROW()-5,"000"))</f>
        <v/>
      </c>
      <c r="B72" s="16"/>
      <c r="C72" s="6"/>
      <c r="D72" s="6"/>
      <c r="E72" s="20"/>
      <c r="F72" s="6"/>
      <c r="G72" s="6"/>
      <c r="H72" s="6"/>
      <c r="I72" s="6"/>
      <c r="J7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2" s="8" t="str">
        <f>IF(tblSales[[#This Row],[Key]]="","",IFERROR(INDEX(ตารางรวม!$W:$W,MATCH(tblSales[[#This Row],[Key]],ตารางรวม!$Z:$Z,0)),"ไม่พบสูตร"))</f>
        <v/>
      </c>
      <c r="L72" s="8" t="str">
        <f>IF(tblSales[[#This Row],[Key]]="","",IFERROR(INDEX(ตารางรวม!$V:$V,MATCH(tblSales[[#This Row],[Key]],ตารางรวม!$Z:$Z,0)),"ไม่พบสูตร"))</f>
        <v/>
      </c>
      <c r="M72" s="8" t="str">
        <f>IF(tblSales[[#This Row],[Key]]="","",IFERROR(tblSales[[#This Row],[ราคาต่อแก้ว]]*tblSales[[#This Row],[จำนวนแก้ว]],""))</f>
        <v/>
      </c>
      <c r="N72" s="8" t="str">
        <f>IF(tblSales[[#This Row],[Key]]="","",IFERROR(tblSales[[#This Row],[ต้นทุนต่อแก้ว]]*tblSales[[#This Row],[จำนวนแก้ว]],""))</f>
        <v/>
      </c>
      <c r="O72" s="8" t="str">
        <f>IF(tblSales[[#This Row],[Key]]="","",IFERROR(tblSales[[#This Row],[ยอดขาย (บาท)]]-tblSales[[#This Row],[ต้นทุนรวม (บาท)]],""))</f>
        <v/>
      </c>
      <c r="P72" s="21" t="str">
        <f>IF(tblSales[[#This Row],[Key]]="","",IFERROR(tblSales[[#This Row],[กำไร (บาท)]]/tblSales[[#This Row],[ยอดขาย (บาท)]],""))</f>
        <v/>
      </c>
      <c r="Q72" s="10" t="str">
        <f>IF(tblSales[[#This Row],[Key]]="","",IFERROR(INDEX(ตารางรวม!$D:$D,MATCH(tblSales[[#This Row],[Key]],ตารางรวม!$Z:$Z,0))*tblSales[[#This Row],[จำนวนแก้ว]],0))</f>
        <v/>
      </c>
      <c r="R72" s="10" t="str">
        <f>IF(tblSales[[#This Row],[Key]]="","",IFERROR(INDEX(ตารางรวม!$E:$E,MATCH(tblSales[[#This Row],[Key]],ตารางรวม!$Z:$Z,0))*tblSales[[#This Row],[จำนวนแก้ว]],0))</f>
        <v/>
      </c>
      <c r="S72" s="10" t="str">
        <f>IF(tblSales[[#This Row],[Key]]="","",IFERROR(INDEX(ตารางรวม!$F:$F,MATCH(tblSales[[#This Row],[Key]],ตารางรวม!$Z:$Z,0))*tblSales[[#This Row],[จำนวนแก้ว]],0))</f>
        <v/>
      </c>
      <c r="T72" s="10" t="str">
        <f>IF(tblSales[[#This Row],[Key]]="","",IFERROR(INDEX(ตารางรวม!$G:$G,MATCH(tblSales[[#This Row],[Key]],ตารางรวม!$Z:$Z,0))*tblSales[[#This Row],[จำนวนแก้ว]],0))</f>
        <v/>
      </c>
      <c r="U72" s="10" t="str">
        <f>IF(tblSales[[#This Row],[Key]]="","",IFERROR(INDEX(ตารางรวม!$H:$H,MATCH(tblSales[[#This Row],[Key]],ตารางรวม!$Z:$Z,0))*tblSales[[#This Row],[จำนวนแก้ว]],0))</f>
        <v/>
      </c>
      <c r="V72" s="10" t="str">
        <f>IF(tblSales[[#This Row],[Key]]="","",IFERROR(INDEX(ตารางรวม!$I:$I,MATCH(tblSales[[#This Row],[Key]],ตารางรวม!$Z:$Z,0))*tblSales[[#This Row],[จำนวนแก้ว]],0))</f>
        <v/>
      </c>
      <c r="W72" s="10" t="str">
        <f>IF(tblSales[[#This Row],[Key]]="","",IFERROR(INDEX(ตารางรวม!$J:$J,MATCH(tblSales[[#This Row],[Key]],ตารางรวม!$Z:$Z,0))*tblSales[[#This Row],[จำนวนแก้ว]],0))</f>
        <v/>
      </c>
      <c r="X72" s="10" t="str">
        <f>IF(tblSales[[#This Row],[Key]]="","",IFERROR(INDEX(ตารางรวม!$K:$K,MATCH(tblSales[[#This Row],[Key]],ตารางรวม!$Z:$Z,0))*tblSales[[#This Row],[จำนวนแก้ว]],0))</f>
        <v/>
      </c>
      <c r="Y72" s="10" t="str">
        <f>IF(tblSales[[#This Row],[Key]]="","",IFERROR(INDEX(ตารางรวม!$L:$L,MATCH(tblSales[[#This Row],[Key]],ตารางรวม!$Z:$Z,0))*tblSales[[#This Row],[จำนวนแก้ว]],0))</f>
        <v/>
      </c>
      <c r="Z72" s="10" t="str">
        <f>IF(tblSales[[#This Row],[Key]]="","",IFERROR(INDEX(ตารางรวม!$M:$M,MATCH(tblSales[[#This Row],[Key]],ตารางรวม!$Z:$Z,0))*tblSales[[#This Row],[จำนวนแก้ว]],0))</f>
        <v/>
      </c>
      <c r="AA72" s="10" t="str">
        <f>IF(tblSales[[#This Row],[Key]]="","",IFERROR(INDEX(ตารางรวม!$N:$N,MATCH(tblSales[[#This Row],[Key]],ตารางรวม!$Z:$Z,0))*tblSales[[#This Row],[จำนวนแก้ว]],0))</f>
        <v/>
      </c>
      <c r="AB72" s="10" t="str">
        <f>IF(tblSales[[#This Row],[Key]]="","",IFERROR(INDEX(ตารางรวม!$O:$O,MATCH(tblSales[[#This Row],[Key]],ตารางรวม!$Z:$Z,0))*tblSales[[#This Row],[จำนวนแก้ว]],0))</f>
        <v/>
      </c>
      <c r="AC72" s="10" t="str">
        <f>IF(tblSales[[#This Row],[Key]]="","",IFERROR(INDEX(ตารางรวม!$P:$P,MATCH(tblSales[[#This Row],[Key]],ตารางรวม!$Z:$Z,0))*tblSales[[#This Row],[จำนวนแก้ว]],0))</f>
        <v/>
      </c>
      <c r="AD72" s="10" t="str">
        <f>IF(tblSales[[#This Row],[Key]]="","",IFERROR(INDEX(ตารางรวม!$Q:$Q,MATCH(tblSales[[#This Row],[Key]],ตารางรวม!$Z:$Z,0))*tblSales[[#This Row],[จำนวนแก้ว]],0))</f>
        <v/>
      </c>
      <c r="AE72" s="10" t="str">
        <f>IF(tblSales[[#This Row],[Key]]="","",IFERROR(INDEX(ตารางรวม!$R:$R,MATCH(tblSales[[#This Row],[Key]],ตารางรวม!$Z:$Z,0))*tblSales[[#This Row],[จำนวนแก้ว]],0))</f>
        <v/>
      </c>
      <c r="AF72" s="10" t="str">
        <f>IF(tblSales[[#This Row],[Key]]="","",IFERROR(INDEX(ตารางรวม!$S:$S,MATCH(tblSales[[#This Row],[Key]],ตารางรวม!$Z:$Z,0))*tblSales[[#This Row],[จำนวนแก้ว]],0))</f>
        <v/>
      </c>
      <c r="AG72" s="10" t="str">
        <f>IF(tblSales[[#This Row],[Key]]="","",IFERROR(INDEX(ตารางรวม!$T:$T,MATCH(tblSales[[#This Row],[Key]],ตารางรวม!$Z:$Z,0))*tblSales[[#This Row],[จำนวนแก้ว]],0))</f>
        <v/>
      </c>
      <c r="AH72" s="10" t="str">
        <f>IF(tblSales[[#This Row],[Key]]="","",IF(tblSales[[#This Row],[ขนาด]]="16 oz",tblSales[[#This Row],[จำนวนแก้ว]],0))</f>
        <v/>
      </c>
      <c r="AI72" s="10" t="str">
        <f>IF(tblSales[[#This Row],[Key]]="","",IF(tblSales[[#This Row],[ขนาด]]="20 oz",tblSales[[#This Row],[จำนวนแก้ว]],0))</f>
        <v/>
      </c>
      <c r="AJ72" s="10" t="str">
        <f>IF(tblSales[[#This Row],[Key]]="","",IF(tblSales[[#This Row],[ขนาด]]="22 oz",tblSales[[#This Row],[จำนวนแก้ว]],0))</f>
        <v/>
      </c>
    </row>
    <row r="73" spans="1:36" x14ac:dyDescent="0.25">
      <c r="A73" s="4" t="str">
        <f>IF(tblSales[[#This Row],[วันที่]]="","","S"&amp;TEXT(tblSales[[#This Row],[วันที่]],"yymmdd")&amp;"-"&amp;TEXT(ROW()-5,"000"))</f>
        <v/>
      </c>
      <c r="B73" s="16"/>
      <c r="C73" s="6"/>
      <c r="D73" s="6"/>
      <c r="E73" s="20"/>
      <c r="F73" s="6"/>
      <c r="G73" s="6"/>
      <c r="H73" s="6"/>
      <c r="I73" s="6"/>
      <c r="J7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3" s="8" t="str">
        <f>IF(tblSales[[#This Row],[Key]]="","",IFERROR(INDEX(ตารางรวม!$W:$W,MATCH(tblSales[[#This Row],[Key]],ตารางรวม!$Z:$Z,0)),"ไม่พบสูตร"))</f>
        <v/>
      </c>
      <c r="L73" s="8" t="str">
        <f>IF(tblSales[[#This Row],[Key]]="","",IFERROR(INDEX(ตารางรวม!$V:$V,MATCH(tblSales[[#This Row],[Key]],ตารางรวม!$Z:$Z,0)),"ไม่พบสูตร"))</f>
        <v/>
      </c>
      <c r="M73" s="8" t="str">
        <f>IF(tblSales[[#This Row],[Key]]="","",IFERROR(tblSales[[#This Row],[ราคาต่อแก้ว]]*tblSales[[#This Row],[จำนวนแก้ว]],""))</f>
        <v/>
      </c>
      <c r="N73" s="8" t="str">
        <f>IF(tblSales[[#This Row],[Key]]="","",IFERROR(tblSales[[#This Row],[ต้นทุนต่อแก้ว]]*tblSales[[#This Row],[จำนวนแก้ว]],""))</f>
        <v/>
      </c>
      <c r="O73" s="8" t="str">
        <f>IF(tblSales[[#This Row],[Key]]="","",IFERROR(tblSales[[#This Row],[ยอดขาย (บาท)]]-tblSales[[#This Row],[ต้นทุนรวม (บาท)]],""))</f>
        <v/>
      </c>
      <c r="P73" s="21" t="str">
        <f>IF(tblSales[[#This Row],[Key]]="","",IFERROR(tblSales[[#This Row],[กำไร (บาท)]]/tblSales[[#This Row],[ยอดขาย (บาท)]],""))</f>
        <v/>
      </c>
      <c r="Q73" s="10" t="str">
        <f>IF(tblSales[[#This Row],[Key]]="","",IFERROR(INDEX(ตารางรวม!$D:$D,MATCH(tblSales[[#This Row],[Key]],ตารางรวม!$Z:$Z,0))*tblSales[[#This Row],[จำนวนแก้ว]],0))</f>
        <v/>
      </c>
      <c r="R73" s="10" t="str">
        <f>IF(tblSales[[#This Row],[Key]]="","",IFERROR(INDEX(ตารางรวม!$E:$E,MATCH(tblSales[[#This Row],[Key]],ตารางรวม!$Z:$Z,0))*tblSales[[#This Row],[จำนวนแก้ว]],0))</f>
        <v/>
      </c>
      <c r="S73" s="10" t="str">
        <f>IF(tblSales[[#This Row],[Key]]="","",IFERROR(INDEX(ตารางรวม!$F:$F,MATCH(tblSales[[#This Row],[Key]],ตารางรวม!$Z:$Z,0))*tblSales[[#This Row],[จำนวนแก้ว]],0))</f>
        <v/>
      </c>
      <c r="T73" s="10" t="str">
        <f>IF(tblSales[[#This Row],[Key]]="","",IFERROR(INDEX(ตารางรวม!$G:$G,MATCH(tblSales[[#This Row],[Key]],ตารางรวม!$Z:$Z,0))*tblSales[[#This Row],[จำนวนแก้ว]],0))</f>
        <v/>
      </c>
      <c r="U73" s="10" t="str">
        <f>IF(tblSales[[#This Row],[Key]]="","",IFERROR(INDEX(ตารางรวม!$H:$H,MATCH(tblSales[[#This Row],[Key]],ตารางรวม!$Z:$Z,0))*tblSales[[#This Row],[จำนวนแก้ว]],0))</f>
        <v/>
      </c>
      <c r="V73" s="10" t="str">
        <f>IF(tblSales[[#This Row],[Key]]="","",IFERROR(INDEX(ตารางรวม!$I:$I,MATCH(tblSales[[#This Row],[Key]],ตารางรวม!$Z:$Z,0))*tblSales[[#This Row],[จำนวนแก้ว]],0))</f>
        <v/>
      </c>
      <c r="W73" s="10" t="str">
        <f>IF(tblSales[[#This Row],[Key]]="","",IFERROR(INDEX(ตารางรวม!$J:$J,MATCH(tblSales[[#This Row],[Key]],ตารางรวม!$Z:$Z,0))*tblSales[[#This Row],[จำนวนแก้ว]],0))</f>
        <v/>
      </c>
      <c r="X73" s="10" t="str">
        <f>IF(tblSales[[#This Row],[Key]]="","",IFERROR(INDEX(ตารางรวม!$K:$K,MATCH(tblSales[[#This Row],[Key]],ตารางรวม!$Z:$Z,0))*tblSales[[#This Row],[จำนวนแก้ว]],0))</f>
        <v/>
      </c>
      <c r="Y73" s="10" t="str">
        <f>IF(tblSales[[#This Row],[Key]]="","",IFERROR(INDEX(ตารางรวม!$L:$L,MATCH(tblSales[[#This Row],[Key]],ตารางรวม!$Z:$Z,0))*tblSales[[#This Row],[จำนวนแก้ว]],0))</f>
        <v/>
      </c>
      <c r="Z73" s="10" t="str">
        <f>IF(tblSales[[#This Row],[Key]]="","",IFERROR(INDEX(ตารางรวม!$M:$M,MATCH(tblSales[[#This Row],[Key]],ตารางรวม!$Z:$Z,0))*tblSales[[#This Row],[จำนวนแก้ว]],0))</f>
        <v/>
      </c>
      <c r="AA73" s="10" t="str">
        <f>IF(tblSales[[#This Row],[Key]]="","",IFERROR(INDEX(ตารางรวม!$N:$N,MATCH(tblSales[[#This Row],[Key]],ตารางรวม!$Z:$Z,0))*tblSales[[#This Row],[จำนวนแก้ว]],0))</f>
        <v/>
      </c>
      <c r="AB73" s="10" t="str">
        <f>IF(tblSales[[#This Row],[Key]]="","",IFERROR(INDEX(ตารางรวม!$O:$O,MATCH(tblSales[[#This Row],[Key]],ตารางรวม!$Z:$Z,0))*tblSales[[#This Row],[จำนวนแก้ว]],0))</f>
        <v/>
      </c>
      <c r="AC73" s="10" t="str">
        <f>IF(tblSales[[#This Row],[Key]]="","",IFERROR(INDEX(ตารางรวม!$P:$P,MATCH(tblSales[[#This Row],[Key]],ตารางรวม!$Z:$Z,0))*tblSales[[#This Row],[จำนวนแก้ว]],0))</f>
        <v/>
      </c>
      <c r="AD73" s="10" t="str">
        <f>IF(tblSales[[#This Row],[Key]]="","",IFERROR(INDEX(ตารางรวม!$Q:$Q,MATCH(tblSales[[#This Row],[Key]],ตารางรวม!$Z:$Z,0))*tblSales[[#This Row],[จำนวนแก้ว]],0))</f>
        <v/>
      </c>
      <c r="AE73" s="10" t="str">
        <f>IF(tblSales[[#This Row],[Key]]="","",IFERROR(INDEX(ตารางรวม!$R:$R,MATCH(tblSales[[#This Row],[Key]],ตารางรวม!$Z:$Z,0))*tblSales[[#This Row],[จำนวนแก้ว]],0))</f>
        <v/>
      </c>
      <c r="AF73" s="10" t="str">
        <f>IF(tblSales[[#This Row],[Key]]="","",IFERROR(INDEX(ตารางรวม!$S:$S,MATCH(tblSales[[#This Row],[Key]],ตารางรวม!$Z:$Z,0))*tblSales[[#This Row],[จำนวนแก้ว]],0))</f>
        <v/>
      </c>
      <c r="AG73" s="10" t="str">
        <f>IF(tblSales[[#This Row],[Key]]="","",IFERROR(INDEX(ตารางรวม!$T:$T,MATCH(tblSales[[#This Row],[Key]],ตารางรวม!$Z:$Z,0))*tblSales[[#This Row],[จำนวนแก้ว]],0))</f>
        <v/>
      </c>
      <c r="AH73" s="10" t="str">
        <f>IF(tblSales[[#This Row],[Key]]="","",IF(tblSales[[#This Row],[ขนาด]]="16 oz",tblSales[[#This Row],[จำนวนแก้ว]],0))</f>
        <v/>
      </c>
      <c r="AI73" s="10" t="str">
        <f>IF(tblSales[[#This Row],[Key]]="","",IF(tblSales[[#This Row],[ขนาด]]="20 oz",tblSales[[#This Row],[จำนวนแก้ว]],0))</f>
        <v/>
      </c>
      <c r="AJ73" s="10" t="str">
        <f>IF(tblSales[[#This Row],[Key]]="","",IF(tblSales[[#This Row],[ขนาด]]="22 oz",tblSales[[#This Row],[จำนวนแก้ว]],0))</f>
        <v/>
      </c>
    </row>
    <row r="74" spans="1:36" x14ac:dyDescent="0.25">
      <c r="A74" s="4" t="str">
        <f>IF(tblSales[[#This Row],[วันที่]]="","","S"&amp;TEXT(tblSales[[#This Row],[วันที่]],"yymmdd")&amp;"-"&amp;TEXT(ROW()-5,"000"))</f>
        <v/>
      </c>
      <c r="B74" s="16"/>
      <c r="C74" s="6"/>
      <c r="D74" s="6"/>
      <c r="E74" s="20"/>
      <c r="F74" s="6"/>
      <c r="G74" s="6"/>
      <c r="H74" s="6"/>
      <c r="I74" s="6"/>
      <c r="J7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4" s="8" t="str">
        <f>IF(tblSales[[#This Row],[Key]]="","",IFERROR(INDEX(ตารางรวม!$W:$W,MATCH(tblSales[[#This Row],[Key]],ตารางรวม!$Z:$Z,0)),"ไม่พบสูตร"))</f>
        <v/>
      </c>
      <c r="L74" s="8" t="str">
        <f>IF(tblSales[[#This Row],[Key]]="","",IFERROR(INDEX(ตารางรวม!$V:$V,MATCH(tblSales[[#This Row],[Key]],ตารางรวม!$Z:$Z,0)),"ไม่พบสูตร"))</f>
        <v/>
      </c>
      <c r="M74" s="8" t="str">
        <f>IF(tblSales[[#This Row],[Key]]="","",IFERROR(tblSales[[#This Row],[ราคาต่อแก้ว]]*tblSales[[#This Row],[จำนวนแก้ว]],""))</f>
        <v/>
      </c>
      <c r="N74" s="8" t="str">
        <f>IF(tblSales[[#This Row],[Key]]="","",IFERROR(tblSales[[#This Row],[ต้นทุนต่อแก้ว]]*tblSales[[#This Row],[จำนวนแก้ว]],""))</f>
        <v/>
      </c>
      <c r="O74" s="8" t="str">
        <f>IF(tblSales[[#This Row],[Key]]="","",IFERROR(tblSales[[#This Row],[ยอดขาย (บาท)]]-tblSales[[#This Row],[ต้นทุนรวม (บาท)]],""))</f>
        <v/>
      </c>
      <c r="P74" s="21" t="str">
        <f>IF(tblSales[[#This Row],[Key]]="","",IFERROR(tblSales[[#This Row],[กำไร (บาท)]]/tblSales[[#This Row],[ยอดขาย (บาท)]],""))</f>
        <v/>
      </c>
      <c r="Q74" s="10" t="str">
        <f>IF(tblSales[[#This Row],[Key]]="","",IFERROR(INDEX(ตารางรวม!$D:$D,MATCH(tblSales[[#This Row],[Key]],ตารางรวม!$Z:$Z,0))*tblSales[[#This Row],[จำนวนแก้ว]],0))</f>
        <v/>
      </c>
      <c r="R74" s="10" t="str">
        <f>IF(tblSales[[#This Row],[Key]]="","",IFERROR(INDEX(ตารางรวม!$E:$E,MATCH(tblSales[[#This Row],[Key]],ตารางรวม!$Z:$Z,0))*tblSales[[#This Row],[จำนวนแก้ว]],0))</f>
        <v/>
      </c>
      <c r="S74" s="10" t="str">
        <f>IF(tblSales[[#This Row],[Key]]="","",IFERROR(INDEX(ตารางรวม!$F:$F,MATCH(tblSales[[#This Row],[Key]],ตารางรวม!$Z:$Z,0))*tblSales[[#This Row],[จำนวนแก้ว]],0))</f>
        <v/>
      </c>
      <c r="T74" s="10" t="str">
        <f>IF(tblSales[[#This Row],[Key]]="","",IFERROR(INDEX(ตารางรวม!$G:$G,MATCH(tblSales[[#This Row],[Key]],ตารางรวม!$Z:$Z,0))*tblSales[[#This Row],[จำนวนแก้ว]],0))</f>
        <v/>
      </c>
      <c r="U74" s="10" t="str">
        <f>IF(tblSales[[#This Row],[Key]]="","",IFERROR(INDEX(ตารางรวม!$H:$H,MATCH(tblSales[[#This Row],[Key]],ตารางรวม!$Z:$Z,0))*tblSales[[#This Row],[จำนวนแก้ว]],0))</f>
        <v/>
      </c>
      <c r="V74" s="10" t="str">
        <f>IF(tblSales[[#This Row],[Key]]="","",IFERROR(INDEX(ตารางรวม!$I:$I,MATCH(tblSales[[#This Row],[Key]],ตารางรวม!$Z:$Z,0))*tblSales[[#This Row],[จำนวนแก้ว]],0))</f>
        <v/>
      </c>
      <c r="W74" s="10" t="str">
        <f>IF(tblSales[[#This Row],[Key]]="","",IFERROR(INDEX(ตารางรวม!$J:$J,MATCH(tblSales[[#This Row],[Key]],ตารางรวม!$Z:$Z,0))*tblSales[[#This Row],[จำนวนแก้ว]],0))</f>
        <v/>
      </c>
      <c r="X74" s="10" t="str">
        <f>IF(tblSales[[#This Row],[Key]]="","",IFERROR(INDEX(ตารางรวม!$K:$K,MATCH(tblSales[[#This Row],[Key]],ตารางรวม!$Z:$Z,0))*tblSales[[#This Row],[จำนวนแก้ว]],0))</f>
        <v/>
      </c>
      <c r="Y74" s="10" t="str">
        <f>IF(tblSales[[#This Row],[Key]]="","",IFERROR(INDEX(ตารางรวม!$L:$L,MATCH(tblSales[[#This Row],[Key]],ตารางรวม!$Z:$Z,0))*tblSales[[#This Row],[จำนวนแก้ว]],0))</f>
        <v/>
      </c>
      <c r="Z74" s="10" t="str">
        <f>IF(tblSales[[#This Row],[Key]]="","",IFERROR(INDEX(ตารางรวม!$M:$M,MATCH(tblSales[[#This Row],[Key]],ตารางรวม!$Z:$Z,0))*tblSales[[#This Row],[จำนวนแก้ว]],0))</f>
        <v/>
      </c>
      <c r="AA74" s="10" t="str">
        <f>IF(tblSales[[#This Row],[Key]]="","",IFERROR(INDEX(ตารางรวม!$N:$N,MATCH(tblSales[[#This Row],[Key]],ตารางรวม!$Z:$Z,0))*tblSales[[#This Row],[จำนวนแก้ว]],0))</f>
        <v/>
      </c>
      <c r="AB74" s="10" t="str">
        <f>IF(tblSales[[#This Row],[Key]]="","",IFERROR(INDEX(ตารางรวม!$O:$O,MATCH(tblSales[[#This Row],[Key]],ตารางรวม!$Z:$Z,0))*tblSales[[#This Row],[จำนวนแก้ว]],0))</f>
        <v/>
      </c>
      <c r="AC74" s="10" t="str">
        <f>IF(tblSales[[#This Row],[Key]]="","",IFERROR(INDEX(ตารางรวม!$P:$P,MATCH(tblSales[[#This Row],[Key]],ตารางรวม!$Z:$Z,0))*tblSales[[#This Row],[จำนวนแก้ว]],0))</f>
        <v/>
      </c>
      <c r="AD74" s="10" t="str">
        <f>IF(tblSales[[#This Row],[Key]]="","",IFERROR(INDEX(ตารางรวม!$Q:$Q,MATCH(tblSales[[#This Row],[Key]],ตารางรวม!$Z:$Z,0))*tblSales[[#This Row],[จำนวนแก้ว]],0))</f>
        <v/>
      </c>
      <c r="AE74" s="10" t="str">
        <f>IF(tblSales[[#This Row],[Key]]="","",IFERROR(INDEX(ตารางรวม!$R:$R,MATCH(tblSales[[#This Row],[Key]],ตารางรวม!$Z:$Z,0))*tblSales[[#This Row],[จำนวนแก้ว]],0))</f>
        <v/>
      </c>
      <c r="AF74" s="10" t="str">
        <f>IF(tblSales[[#This Row],[Key]]="","",IFERROR(INDEX(ตารางรวม!$S:$S,MATCH(tblSales[[#This Row],[Key]],ตารางรวม!$Z:$Z,0))*tblSales[[#This Row],[จำนวนแก้ว]],0))</f>
        <v/>
      </c>
      <c r="AG74" s="10" t="str">
        <f>IF(tblSales[[#This Row],[Key]]="","",IFERROR(INDEX(ตารางรวม!$T:$T,MATCH(tblSales[[#This Row],[Key]],ตารางรวม!$Z:$Z,0))*tblSales[[#This Row],[จำนวนแก้ว]],0))</f>
        <v/>
      </c>
      <c r="AH74" s="10" t="str">
        <f>IF(tblSales[[#This Row],[Key]]="","",IF(tblSales[[#This Row],[ขนาด]]="16 oz",tblSales[[#This Row],[จำนวนแก้ว]],0))</f>
        <v/>
      </c>
      <c r="AI74" s="10" t="str">
        <f>IF(tblSales[[#This Row],[Key]]="","",IF(tblSales[[#This Row],[ขนาด]]="20 oz",tblSales[[#This Row],[จำนวนแก้ว]],0))</f>
        <v/>
      </c>
      <c r="AJ74" s="10" t="str">
        <f>IF(tblSales[[#This Row],[Key]]="","",IF(tblSales[[#This Row],[ขนาด]]="22 oz",tblSales[[#This Row],[จำนวนแก้ว]],0))</f>
        <v/>
      </c>
    </row>
    <row r="75" spans="1:36" x14ac:dyDescent="0.25">
      <c r="A75" s="4" t="str">
        <f>IF(tblSales[[#This Row],[วันที่]]="","","S"&amp;TEXT(tblSales[[#This Row],[วันที่]],"yymmdd")&amp;"-"&amp;TEXT(ROW()-5,"000"))</f>
        <v/>
      </c>
      <c r="B75" s="16"/>
      <c r="C75" s="6"/>
      <c r="D75" s="6"/>
      <c r="E75" s="20"/>
      <c r="F75" s="6"/>
      <c r="G75" s="6"/>
      <c r="H75" s="6"/>
      <c r="I75" s="6"/>
      <c r="J7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5" s="8" t="str">
        <f>IF(tblSales[[#This Row],[Key]]="","",IFERROR(INDEX(ตารางรวม!$W:$W,MATCH(tblSales[[#This Row],[Key]],ตารางรวม!$Z:$Z,0)),"ไม่พบสูตร"))</f>
        <v/>
      </c>
      <c r="L75" s="8" t="str">
        <f>IF(tblSales[[#This Row],[Key]]="","",IFERROR(INDEX(ตารางรวม!$V:$V,MATCH(tblSales[[#This Row],[Key]],ตารางรวม!$Z:$Z,0)),"ไม่พบสูตร"))</f>
        <v/>
      </c>
      <c r="M75" s="8" t="str">
        <f>IF(tblSales[[#This Row],[Key]]="","",IFERROR(tblSales[[#This Row],[ราคาต่อแก้ว]]*tblSales[[#This Row],[จำนวนแก้ว]],""))</f>
        <v/>
      </c>
      <c r="N75" s="8" t="str">
        <f>IF(tblSales[[#This Row],[Key]]="","",IFERROR(tblSales[[#This Row],[ต้นทุนต่อแก้ว]]*tblSales[[#This Row],[จำนวนแก้ว]],""))</f>
        <v/>
      </c>
      <c r="O75" s="8" t="str">
        <f>IF(tblSales[[#This Row],[Key]]="","",IFERROR(tblSales[[#This Row],[ยอดขาย (บาท)]]-tblSales[[#This Row],[ต้นทุนรวม (บาท)]],""))</f>
        <v/>
      </c>
      <c r="P75" s="21" t="str">
        <f>IF(tblSales[[#This Row],[Key]]="","",IFERROR(tblSales[[#This Row],[กำไร (บาท)]]/tblSales[[#This Row],[ยอดขาย (บาท)]],""))</f>
        <v/>
      </c>
      <c r="Q75" s="10" t="str">
        <f>IF(tblSales[[#This Row],[Key]]="","",IFERROR(INDEX(ตารางรวม!$D:$D,MATCH(tblSales[[#This Row],[Key]],ตารางรวม!$Z:$Z,0))*tblSales[[#This Row],[จำนวนแก้ว]],0))</f>
        <v/>
      </c>
      <c r="R75" s="10" t="str">
        <f>IF(tblSales[[#This Row],[Key]]="","",IFERROR(INDEX(ตารางรวม!$E:$E,MATCH(tblSales[[#This Row],[Key]],ตารางรวม!$Z:$Z,0))*tblSales[[#This Row],[จำนวนแก้ว]],0))</f>
        <v/>
      </c>
      <c r="S75" s="10" t="str">
        <f>IF(tblSales[[#This Row],[Key]]="","",IFERROR(INDEX(ตารางรวม!$F:$F,MATCH(tblSales[[#This Row],[Key]],ตารางรวม!$Z:$Z,0))*tblSales[[#This Row],[จำนวนแก้ว]],0))</f>
        <v/>
      </c>
      <c r="T75" s="10" t="str">
        <f>IF(tblSales[[#This Row],[Key]]="","",IFERROR(INDEX(ตารางรวม!$G:$G,MATCH(tblSales[[#This Row],[Key]],ตารางรวม!$Z:$Z,0))*tblSales[[#This Row],[จำนวนแก้ว]],0))</f>
        <v/>
      </c>
      <c r="U75" s="10" t="str">
        <f>IF(tblSales[[#This Row],[Key]]="","",IFERROR(INDEX(ตารางรวม!$H:$H,MATCH(tblSales[[#This Row],[Key]],ตารางรวม!$Z:$Z,0))*tblSales[[#This Row],[จำนวนแก้ว]],0))</f>
        <v/>
      </c>
      <c r="V75" s="10" t="str">
        <f>IF(tblSales[[#This Row],[Key]]="","",IFERROR(INDEX(ตารางรวม!$I:$I,MATCH(tblSales[[#This Row],[Key]],ตารางรวม!$Z:$Z,0))*tblSales[[#This Row],[จำนวนแก้ว]],0))</f>
        <v/>
      </c>
      <c r="W75" s="10" t="str">
        <f>IF(tblSales[[#This Row],[Key]]="","",IFERROR(INDEX(ตารางรวม!$J:$J,MATCH(tblSales[[#This Row],[Key]],ตารางรวม!$Z:$Z,0))*tblSales[[#This Row],[จำนวนแก้ว]],0))</f>
        <v/>
      </c>
      <c r="X75" s="10" t="str">
        <f>IF(tblSales[[#This Row],[Key]]="","",IFERROR(INDEX(ตารางรวม!$K:$K,MATCH(tblSales[[#This Row],[Key]],ตารางรวม!$Z:$Z,0))*tblSales[[#This Row],[จำนวนแก้ว]],0))</f>
        <v/>
      </c>
      <c r="Y75" s="10" t="str">
        <f>IF(tblSales[[#This Row],[Key]]="","",IFERROR(INDEX(ตารางรวม!$L:$L,MATCH(tblSales[[#This Row],[Key]],ตารางรวม!$Z:$Z,0))*tblSales[[#This Row],[จำนวนแก้ว]],0))</f>
        <v/>
      </c>
      <c r="Z75" s="10" t="str">
        <f>IF(tblSales[[#This Row],[Key]]="","",IFERROR(INDEX(ตารางรวม!$M:$M,MATCH(tblSales[[#This Row],[Key]],ตารางรวม!$Z:$Z,0))*tblSales[[#This Row],[จำนวนแก้ว]],0))</f>
        <v/>
      </c>
      <c r="AA75" s="10" t="str">
        <f>IF(tblSales[[#This Row],[Key]]="","",IFERROR(INDEX(ตารางรวม!$N:$N,MATCH(tblSales[[#This Row],[Key]],ตารางรวม!$Z:$Z,0))*tblSales[[#This Row],[จำนวนแก้ว]],0))</f>
        <v/>
      </c>
      <c r="AB75" s="10" t="str">
        <f>IF(tblSales[[#This Row],[Key]]="","",IFERROR(INDEX(ตารางรวม!$O:$O,MATCH(tblSales[[#This Row],[Key]],ตารางรวม!$Z:$Z,0))*tblSales[[#This Row],[จำนวนแก้ว]],0))</f>
        <v/>
      </c>
      <c r="AC75" s="10" t="str">
        <f>IF(tblSales[[#This Row],[Key]]="","",IFERROR(INDEX(ตารางรวม!$P:$P,MATCH(tblSales[[#This Row],[Key]],ตารางรวม!$Z:$Z,0))*tblSales[[#This Row],[จำนวนแก้ว]],0))</f>
        <v/>
      </c>
      <c r="AD75" s="10" t="str">
        <f>IF(tblSales[[#This Row],[Key]]="","",IFERROR(INDEX(ตารางรวม!$Q:$Q,MATCH(tblSales[[#This Row],[Key]],ตารางรวม!$Z:$Z,0))*tblSales[[#This Row],[จำนวนแก้ว]],0))</f>
        <v/>
      </c>
      <c r="AE75" s="10" t="str">
        <f>IF(tblSales[[#This Row],[Key]]="","",IFERROR(INDEX(ตารางรวม!$R:$R,MATCH(tblSales[[#This Row],[Key]],ตารางรวม!$Z:$Z,0))*tblSales[[#This Row],[จำนวนแก้ว]],0))</f>
        <v/>
      </c>
      <c r="AF75" s="10" t="str">
        <f>IF(tblSales[[#This Row],[Key]]="","",IFERROR(INDEX(ตารางรวม!$S:$S,MATCH(tblSales[[#This Row],[Key]],ตารางรวม!$Z:$Z,0))*tblSales[[#This Row],[จำนวนแก้ว]],0))</f>
        <v/>
      </c>
      <c r="AG75" s="10" t="str">
        <f>IF(tblSales[[#This Row],[Key]]="","",IFERROR(INDEX(ตารางรวม!$T:$T,MATCH(tblSales[[#This Row],[Key]],ตารางรวม!$Z:$Z,0))*tblSales[[#This Row],[จำนวนแก้ว]],0))</f>
        <v/>
      </c>
      <c r="AH75" s="10" t="str">
        <f>IF(tblSales[[#This Row],[Key]]="","",IF(tblSales[[#This Row],[ขนาด]]="16 oz",tblSales[[#This Row],[จำนวนแก้ว]],0))</f>
        <v/>
      </c>
      <c r="AI75" s="10" t="str">
        <f>IF(tblSales[[#This Row],[Key]]="","",IF(tblSales[[#This Row],[ขนาด]]="20 oz",tblSales[[#This Row],[จำนวนแก้ว]],0))</f>
        <v/>
      </c>
      <c r="AJ75" s="10" t="str">
        <f>IF(tblSales[[#This Row],[Key]]="","",IF(tblSales[[#This Row],[ขนาด]]="22 oz",tblSales[[#This Row],[จำนวนแก้ว]],0))</f>
        <v/>
      </c>
    </row>
    <row r="76" spans="1:36" x14ac:dyDescent="0.25">
      <c r="A76" s="4" t="str">
        <f>IF(tblSales[[#This Row],[วันที่]]="","","S"&amp;TEXT(tblSales[[#This Row],[วันที่]],"yymmdd")&amp;"-"&amp;TEXT(ROW()-5,"000"))</f>
        <v/>
      </c>
      <c r="B76" s="16"/>
      <c r="C76" s="6"/>
      <c r="D76" s="6"/>
      <c r="E76" s="20"/>
      <c r="F76" s="6"/>
      <c r="G76" s="6"/>
      <c r="H76" s="6"/>
      <c r="I76" s="6"/>
      <c r="J7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6" s="8" t="str">
        <f>IF(tblSales[[#This Row],[Key]]="","",IFERROR(INDEX(ตารางรวม!$W:$W,MATCH(tblSales[[#This Row],[Key]],ตารางรวม!$Z:$Z,0)),"ไม่พบสูตร"))</f>
        <v/>
      </c>
      <c r="L76" s="8" t="str">
        <f>IF(tblSales[[#This Row],[Key]]="","",IFERROR(INDEX(ตารางรวม!$V:$V,MATCH(tblSales[[#This Row],[Key]],ตารางรวม!$Z:$Z,0)),"ไม่พบสูตร"))</f>
        <v/>
      </c>
      <c r="M76" s="8" t="str">
        <f>IF(tblSales[[#This Row],[Key]]="","",IFERROR(tblSales[[#This Row],[ราคาต่อแก้ว]]*tblSales[[#This Row],[จำนวนแก้ว]],""))</f>
        <v/>
      </c>
      <c r="N76" s="8" t="str">
        <f>IF(tblSales[[#This Row],[Key]]="","",IFERROR(tblSales[[#This Row],[ต้นทุนต่อแก้ว]]*tblSales[[#This Row],[จำนวนแก้ว]],""))</f>
        <v/>
      </c>
      <c r="O76" s="8" t="str">
        <f>IF(tblSales[[#This Row],[Key]]="","",IFERROR(tblSales[[#This Row],[ยอดขาย (บาท)]]-tblSales[[#This Row],[ต้นทุนรวม (บาท)]],""))</f>
        <v/>
      </c>
      <c r="P76" s="21" t="str">
        <f>IF(tblSales[[#This Row],[Key]]="","",IFERROR(tblSales[[#This Row],[กำไร (บาท)]]/tblSales[[#This Row],[ยอดขาย (บาท)]],""))</f>
        <v/>
      </c>
      <c r="Q76" s="10" t="str">
        <f>IF(tblSales[[#This Row],[Key]]="","",IFERROR(INDEX(ตารางรวม!$D:$D,MATCH(tblSales[[#This Row],[Key]],ตารางรวม!$Z:$Z,0))*tblSales[[#This Row],[จำนวนแก้ว]],0))</f>
        <v/>
      </c>
      <c r="R76" s="10" t="str">
        <f>IF(tblSales[[#This Row],[Key]]="","",IFERROR(INDEX(ตารางรวม!$E:$E,MATCH(tblSales[[#This Row],[Key]],ตารางรวม!$Z:$Z,0))*tblSales[[#This Row],[จำนวนแก้ว]],0))</f>
        <v/>
      </c>
      <c r="S76" s="10" t="str">
        <f>IF(tblSales[[#This Row],[Key]]="","",IFERROR(INDEX(ตารางรวม!$F:$F,MATCH(tblSales[[#This Row],[Key]],ตารางรวม!$Z:$Z,0))*tblSales[[#This Row],[จำนวนแก้ว]],0))</f>
        <v/>
      </c>
      <c r="T76" s="10" t="str">
        <f>IF(tblSales[[#This Row],[Key]]="","",IFERROR(INDEX(ตารางรวม!$G:$G,MATCH(tblSales[[#This Row],[Key]],ตารางรวม!$Z:$Z,0))*tblSales[[#This Row],[จำนวนแก้ว]],0))</f>
        <v/>
      </c>
      <c r="U76" s="10" t="str">
        <f>IF(tblSales[[#This Row],[Key]]="","",IFERROR(INDEX(ตารางรวม!$H:$H,MATCH(tblSales[[#This Row],[Key]],ตารางรวม!$Z:$Z,0))*tblSales[[#This Row],[จำนวนแก้ว]],0))</f>
        <v/>
      </c>
      <c r="V76" s="10" t="str">
        <f>IF(tblSales[[#This Row],[Key]]="","",IFERROR(INDEX(ตารางรวม!$I:$I,MATCH(tblSales[[#This Row],[Key]],ตารางรวม!$Z:$Z,0))*tblSales[[#This Row],[จำนวนแก้ว]],0))</f>
        <v/>
      </c>
      <c r="W76" s="10" t="str">
        <f>IF(tblSales[[#This Row],[Key]]="","",IFERROR(INDEX(ตารางรวม!$J:$J,MATCH(tblSales[[#This Row],[Key]],ตารางรวม!$Z:$Z,0))*tblSales[[#This Row],[จำนวนแก้ว]],0))</f>
        <v/>
      </c>
      <c r="X76" s="10" t="str">
        <f>IF(tblSales[[#This Row],[Key]]="","",IFERROR(INDEX(ตารางรวม!$K:$K,MATCH(tblSales[[#This Row],[Key]],ตารางรวม!$Z:$Z,0))*tblSales[[#This Row],[จำนวนแก้ว]],0))</f>
        <v/>
      </c>
      <c r="Y76" s="10" t="str">
        <f>IF(tblSales[[#This Row],[Key]]="","",IFERROR(INDEX(ตารางรวม!$L:$L,MATCH(tblSales[[#This Row],[Key]],ตารางรวม!$Z:$Z,0))*tblSales[[#This Row],[จำนวนแก้ว]],0))</f>
        <v/>
      </c>
      <c r="Z76" s="10" t="str">
        <f>IF(tblSales[[#This Row],[Key]]="","",IFERROR(INDEX(ตารางรวม!$M:$M,MATCH(tblSales[[#This Row],[Key]],ตารางรวม!$Z:$Z,0))*tblSales[[#This Row],[จำนวนแก้ว]],0))</f>
        <v/>
      </c>
      <c r="AA76" s="10" t="str">
        <f>IF(tblSales[[#This Row],[Key]]="","",IFERROR(INDEX(ตารางรวม!$N:$N,MATCH(tblSales[[#This Row],[Key]],ตารางรวม!$Z:$Z,0))*tblSales[[#This Row],[จำนวนแก้ว]],0))</f>
        <v/>
      </c>
      <c r="AB76" s="10" t="str">
        <f>IF(tblSales[[#This Row],[Key]]="","",IFERROR(INDEX(ตารางรวม!$O:$O,MATCH(tblSales[[#This Row],[Key]],ตารางรวม!$Z:$Z,0))*tblSales[[#This Row],[จำนวนแก้ว]],0))</f>
        <v/>
      </c>
      <c r="AC76" s="10" t="str">
        <f>IF(tblSales[[#This Row],[Key]]="","",IFERROR(INDEX(ตารางรวม!$P:$P,MATCH(tblSales[[#This Row],[Key]],ตารางรวม!$Z:$Z,0))*tblSales[[#This Row],[จำนวนแก้ว]],0))</f>
        <v/>
      </c>
      <c r="AD76" s="10" t="str">
        <f>IF(tblSales[[#This Row],[Key]]="","",IFERROR(INDEX(ตารางรวม!$Q:$Q,MATCH(tblSales[[#This Row],[Key]],ตารางรวม!$Z:$Z,0))*tblSales[[#This Row],[จำนวนแก้ว]],0))</f>
        <v/>
      </c>
      <c r="AE76" s="10" t="str">
        <f>IF(tblSales[[#This Row],[Key]]="","",IFERROR(INDEX(ตารางรวม!$R:$R,MATCH(tblSales[[#This Row],[Key]],ตารางรวม!$Z:$Z,0))*tblSales[[#This Row],[จำนวนแก้ว]],0))</f>
        <v/>
      </c>
      <c r="AF76" s="10" t="str">
        <f>IF(tblSales[[#This Row],[Key]]="","",IFERROR(INDEX(ตารางรวม!$S:$S,MATCH(tblSales[[#This Row],[Key]],ตารางรวม!$Z:$Z,0))*tblSales[[#This Row],[จำนวนแก้ว]],0))</f>
        <v/>
      </c>
      <c r="AG76" s="10" t="str">
        <f>IF(tblSales[[#This Row],[Key]]="","",IFERROR(INDEX(ตารางรวม!$T:$T,MATCH(tblSales[[#This Row],[Key]],ตารางรวม!$Z:$Z,0))*tblSales[[#This Row],[จำนวนแก้ว]],0))</f>
        <v/>
      </c>
      <c r="AH76" s="10" t="str">
        <f>IF(tblSales[[#This Row],[Key]]="","",IF(tblSales[[#This Row],[ขนาด]]="16 oz",tblSales[[#This Row],[จำนวนแก้ว]],0))</f>
        <v/>
      </c>
      <c r="AI76" s="10" t="str">
        <f>IF(tblSales[[#This Row],[Key]]="","",IF(tblSales[[#This Row],[ขนาด]]="20 oz",tblSales[[#This Row],[จำนวนแก้ว]],0))</f>
        <v/>
      </c>
      <c r="AJ76" s="10" t="str">
        <f>IF(tblSales[[#This Row],[Key]]="","",IF(tblSales[[#This Row],[ขนาด]]="22 oz",tblSales[[#This Row],[จำนวนแก้ว]],0))</f>
        <v/>
      </c>
    </row>
    <row r="77" spans="1:36" x14ac:dyDescent="0.25">
      <c r="A77" s="4" t="str">
        <f>IF(tblSales[[#This Row],[วันที่]]="","","S"&amp;TEXT(tblSales[[#This Row],[วันที่]],"yymmdd")&amp;"-"&amp;TEXT(ROW()-5,"000"))</f>
        <v/>
      </c>
      <c r="B77" s="16"/>
      <c r="C77" s="6"/>
      <c r="D77" s="6"/>
      <c r="E77" s="20"/>
      <c r="F77" s="6"/>
      <c r="G77" s="6"/>
      <c r="H77" s="6"/>
      <c r="I77" s="6"/>
      <c r="J7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7" s="8" t="str">
        <f>IF(tblSales[[#This Row],[Key]]="","",IFERROR(INDEX(ตารางรวม!$W:$W,MATCH(tblSales[[#This Row],[Key]],ตารางรวม!$Z:$Z,0)),"ไม่พบสูตร"))</f>
        <v/>
      </c>
      <c r="L77" s="8" t="str">
        <f>IF(tblSales[[#This Row],[Key]]="","",IFERROR(INDEX(ตารางรวม!$V:$V,MATCH(tblSales[[#This Row],[Key]],ตารางรวม!$Z:$Z,0)),"ไม่พบสูตร"))</f>
        <v/>
      </c>
      <c r="M77" s="8" t="str">
        <f>IF(tblSales[[#This Row],[Key]]="","",IFERROR(tblSales[[#This Row],[ราคาต่อแก้ว]]*tblSales[[#This Row],[จำนวนแก้ว]],""))</f>
        <v/>
      </c>
      <c r="N77" s="8" t="str">
        <f>IF(tblSales[[#This Row],[Key]]="","",IFERROR(tblSales[[#This Row],[ต้นทุนต่อแก้ว]]*tblSales[[#This Row],[จำนวนแก้ว]],""))</f>
        <v/>
      </c>
      <c r="O77" s="8" t="str">
        <f>IF(tblSales[[#This Row],[Key]]="","",IFERROR(tblSales[[#This Row],[ยอดขาย (บาท)]]-tblSales[[#This Row],[ต้นทุนรวม (บาท)]],""))</f>
        <v/>
      </c>
      <c r="P77" s="21" t="str">
        <f>IF(tblSales[[#This Row],[Key]]="","",IFERROR(tblSales[[#This Row],[กำไร (บาท)]]/tblSales[[#This Row],[ยอดขาย (บาท)]],""))</f>
        <v/>
      </c>
      <c r="Q77" s="10" t="str">
        <f>IF(tblSales[[#This Row],[Key]]="","",IFERROR(INDEX(ตารางรวม!$D:$D,MATCH(tblSales[[#This Row],[Key]],ตารางรวม!$Z:$Z,0))*tblSales[[#This Row],[จำนวนแก้ว]],0))</f>
        <v/>
      </c>
      <c r="R77" s="10" t="str">
        <f>IF(tblSales[[#This Row],[Key]]="","",IFERROR(INDEX(ตารางรวม!$E:$E,MATCH(tblSales[[#This Row],[Key]],ตารางรวม!$Z:$Z,0))*tblSales[[#This Row],[จำนวนแก้ว]],0))</f>
        <v/>
      </c>
      <c r="S77" s="10" t="str">
        <f>IF(tblSales[[#This Row],[Key]]="","",IFERROR(INDEX(ตารางรวม!$F:$F,MATCH(tblSales[[#This Row],[Key]],ตารางรวม!$Z:$Z,0))*tblSales[[#This Row],[จำนวนแก้ว]],0))</f>
        <v/>
      </c>
      <c r="T77" s="10" t="str">
        <f>IF(tblSales[[#This Row],[Key]]="","",IFERROR(INDEX(ตารางรวม!$G:$G,MATCH(tblSales[[#This Row],[Key]],ตารางรวม!$Z:$Z,0))*tblSales[[#This Row],[จำนวนแก้ว]],0))</f>
        <v/>
      </c>
      <c r="U77" s="10" t="str">
        <f>IF(tblSales[[#This Row],[Key]]="","",IFERROR(INDEX(ตารางรวม!$H:$H,MATCH(tblSales[[#This Row],[Key]],ตารางรวม!$Z:$Z,0))*tblSales[[#This Row],[จำนวนแก้ว]],0))</f>
        <v/>
      </c>
      <c r="V77" s="10" t="str">
        <f>IF(tblSales[[#This Row],[Key]]="","",IFERROR(INDEX(ตารางรวม!$I:$I,MATCH(tblSales[[#This Row],[Key]],ตารางรวม!$Z:$Z,0))*tblSales[[#This Row],[จำนวนแก้ว]],0))</f>
        <v/>
      </c>
      <c r="W77" s="10" t="str">
        <f>IF(tblSales[[#This Row],[Key]]="","",IFERROR(INDEX(ตารางรวม!$J:$J,MATCH(tblSales[[#This Row],[Key]],ตารางรวม!$Z:$Z,0))*tblSales[[#This Row],[จำนวนแก้ว]],0))</f>
        <v/>
      </c>
      <c r="X77" s="10" t="str">
        <f>IF(tblSales[[#This Row],[Key]]="","",IFERROR(INDEX(ตารางรวม!$K:$K,MATCH(tblSales[[#This Row],[Key]],ตารางรวม!$Z:$Z,0))*tblSales[[#This Row],[จำนวนแก้ว]],0))</f>
        <v/>
      </c>
      <c r="Y77" s="10" t="str">
        <f>IF(tblSales[[#This Row],[Key]]="","",IFERROR(INDEX(ตารางรวม!$L:$L,MATCH(tblSales[[#This Row],[Key]],ตารางรวม!$Z:$Z,0))*tblSales[[#This Row],[จำนวนแก้ว]],0))</f>
        <v/>
      </c>
      <c r="Z77" s="10" t="str">
        <f>IF(tblSales[[#This Row],[Key]]="","",IFERROR(INDEX(ตารางรวม!$M:$M,MATCH(tblSales[[#This Row],[Key]],ตารางรวม!$Z:$Z,0))*tblSales[[#This Row],[จำนวนแก้ว]],0))</f>
        <v/>
      </c>
      <c r="AA77" s="10" t="str">
        <f>IF(tblSales[[#This Row],[Key]]="","",IFERROR(INDEX(ตารางรวม!$N:$N,MATCH(tblSales[[#This Row],[Key]],ตารางรวม!$Z:$Z,0))*tblSales[[#This Row],[จำนวนแก้ว]],0))</f>
        <v/>
      </c>
      <c r="AB77" s="10" t="str">
        <f>IF(tblSales[[#This Row],[Key]]="","",IFERROR(INDEX(ตารางรวม!$O:$O,MATCH(tblSales[[#This Row],[Key]],ตารางรวม!$Z:$Z,0))*tblSales[[#This Row],[จำนวนแก้ว]],0))</f>
        <v/>
      </c>
      <c r="AC77" s="10" t="str">
        <f>IF(tblSales[[#This Row],[Key]]="","",IFERROR(INDEX(ตารางรวม!$P:$P,MATCH(tblSales[[#This Row],[Key]],ตารางรวม!$Z:$Z,0))*tblSales[[#This Row],[จำนวนแก้ว]],0))</f>
        <v/>
      </c>
      <c r="AD77" s="10" t="str">
        <f>IF(tblSales[[#This Row],[Key]]="","",IFERROR(INDEX(ตารางรวม!$Q:$Q,MATCH(tblSales[[#This Row],[Key]],ตารางรวม!$Z:$Z,0))*tblSales[[#This Row],[จำนวนแก้ว]],0))</f>
        <v/>
      </c>
      <c r="AE77" s="10" t="str">
        <f>IF(tblSales[[#This Row],[Key]]="","",IFERROR(INDEX(ตารางรวม!$R:$R,MATCH(tblSales[[#This Row],[Key]],ตารางรวม!$Z:$Z,0))*tblSales[[#This Row],[จำนวนแก้ว]],0))</f>
        <v/>
      </c>
      <c r="AF77" s="10" t="str">
        <f>IF(tblSales[[#This Row],[Key]]="","",IFERROR(INDEX(ตารางรวม!$S:$S,MATCH(tblSales[[#This Row],[Key]],ตารางรวม!$Z:$Z,0))*tblSales[[#This Row],[จำนวนแก้ว]],0))</f>
        <v/>
      </c>
      <c r="AG77" s="10" t="str">
        <f>IF(tblSales[[#This Row],[Key]]="","",IFERROR(INDEX(ตารางรวม!$T:$T,MATCH(tblSales[[#This Row],[Key]],ตารางรวม!$Z:$Z,0))*tblSales[[#This Row],[จำนวนแก้ว]],0))</f>
        <v/>
      </c>
      <c r="AH77" s="10" t="str">
        <f>IF(tblSales[[#This Row],[Key]]="","",IF(tblSales[[#This Row],[ขนาด]]="16 oz",tblSales[[#This Row],[จำนวนแก้ว]],0))</f>
        <v/>
      </c>
      <c r="AI77" s="10" t="str">
        <f>IF(tblSales[[#This Row],[Key]]="","",IF(tblSales[[#This Row],[ขนาด]]="20 oz",tblSales[[#This Row],[จำนวนแก้ว]],0))</f>
        <v/>
      </c>
      <c r="AJ77" s="10" t="str">
        <f>IF(tblSales[[#This Row],[Key]]="","",IF(tblSales[[#This Row],[ขนาด]]="22 oz",tblSales[[#This Row],[จำนวนแก้ว]],0))</f>
        <v/>
      </c>
    </row>
    <row r="78" spans="1:36" x14ac:dyDescent="0.25">
      <c r="A78" s="4" t="str">
        <f>IF(tblSales[[#This Row],[วันที่]]="","","S"&amp;TEXT(tblSales[[#This Row],[วันที่]],"yymmdd")&amp;"-"&amp;TEXT(ROW()-5,"000"))</f>
        <v/>
      </c>
      <c r="B78" s="16"/>
      <c r="C78" s="6"/>
      <c r="D78" s="6"/>
      <c r="E78" s="20"/>
      <c r="F78" s="6"/>
      <c r="G78" s="6"/>
      <c r="H78" s="6"/>
      <c r="I78" s="6"/>
      <c r="J7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8" s="8" t="str">
        <f>IF(tblSales[[#This Row],[Key]]="","",IFERROR(INDEX(ตารางรวม!$W:$W,MATCH(tblSales[[#This Row],[Key]],ตารางรวม!$Z:$Z,0)),"ไม่พบสูตร"))</f>
        <v/>
      </c>
      <c r="L78" s="8" t="str">
        <f>IF(tblSales[[#This Row],[Key]]="","",IFERROR(INDEX(ตารางรวม!$V:$V,MATCH(tblSales[[#This Row],[Key]],ตารางรวม!$Z:$Z,0)),"ไม่พบสูตร"))</f>
        <v/>
      </c>
      <c r="M78" s="8" t="str">
        <f>IF(tblSales[[#This Row],[Key]]="","",IFERROR(tblSales[[#This Row],[ราคาต่อแก้ว]]*tblSales[[#This Row],[จำนวนแก้ว]],""))</f>
        <v/>
      </c>
      <c r="N78" s="8" t="str">
        <f>IF(tblSales[[#This Row],[Key]]="","",IFERROR(tblSales[[#This Row],[ต้นทุนต่อแก้ว]]*tblSales[[#This Row],[จำนวนแก้ว]],""))</f>
        <v/>
      </c>
      <c r="O78" s="8" t="str">
        <f>IF(tblSales[[#This Row],[Key]]="","",IFERROR(tblSales[[#This Row],[ยอดขาย (บาท)]]-tblSales[[#This Row],[ต้นทุนรวม (บาท)]],""))</f>
        <v/>
      </c>
      <c r="P78" s="21" t="str">
        <f>IF(tblSales[[#This Row],[Key]]="","",IFERROR(tblSales[[#This Row],[กำไร (บาท)]]/tblSales[[#This Row],[ยอดขาย (บาท)]],""))</f>
        <v/>
      </c>
      <c r="Q78" s="10" t="str">
        <f>IF(tblSales[[#This Row],[Key]]="","",IFERROR(INDEX(ตารางรวม!$D:$D,MATCH(tblSales[[#This Row],[Key]],ตารางรวม!$Z:$Z,0))*tblSales[[#This Row],[จำนวนแก้ว]],0))</f>
        <v/>
      </c>
      <c r="R78" s="10" t="str">
        <f>IF(tblSales[[#This Row],[Key]]="","",IFERROR(INDEX(ตารางรวม!$E:$E,MATCH(tblSales[[#This Row],[Key]],ตารางรวม!$Z:$Z,0))*tblSales[[#This Row],[จำนวนแก้ว]],0))</f>
        <v/>
      </c>
      <c r="S78" s="10" t="str">
        <f>IF(tblSales[[#This Row],[Key]]="","",IFERROR(INDEX(ตารางรวม!$F:$F,MATCH(tblSales[[#This Row],[Key]],ตารางรวม!$Z:$Z,0))*tblSales[[#This Row],[จำนวนแก้ว]],0))</f>
        <v/>
      </c>
      <c r="T78" s="10" t="str">
        <f>IF(tblSales[[#This Row],[Key]]="","",IFERROR(INDEX(ตารางรวม!$G:$G,MATCH(tblSales[[#This Row],[Key]],ตารางรวม!$Z:$Z,0))*tblSales[[#This Row],[จำนวนแก้ว]],0))</f>
        <v/>
      </c>
      <c r="U78" s="10" t="str">
        <f>IF(tblSales[[#This Row],[Key]]="","",IFERROR(INDEX(ตารางรวม!$H:$H,MATCH(tblSales[[#This Row],[Key]],ตารางรวม!$Z:$Z,0))*tblSales[[#This Row],[จำนวนแก้ว]],0))</f>
        <v/>
      </c>
      <c r="V78" s="10" t="str">
        <f>IF(tblSales[[#This Row],[Key]]="","",IFERROR(INDEX(ตารางรวม!$I:$I,MATCH(tblSales[[#This Row],[Key]],ตารางรวม!$Z:$Z,0))*tblSales[[#This Row],[จำนวนแก้ว]],0))</f>
        <v/>
      </c>
      <c r="W78" s="10" t="str">
        <f>IF(tblSales[[#This Row],[Key]]="","",IFERROR(INDEX(ตารางรวม!$J:$J,MATCH(tblSales[[#This Row],[Key]],ตารางรวม!$Z:$Z,0))*tblSales[[#This Row],[จำนวนแก้ว]],0))</f>
        <v/>
      </c>
      <c r="X78" s="10" t="str">
        <f>IF(tblSales[[#This Row],[Key]]="","",IFERROR(INDEX(ตารางรวม!$K:$K,MATCH(tblSales[[#This Row],[Key]],ตารางรวม!$Z:$Z,0))*tblSales[[#This Row],[จำนวนแก้ว]],0))</f>
        <v/>
      </c>
      <c r="Y78" s="10" t="str">
        <f>IF(tblSales[[#This Row],[Key]]="","",IFERROR(INDEX(ตารางรวม!$L:$L,MATCH(tblSales[[#This Row],[Key]],ตารางรวม!$Z:$Z,0))*tblSales[[#This Row],[จำนวนแก้ว]],0))</f>
        <v/>
      </c>
      <c r="Z78" s="10" t="str">
        <f>IF(tblSales[[#This Row],[Key]]="","",IFERROR(INDEX(ตารางรวม!$M:$M,MATCH(tblSales[[#This Row],[Key]],ตารางรวม!$Z:$Z,0))*tblSales[[#This Row],[จำนวนแก้ว]],0))</f>
        <v/>
      </c>
      <c r="AA78" s="10" t="str">
        <f>IF(tblSales[[#This Row],[Key]]="","",IFERROR(INDEX(ตารางรวม!$N:$N,MATCH(tblSales[[#This Row],[Key]],ตารางรวม!$Z:$Z,0))*tblSales[[#This Row],[จำนวนแก้ว]],0))</f>
        <v/>
      </c>
      <c r="AB78" s="10" t="str">
        <f>IF(tblSales[[#This Row],[Key]]="","",IFERROR(INDEX(ตารางรวม!$O:$O,MATCH(tblSales[[#This Row],[Key]],ตารางรวม!$Z:$Z,0))*tblSales[[#This Row],[จำนวนแก้ว]],0))</f>
        <v/>
      </c>
      <c r="AC78" s="10" t="str">
        <f>IF(tblSales[[#This Row],[Key]]="","",IFERROR(INDEX(ตารางรวม!$P:$P,MATCH(tblSales[[#This Row],[Key]],ตารางรวม!$Z:$Z,0))*tblSales[[#This Row],[จำนวนแก้ว]],0))</f>
        <v/>
      </c>
      <c r="AD78" s="10" t="str">
        <f>IF(tblSales[[#This Row],[Key]]="","",IFERROR(INDEX(ตารางรวม!$Q:$Q,MATCH(tblSales[[#This Row],[Key]],ตารางรวม!$Z:$Z,0))*tblSales[[#This Row],[จำนวนแก้ว]],0))</f>
        <v/>
      </c>
      <c r="AE78" s="10" t="str">
        <f>IF(tblSales[[#This Row],[Key]]="","",IFERROR(INDEX(ตารางรวม!$R:$R,MATCH(tblSales[[#This Row],[Key]],ตารางรวม!$Z:$Z,0))*tblSales[[#This Row],[จำนวนแก้ว]],0))</f>
        <v/>
      </c>
      <c r="AF78" s="10" t="str">
        <f>IF(tblSales[[#This Row],[Key]]="","",IFERROR(INDEX(ตารางรวม!$S:$S,MATCH(tblSales[[#This Row],[Key]],ตารางรวม!$Z:$Z,0))*tblSales[[#This Row],[จำนวนแก้ว]],0))</f>
        <v/>
      </c>
      <c r="AG78" s="10" t="str">
        <f>IF(tblSales[[#This Row],[Key]]="","",IFERROR(INDEX(ตารางรวม!$T:$T,MATCH(tblSales[[#This Row],[Key]],ตารางรวม!$Z:$Z,0))*tblSales[[#This Row],[จำนวนแก้ว]],0))</f>
        <v/>
      </c>
      <c r="AH78" s="10" t="str">
        <f>IF(tblSales[[#This Row],[Key]]="","",IF(tblSales[[#This Row],[ขนาด]]="16 oz",tblSales[[#This Row],[จำนวนแก้ว]],0))</f>
        <v/>
      </c>
      <c r="AI78" s="10" t="str">
        <f>IF(tblSales[[#This Row],[Key]]="","",IF(tblSales[[#This Row],[ขนาด]]="20 oz",tblSales[[#This Row],[จำนวนแก้ว]],0))</f>
        <v/>
      </c>
      <c r="AJ78" s="10" t="str">
        <f>IF(tblSales[[#This Row],[Key]]="","",IF(tblSales[[#This Row],[ขนาด]]="22 oz",tblSales[[#This Row],[จำนวนแก้ว]],0))</f>
        <v/>
      </c>
    </row>
    <row r="79" spans="1:36" x14ac:dyDescent="0.25">
      <c r="A79" s="4" t="str">
        <f>IF(tblSales[[#This Row],[วันที่]]="","","S"&amp;TEXT(tblSales[[#This Row],[วันที่]],"yymmdd")&amp;"-"&amp;TEXT(ROW()-5,"000"))</f>
        <v/>
      </c>
      <c r="B79" s="16"/>
      <c r="C79" s="6"/>
      <c r="D79" s="6"/>
      <c r="E79" s="20"/>
      <c r="F79" s="6"/>
      <c r="G79" s="6"/>
      <c r="H79" s="6"/>
      <c r="I79" s="6"/>
      <c r="J7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79" s="8" t="str">
        <f>IF(tblSales[[#This Row],[Key]]="","",IFERROR(INDEX(ตารางรวม!$W:$W,MATCH(tblSales[[#This Row],[Key]],ตารางรวม!$Z:$Z,0)),"ไม่พบสูตร"))</f>
        <v/>
      </c>
      <c r="L79" s="8" t="str">
        <f>IF(tblSales[[#This Row],[Key]]="","",IFERROR(INDEX(ตารางรวม!$V:$V,MATCH(tblSales[[#This Row],[Key]],ตารางรวม!$Z:$Z,0)),"ไม่พบสูตร"))</f>
        <v/>
      </c>
      <c r="M79" s="8" t="str">
        <f>IF(tblSales[[#This Row],[Key]]="","",IFERROR(tblSales[[#This Row],[ราคาต่อแก้ว]]*tblSales[[#This Row],[จำนวนแก้ว]],""))</f>
        <v/>
      </c>
      <c r="N79" s="8" t="str">
        <f>IF(tblSales[[#This Row],[Key]]="","",IFERROR(tblSales[[#This Row],[ต้นทุนต่อแก้ว]]*tblSales[[#This Row],[จำนวนแก้ว]],""))</f>
        <v/>
      </c>
      <c r="O79" s="8" t="str">
        <f>IF(tblSales[[#This Row],[Key]]="","",IFERROR(tblSales[[#This Row],[ยอดขาย (บาท)]]-tblSales[[#This Row],[ต้นทุนรวม (บาท)]],""))</f>
        <v/>
      </c>
      <c r="P79" s="21" t="str">
        <f>IF(tblSales[[#This Row],[Key]]="","",IFERROR(tblSales[[#This Row],[กำไร (บาท)]]/tblSales[[#This Row],[ยอดขาย (บาท)]],""))</f>
        <v/>
      </c>
      <c r="Q79" s="10" t="str">
        <f>IF(tblSales[[#This Row],[Key]]="","",IFERROR(INDEX(ตารางรวม!$D:$D,MATCH(tblSales[[#This Row],[Key]],ตารางรวม!$Z:$Z,0))*tblSales[[#This Row],[จำนวนแก้ว]],0))</f>
        <v/>
      </c>
      <c r="R79" s="10" t="str">
        <f>IF(tblSales[[#This Row],[Key]]="","",IFERROR(INDEX(ตารางรวม!$E:$E,MATCH(tblSales[[#This Row],[Key]],ตารางรวม!$Z:$Z,0))*tblSales[[#This Row],[จำนวนแก้ว]],0))</f>
        <v/>
      </c>
      <c r="S79" s="10" t="str">
        <f>IF(tblSales[[#This Row],[Key]]="","",IFERROR(INDEX(ตารางรวม!$F:$F,MATCH(tblSales[[#This Row],[Key]],ตารางรวม!$Z:$Z,0))*tblSales[[#This Row],[จำนวนแก้ว]],0))</f>
        <v/>
      </c>
      <c r="T79" s="10" t="str">
        <f>IF(tblSales[[#This Row],[Key]]="","",IFERROR(INDEX(ตารางรวม!$G:$G,MATCH(tblSales[[#This Row],[Key]],ตารางรวม!$Z:$Z,0))*tblSales[[#This Row],[จำนวนแก้ว]],0))</f>
        <v/>
      </c>
      <c r="U79" s="10" t="str">
        <f>IF(tblSales[[#This Row],[Key]]="","",IFERROR(INDEX(ตารางรวม!$H:$H,MATCH(tblSales[[#This Row],[Key]],ตารางรวม!$Z:$Z,0))*tblSales[[#This Row],[จำนวนแก้ว]],0))</f>
        <v/>
      </c>
      <c r="V79" s="10" t="str">
        <f>IF(tblSales[[#This Row],[Key]]="","",IFERROR(INDEX(ตารางรวม!$I:$I,MATCH(tblSales[[#This Row],[Key]],ตารางรวม!$Z:$Z,0))*tblSales[[#This Row],[จำนวนแก้ว]],0))</f>
        <v/>
      </c>
      <c r="W79" s="10" t="str">
        <f>IF(tblSales[[#This Row],[Key]]="","",IFERROR(INDEX(ตารางรวม!$J:$J,MATCH(tblSales[[#This Row],[Key]],ตารางรวม!$Z:$Z,0))*tblSales[[#This Row],[จำนวนแก้ว]],0))</f>
        <v/>
      </c>
      <c r="X79" s="10" t="str">
        <f>IF(tblSales[[#This Row],[Key]]="","",IFERROR(INDEX(ตารางรวม!$K:$K,MATCH(tblSales[[#This Row],[Key]],ตารางรวม!$Z:$Z,0))*tblSales[[#This Row],[จำนวนแก้ว]],0))</f>
        <v/>
      </c>
      <c r="Y79" s="10" t="str">
        <f>IF(tblSales[[#This Row],[Key]]="","",IFERROR(INDEX(ตารางรวม!$L:$L,MATCH(tblSales[[#This Row],[Key]],ตารางรวม!$Z:$Z,0))*tblSales[[#This Row],[จำนวนแก้ว]],0))</f>
        <v/>
      </c>
      <c r="Z79" s="10" t="str">
        <f>IF(tblSales[[#This Row],[Key]]="","",IFERROR(INDEX(ตารางรวม!$M:$M,MATCH(tblSales[[#This Row],[Key]],ตารางรวม!$Z:$Z,0))*tblSales[[#This Row],[จำนวนแก้ว]],0))</f>
        <v/>
      </c>
      <c r="AA79" s="10" t="str">
        <f>IF(tblSales[[#This Row],[Key]]="","",IFERROR(INDEX(ตารางรวม!$N:$N,MATCH(tblSales[[#This Row],[Key]],ตารางรวม!$Z:$Z,0))*tblSales[[#This Row],[จำนวนแก้ว]],0))</f>
        <v/>
      </c>
      <c r="AB79" s="10" t="str">
        <f>IF(tblSales[[#This Row],[Key]]="","",IFERROR(INDEX(ตารางรวม!$O:$O,MATCH(tblSales[[#This Row],[Key]],ตารางรวม!$Z:$Z,0))*tblSales[[#This Row],[จำนวนแก้ว]],0))</f>
        <v/>
      </c>
      <c r="AC79" s="10" t="str">
        <f>IF(tblSales[[#This Row],[Key]]="","",IFERROR(INDEX(ตารางรวม!$P:$P,MATCH(tblSales[[#This Row],[Key]],ตารางรวม!$Z:$Z,0))*tblSales[[#This Row],[จำนวนแก้ว]],0))</f>
        <v/>
      </c>
      <c r="AD79" s="10" t="str">
        <f>IF(tblSales[[#This Row],[Key]]="","",IFERROR(INDEX(ตารางรวม!$Q:$Q,MATCH(tblSales[[#This Row],[Key]],ตารางรวม!$Z:$Z,0))*tblSales[[#This Row],[จำนวนแก้ว]],0))</f>
        <v/>
      </c>
      <c r="AE79" s="10" t="str">
        <f>IF(tblSales[[#This Row],[Key]]="","",IFERROR(INDEX(ตารางรวม!$R:$R,MATCH(tblSales[[#This Row],[Key]],ตารางรวม!$Z:$Z,0))*tblSales[[#This Row],[จำนวนแก้ว]],0))</f>
        <v/>
      </c>
      <c r="AF79" s="10" t="str">
        <f>IF(tblSales[[#This Row],[Key]]="","",IFERROR(INDEX(ตารางรวม!$S:$S,MATCH(tblSales[[#This Row],[Key]],ตารางรวม!$Z:$Z,0))*tblSales[[#This Row],[จำนวนแก้ว]],0))</f>
        <v/>
      </c>
      <c r="AG79" s="10" t="str">
        <f>IF(tblSales[[#This Row],[Key]]="","",IFERROR(INDEX(ตารางรวม!$T:$T,MATCH(tblSales[[#This Row],[Key]],ตารางรวม!$Z:$Z,0))*tblSales[[#This Row],[จำนวนแก้ว]],0))</f>
        <v/>
      </c>
      <c r="AH79" s="10" t="str">
        <f>IF(tblSales[[#This Row],[Key]]="","",IF(tblSales[[#This Row],[ขนาด]]="16 oz",tblSales[[#This Row],[จำนวนแก้ว]],0))</f>
        <v/>
      </c>
      <c r="AI79" s="10" t="str">
        <f>IF(tblSales[[#This Row],[Key]]="","",IF(tblSales[[#This Row],[ขนาด]]="20 oz",tblSales[[#This Row],[จำนวนแก้ว]],0))</f>
        <v/>
      </c>
      <c r="AJ79" s="10" t="str">
        <f>IF(tblSales[[#This Row],[Key]]="","",IF(tblSales[[#This Row],[ขนาด]]="22 oz",tblSales[[#This Row],[จำนวนแก้ว]],0))</f>
        <v/>
      </c>
    </row>
    <row r="80" spans="1:36" x14ac:dyDescent="0.25">
      <c r="A80" s="4" t="str">
        <f>IF(tblSales[[#This Row],[วันที่]]="","","S"&amp;TEXT(tblSales[[#This Row],[วันที่]],"yymmdd")&amp;"-"&amp;TEXT(ROW()-5,"000"))</f>
        <v/>
      </c>
      <c r="B80" s="16"/>
      <c r="C80" s="6"/>
      <c r="D80" s="6"/>
      <c r="E80" s="20"/>
      <c r="F80" s="6"/>
      <c r="G80" s="6"/>
      <c r="H80" s="6"/>
      <c r="I80" s="6"/>
      <c r="J8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0" s="8" t="str">
        <f>IF(tblSales[[#This Row],[Key]]="","",IFERROR(INDEX(ตารางรวม!$W:$W,MATCH(tblSales[[#This Row],[Key]],ตารางรวม!$Z:$Z,0)),"ไม่พบสูตร"))</f>
        <v/>
      </c>
      <c r="L80" s="8" t="str">
        <f>IF(tblSales[[#This Row],[Key]]="","",IFERROR(INDEX(ตารางรวม!$V:$V,MATCH(tblSales[[#This Row],[Key]],ตารางรวม!$Z:$Z,0)),"ไม่พบสูตร"))</f>
        <v/>
      </c>
      <c r="M80" s="8" t="str">
        <f>IF(tblSales[[#This Row],[Key]]="","",IFERROR(tblSales[[#This Row],[ราคาต่อแก้ว]]*tblSales[[#This Row],[จำนวนแก้ว]],""))</f>
        <v/>
      </c>
      <c r="N80" s="8" t="str">
        <f>IF(tblSales[[#This Row],[Key]]="","",IFERROR(tblSales[[#This Row],[ต้นทุนต่อแก้ว]]*tblSales[[#This Row],[จำนวนแก้ว]],""))</f>
        <v/>
      </c>
      <c r="O80" s="8" t="str">
        <f>IF(tblSales[[#This Row],[Key]]="","",IFERROR(tblSales[[#This Row],[ยอดขาย (บาท)]]-tblSales[[#This Row],[ต้นทุนรวม (บาท)]],""))</f>
        <v/>
      </c>
      <c r="P80" s="21" t="str">
        <f>IF(tblSales[[#This Row],[Key]]="","",IFERROR(tblSales[[#This Row],[กำไร (บาท)]]/tblSales[[#This Row],[ยอดขาย (บาท)]],""))</f>
        <v/>
      </c>
      <c r="Q80" s="10" t="str">
        <f>IF(tblSales[[#This Row],[Key]]="","",IFERROR(INDEX(ตารางรวม!$D:$D,MATCH(tblSales[[#This Row],[Key]],ตารางรวม!$Z:$Z,0))*tblSales[[#This Row],[จำนวนแก้ว]],0))</f>
        <v/>
      </c>
      <c r="R80" s="10" t="str">
        <f>IF(tblSales[[#This Row],[Key]]="","",IFERROR(INDEX(ตารางรวม!$E:$E,MATCH(tblSales[[#This Row],[Key]],ตารางรวม!$Z:$Z,0))*tblSales[[#This Row],[จำนวนแก้ว]],0))</f>
        <v/>
      </c>
      <c r="S80" s="10" t="str">
        <f>IF(tblSales[[#This Row],[Key]]="","",IFERROR(INDEX(ตารางรวม!$F:$F,MATCH(tblSales[[#This Row],[Key]],ตารางรวม!$Z:$Z,0))*tblSales[[#This Row],[จำนวนแก้ว]],0))</f>
        <v/>
      </c>
      <c r="T80" s="10" t="str">
        <f>IF(tblSales[[#This Row],[Key]]="","",IFERROR(INDEX(ตารางรวม!$G:$G,MATCH(tblSales[[#This Row],[Key]],ตารางรวม!$Z:$Z,0))*tblSales[[#This Row],[จำนวนแก้ว]],0))</f>
        <v/>
      </c>
      <c r="U80" s="10" t="str">
        <f>IF(tblSales[[#This Row],[Key]]="","",IFERROR(INDEX(ตารางรวม!$H:$H,MATCH(tblSales[[#This Row],[Key]],ตารางรวม!$Z:$Z,0))*tblSales[[#This Row],[จำนวนแก้ว]],0))</f>
        <v/>
      </c>
      <c r="V80" s="10" t="str">
        <f>IF(tblSales[[#This Row],[Key]]="","",IFERROR(INDEX(ตารางรวม!$I:$I,MATCH(tblSales[[#This Row],[Key]],ตารางรวม!$Z:$Z,0))*tblSales[[#This Row],[จำนวนแก้ว]],0))</f>
        <v/>
      </c>
      <c r="W80" s="10" t="str">
        <f>IF(tblSales[[#This Row],[Key]]="","",IFERROR(INDEX(ตารางรวม!$J:$J,MATCH(tblSales[[#This Row],[Key]],ตารางรวม!$Z:$Z,0))*tblSales[[#This Row],[จำนวนแก้ว]],0))</f>
        <v/>
      </c>
      <c r="X80" s="10" t="str">
        <f>IF(tblSales[[#This Row],[Key]]="","",IFERROR(INDEX(ตารางรวม!$K:$K,MATCH(tblSales[[#This Row],[Key]],ตารางรวม!$Z:$Z,0))*tblSales[[#This Row],[จำนวนแก้ว]],0))</f>
        <v/>
      </c>
      <c r="Y80" s="10" t="str">
        <f>IF(tblSales[[#This Row],[Key]]="","",IFERROR(INDEX(ตารางรวม!$L:$L,MATCH(tblSales[[#This Row],[Key]],ตารางรวม!$Z:$Z,0))*tblSales[[#This Row],[จำนวนแก้ว]],0))</f>
        <v/>
      </c>
      <c r="Z80" s="10" t="str">
        <f>IF(tblSales[[#This Row],[Key]]="","",IFERROR(INDEX(ตารางรวม!$M:$M,MATCH(tblSales[[#This Row],[Key]],ตารางรวม!$Z:$Z,0))*tblSales[[#This Row],[จำนวนแก้ว]],0))</f>
        <v/>
      </c>
      <c r="AA80" s="10" t="str">
        <f>IF(tblSales[[#This Row],[Key]]="","",IFERROR(INDEX(ตารางรวม!$N:$N,MATCH(tblSales[[#This Row],[Key]],ตารางรวม!$Z:$Z,0))*tblSales[[#This Row],[จำนวนแก้ว]],0))</f>
        <v/>
      </c>
      <c r="AB80" s="10" t="str">
        <f>IF(tblSales[[#This Row],[Key]]="","",IFERROR(INDEX(ตารางรวม!$O:$O,MATCH(tblSales[[#This Row],[Key]],ตารางรวม!$Z:$Z,0))*tblSales[[#This Row],[จำนวนแก้ว]],0))</f>
        <v/>
      </c>
      <c r="AC80" s="10" t="str">
        <f>IF(tblSales[[#This Row],[Key]]="","",IFERROR(INDEX(ตารางรวม!$P:$P,MATCH(tblSales[[#This Row],[Key]],ตารางรวม!$Z:$Z,0))*tblSales[[#This Row],[จำนวนแก้ว]],0))</f>
        <v/>
      </c>
      <c r="AD80" s="10" t="str">
        <f>IF(tblSales[[#This Row],[Key]]="","",IFERROR(INDEX(ตารางรวม!$Q:$Q,MATCH(tblSales[[#This Row],[Key]],ตารางรวม!$Z:$Z,0))*tblSales[[#This Row],[จำนวนแก้ว]],0))</f>
        <v/>
      </c>
      <c r="AE80" s="10" t="str">
        <f>IF(tblSales[[#This Row],[Key]]="","",IFERROR(INDEX(ตารางรวม!$R:$R,MATCH(tblSales[[#This Row],[Key]],ตารางรวม!$Z:$Z,0))*tblSales[[#This Row],[จำนวนแก้ว]],0))</f>
        <v/>
      </c>
      <c r="AF80" s="10" t="str">
        <f>IF(tblSales[[#This Row],[Key]]="","",IFERROR(INDEX(ตารางรวม!$S:$S,MATCH(tblSales[[#This Row],[Key]],ตารางรวม!$Z:$Z,0))*tblSales[[#This Row],[จำนวนแก้ว]],0))</f>
        <v/>
      </c>
      <c r="AG80" s="10" t="str">
        <f>IF(tblSales[[#This Row],[Key]]="","",IFERROR(INDEX(ตารางรวม!$T:$T,MATCH(tblSales[[#This Row],[Key]],ตารางรวม!$Z:$Z,0))*tblSales[[#This Row],[จำนวนแก้ว]],0))</f>
        <v/>
      </c>
      <c r="AH80" s="10" t="str">
        <f>IF(tblSales[[#This Row],[Key]]="","",IF(tblSales[[#This Row],[ขนาด]]="16 oz",tblSales[[#This Row],[จำนวนแก้ว]],0))</f>
        <v/>
      </c>
      <c r="AI80" s="10" t="str">
        <f>IF(tblSales[[#This Row],[Key]]="","",IF(tblSales[[#This Row],[ขนาด]]="20 oz",tblSales[[#This Row],[จำนวนแก้ว]],0))</f>
        <v/>
      </c>
      <c r="AJ80" s="10" t="str">
        <f>IF(tblSales[[#This Row],[Key]]="","",IF(tblSales[[#This Row],[ขนาด]]="22 oz",tblSales[[#This Row],[จำนวนแก้ว]],0))</f>
        <v/>
      </c>
    </row>
    <row r="81" spans="1:36" x14ac:dyDescent="0.25">
      <c r="A81" s="4" t="str">
        <f>IF(tblSales[[#This Row],[วันที่]]="","","S"&amp;TEXT(tblSales[[#This Row],[วันที่]],"yymmdd")&amp;"-"&amp;TEXT(ROW()-5,"000"))</f>
        <v/>
      </c>
      <c r="B81" s="16"/>
      <c r="C81" s="6"/>
      <c r="D81" s="6"/>
      <c r="E81" s="20"/>
      <c r="F81" s="6"/>
      <c r="G81" s="6"/>
      <c r="H81" s="6"/>
      <c r="I81" s="6"/>
      <c r="J8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1" s="8" t="str">
        <f>IF(tblSales[[#This Row],[Key]]="","",IFERROR(INDEX(ตารางรวม!$W:$W,MATCH(tblSales[[#This Row],[Key]],ตารางรวม!$Z:$Z,0)),"ไม่พบสูตร"))</f>
        <v/>
      </c>
      <c r="L81" s="8" t="str">
        <f>IF(tblSales[[#This Row],[Key]]="","",IFERROR(INDEX(ตารางรวม!$V:$V,MATCH(tblSales[[#This Row],[Key]],ตารางรวม!$Z:$Z,0)),"ไม่พบสูตร"))</f>
        <v/>
      </c>
      <c r="M81" s="8" t="str">
        <f>IF(tblSales[[#This Row],[Key]]="","",IFERROR(tblSales[[#This Row],[ราคาต่อแก้ว]]*tblSales[[#This Row],[จำนวนแก้ว]],""))</f>
        <v/>
      </c>
      <c r="N81" s="8" t="str">
        <f>IF(tblSales[[#This Row],[Key]]="","",IFERROR(tblSales[[#This Row],[ต้นทุนต่อแก้ว]]*tblSales[[#This Row],[จำนวนแก้ว]],""))</f>
        <v/>
      </c>
      <c r="O81" s="8" t="str">
        <f>IF(tblSales[[#This Row],[Key]]="","",IFERROR(tblSales[[#This Row],[ยอดขาย (บาท)]]-tblSales[[#This Row],[ต้นทุนรวม (บาท)]],""))</f>
        <v/>
      </c>
      <c r="P81" s="21" t="str">
        <f>IF(tblSales[[#This Row],[Key]]="","",IFERROR(tblSales[[#This Row],[กำไร (บาท)]]/tblSales[[#This Row],[ยอดขาย (บาท)]],""))</f>
        <v/>
      </c>
      <c r="Q81" s="10" t="str">
        <f>IF(tblSales[[#This Row],[Key]]="","",IFERROR(INDEX(ตารางรวม!$D:$D,MATCH(tblSales[[#This Row],[Key]],ตารางรวม!$Z:$Z,0))*tblSales[[#This Row],[จำนวนแก้ว]],0))</f>
        <v/>
      </c>
      <c r="R81" s="10" t="str">
        <f>IF(tblSales[[#This Row],[Key]]="","",IFERROR(INDEX(ตารางรวม!$E:$E,MATCH(tblSales[[#This Row],[Key]],ตารางรวม!$Z:$Z,0))*tblSales[[#This Row],[จำนวนแก้ว]],0))</f>
        <v/>
      </c>
      <c r="S81" s="10" t="str">
        <f>IF(tblSales[[#This Row],[Key]]="","",IFERROR(INDEX(ตารางรวม!$F:$F,MATCH(tblSales[[#This Row],[Key]],ตารางรวม!$Z:$Z,0))*tblSales[[#This Row],[จำนวนแก้ว]],0))</f>
        <v/>
      </c>
      <c r="T81" s="10" t="str">
        <f>IF(tblSales[[#This Row],[Key]]="","",IFERROR(INDEX(ตารางรวม!$G:$G,MATCH(tblSales[[#This Row],[Key]],ตารางรวม!$Z:$Z,0))*tblSales[[#This Row],[จำนวนแก้ว]],0))</f>
        <v/>
      </c>
      <c r="U81" s="10" t="str">
        <f>IF(tblSales[[#This Row],[Key]]="","",IFERROR(INDEX(ตารางรวม!$H:$H,MATCH(tblSales[[#This Row],[Key]],ตารางรวม!$Z:$Z,0))*tblSales[[#This Row],[จำนวนแก้ว]],0))</f>
        <v/>
      </c>
      <c r="V81" s="10" t="str">
        <f>IF(tblSales[[#This Row],[Key]]="","",IFERROR(INDEX(ตารางรวม!$I:$I,MATCH(tblSales[[#This Row],[Key]],ตารางรวม!$Z:$Z,0))*tblSales[[#This Row],[จำนวนแก้ว]],0))</f>
        <v/>
      </c>
      <c r="W81" s="10" t="str">
        <f>IF(tblSales[[#This Row],[Key]]="","",IFERROR(INDEX(ตารางรวม!$J:$J,MATCH(tblSales[[#This Row],[Key]],ตารางรวม!$Z:$Z,0))*tblSales[[#This Row],[จำนวนแก้ว]],0))</f>
        <v/>
      </c>
      <c r="X81" s="10" t="str">
        <f>IF(tblSales[[#This Row],[Key]]="","",IFERROR(INDEX(ตารางรวม!$K:$K,MATCH(tblSales[[#This Row],[Key]],ตารางรวม!$Z:$Z,0))*tblSales[[#This Row],[จำนวนแก้ว]],0))</f>
        <v/>
      </c>
      <c r="Y81" s="10" t="str">
        <f>IF(tblSales[[#This Row],[Key]]="","",IFERROR(INDEX(ตารางรวม!$L:$L,MATCH(tblSales[[#This Row],[Key]],ตารางรวม!$Z:$Z,0))*tblSales[[#This Row],[จำนวนแก้ว]],0))</f>
        <v/>
      </c>
      <c r="Z81" s="10" t="str">
        <f>IF(tblSales[[#This Row],[Key]]="","",IFERROR(INDEX(ตารางรวม!$M:$M,MATCH(tblSales[[#This Row],[Key]],ตารางรวม!$Z:$Z,0))*tblSales[[#This Row],[จำนวนแก้ว]],0))</f>
        <v/>
      </c>
      <c r="AA81" s="10" t="str">
        <f>IF(tblSales[[#This Row],[Key]]="","",IFERROR(INDEX(ตารางรวม!$N:$N,MATCH(tblSales[[#This Row],[Key]],ตารางรวม!$Z:$Z,0))*tblSales[[#This Row],[จำนวนแก้ว]],0))</f>
        <v/>
      </c>
      <c r="AB81" s="10" t="str">
        <f>IF(tblSales[[#This Row],[Key]]="","",IFERROR(INDEX(ตารางรวม!$O:$O,MATCH(tblSales[[#This Row],[Key]],ตารางรวม!$Z:$Z,0))*tblSales[[#This Row],[จำนวนแก้ว]],0))</f>
        <v/>
      </c>
      <c r="AC81" s="10" t="str">
        <f>IF(tblSales[[#This Row],[Key]]="","",IFERROR(INDEX(ตารางรวม!$P:$P,MATCH(tblSales[[#This Row],[Key]],ตารางรวม!$Z:$Z,0))*tblSales[[#This Row],[จำนวนแก้ว]],0))</f>
        <v/>
      </c>
      <c r="AD81" s="10" t="str">
        <f>IF(tblSales[[#This Row],[Key]]="","",IFERROR(INDEX(ตารางรวม!$Q:$Q,MATCH(tblSales[[#This Row],[Key]],ตารางรวม!$Z:$Z,0))*tblSales[[#This Row],[จำนวนแก้ว]],0))</f>
        <v/>
      </c>
      <c r="AE81" s="10" t="str">
        <f>IF(tblSales[[#This Row],[Key]]="","",IFERROR(INDEX(ตารางรวม!$R:$R,MATCH(tblSales[[#This Row],[Key]],ตารางรวม!$Z:$Z,0))*tblSales[[#This Row],[จำนวนแก้ว]],0))</f>
        <v/>
      </c>
      <c r="AF81" s="10" t="str">
        <f>IF(tblSales[[#This Row],[Key]]="","",IFERROR(INDEX(ตารางรวม!$S:$S,MATCH(tblSales[[#This Row],[Key]],ตารางรวม!$Z:$Z,0))*tblSales[[#This Row],[จำนวนแก้ว]],0))</f>
        <v/>
      </c>
      <c r="AG81" s="10" t="str">
        <f>IF(tblSales[[#This Row],[Key]]="","",IFERROR(INDEX(ตารางรวม!$T:$T,MATCH(tblSales[[#This Row],[Key]],ตารางรวม!$Z:$Z,0))*tblSales[[#This Row],[จำนวนแก้ว]],0))</f>
        <v/>
      </c>
      <c r="AH81" s="10" t="str">
        <f>IF(tblSales[[#This Row],[Key]]="","",IF(tblSales[[#This Row],[ขนาด]]="16 oz",tblSales[[#This Row],[จำนวนแก้ว]],0))</f>
        <v/>
      </c>
      <c r="AI81" s="10" t="str">
        <f>IF(tblSales[[#This Row],[Key]]="","",IF(tblSales[[#This Row],[ขนาด]]="20 oz",tblSales[[#This Row],[จำนวนแก้ว]],0))</f>
        <v/>
      </c>
      <c r="AJ81" s="10" t="str">
        <f>IF(tblSales[[#This Row],[Key]]="","",IF(tblSales[[#This Row],[ขนาด]]="22 oz",tblSales[[#This Row],[จำนวนแก้ว]],0))</f>
        <v/>
      </c>
    </row>
    <row r="82" spans="1:36" x14ac:dyDescent="0.25">
      <c r="A82" s="4" t="str">
        <f>IF(tblSales[[#This Row],[วันที่]]="","","S"&amp;TEXT(tblSales[[#This Row],[วันที่]],"yymmdd")&amp;"-"&amp;TEXT(ROW()-5,"000"))</f>
        <v/>
      </c>
      <c r="B82" s="16"/>
      <c r="C82" s="6"/>
      <c r="D82" s="6"/>
      <c r="E82" s="20"/>
      <c r="F82" s="6"/>
      <c r="G82" s="6"/>
      <c r="H82" s="6"/>
      <c r="I82" s="6"/>
      <c r="J8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2" s="8" t="str">
        <f>IF(tblSales[[#This Row],[Key]]="","",IFERROR(INDEX(ตารางรวม!$W:$W,MATCH(tblSales[[#This Row],[Key]],ตารางรวม!$Z:$Z,0)),"ไม่พบสูตร"))</f>
        <v/>
      </c>
      <c r="L82" s="8" t="str">
        <f>IF(tblSales[[#This Row],[Key]]="","",IFERROR(INDEX(ตารางรวม!$V:$V,MATCH(tblSales[[#This Row],[Key]],ตารางรวม!$Z:$Z,0)),"ไม่พบสูตร"))</f>
        <v/>
      </c>
      <c r="M82" s="8" t="str">
        <f>IF(tblSales[[#This Row],[Key]]="","",IFERROR(tblSales[[#This Row],[ราคาต่อแก้ว]]*tblSales[[#This Row],[จำนวนแก้ว]],""))</f>
        <v/>
      </c>
      <c r="N82" s="8" t="str">
        <f>IF(tblSales[[#This Row],[Key]]="","",IFERROR(tblSales[[#This Row],[ต้นทุนต่อแก้ว]]*tblSales[[#This Row],[จำนวนแก้ว]],""))</f>
        <v/>
      </c>
      <c r="O82" s="8" t="str">
        <f>IF(tblSales[[#This Row],[Key]]="","",IFERROR(tblSales[[#This Row],[ยอดขาย (บาท)]]-tblSales[[#This Row],[ต้นทุนรวม (บาท)]],""))</f>
        <v/>
      </c>
      <c r="P82" s="21" t="str">
        <f>IF(tblSales[[#This Row],[Key]]="","",IFERROR(tblSales[[#This Row],[กำไร (บาท)]]/tblSales[[#This Row],[ยอดขาย (บาท)]],""))</f>
        <v/>
      </c>
      <c r="Q82" s="10" t="str">
        <f>IF(tblSales[[#This Row],[Key]]="","",IFERROR(INDEX(ตารางรวม!$D:$D,MATCH(tblSales[[#This Row],[Key]],ตารางรวม!$Z:$Z,0))*tblSales[[#This Row],[จำนวนแก้ว]],0))</f>
        <v/>
      </c>
      <c r="R82" s="10" t="str">
        <f>IF(tblSales[[#This Row],[Key]]="","",IFERROR(INDEX(ตารางรวม!$E:$E,MATCH(tblSales[[#This Row],[Key]],ตารางรวม!$Z:$Z,0))*tblSales[[#This Row],[จำนวนแก้ว]],0))</f>
        <v/>
      </c>
      <c r="S82" s="10" t="str">
        <f>IF(tblSales[[#This Row],[Key]]="","",IFERROR(INDEX(ตารางรวม!$F:$F,MATCH(tblSales[[#This Row],[Key]],ตารางรวม!$Z:$Z,0))*tblSales[[#This Row],[จำนวนแก้ว]],0))</f>
        <v/>
      </c>
      <c r="T82" s="10" t="str">
        <f>IF(tblSales[[#This Row],[Key]]="","",IFERROR(INDEX(ตารางรวม!$G:$G,MATCH(tblSales[[#This Row],[Key]],ตารางรวม!$Z:$Z,0))*tblSales[[#This Row],[จำนวนแก้ว]],0))</f>
        <v/>
      </c>
      <c r="U82" s="10" t="str">
        <f>IF(tblSales[[#This Row],[Key]]="","",IFERROR(INDEX(ตารางรวม!$H:$H,MATCH(tblSales[[#This Row],[Key]],ตารางรวม!$Z:$Z,0))*tblSales[[#This Row],[จำนวนแก้ว]],0))</f>
        <v/>
      </c>
      <c r="V82" s="10" t="str">
        <f>IF(tblSales[[#This Row],[Key]]="","",IFERROR(INDEX(ตารางรวม!$I:$I,MATCH(tblSales[[#This Row],[Key]],ตารางรวม!$Z:$Z,0))*tblSales[[#This Row],[จำนวนแก้ว]],0))</f>
        <v/>
      </c>
      <c r="W82" s="10" t="str">
        <f>IF(tblSales[[#This Row],[Key]]="","",IFERROR(INDEX(ตารางรวม!$J:$J,MATCH(tblSales[[#This Row],[Key]],ตารางรวม!$Z:$Z,0))*tblSales[[#This Row],[จำนวนแก้ว]],0))</f>
        <v/>
      </c>
      <c r="X82" s="10" t="str">
        <f>IF(tblSales[[#This Row],[Key]]="","",IFERROR(INDEX(ตารางรวม!$K:$K,MATCH(tblSales[[#This Row],[Key]],ตารางรวม!$Z:$Z,0))*tblSales[[#This Row],[จำนวนแก้ว]],0))</f>
        <v/>
      </c>
      <c r="Y82" s="10" t="str">
        <f>IF(tblSales[[#This Row],[Key]]="","",IFERROR(INDEX(ตารางรวม!$L:$L,MATCH(tblSales[[#This Row],[Key]],ตารางรวม!$Z:$Z,0))*tblSales[[#This Row],[จำนวนแก้ว]],0))</f>
        <v/>
      </c>
      <c r="Z82" s="10" t="str">
        <f>IF(tblSales[[#This Row],[Key]]="","",IFERROR(INDEX(ตารางรวม!$M:$M,MATCH(tblSales[[#This Row],[Key]],ตารางรวม!$Z:$Z,0))*tblSales[[#This Row],[จำนวนแก้ว]],0))</f>
        <v/>
      </c>
      <c r="AA82" s="10" t="str">
        <f>IF(tblSales[[#This Row],[Key]]="","",IFERROR(INDEX(ตารางรวม!$N:$N,MATCH(tblSales[[#This Row],[Key]],ตารางรวม!$Z:$Z,0))*tblSales[[#This Row],[จำนวนแก้ว]],0))</f>
        <v/>
      </c>
      <c r="AB82" s="10" t="str">
        <f>IF(tblSales[[#This Row],[Key]]="","",IFERROR(INDEX(ตารางรวม!$O:$O,MATCH(tblSales[[#This Row],[Key]],ตารางรวม!$Z:$Z,0))*tblSales[[#This Row],[จำนวนแก้ว]],0))</f>
        <v/>
      </c>
      <c r="AC82" s="10" t="str">
        <f>IF(tblSales[[#This Row],[Key]]="","",IFERROR(INDEX(ตารางรวม!$P:$P,MATCH(tblSales[[#This Row],[Key]],ตารางรวม!$Z:$Z,0))*tblSales[[#This Row],[จำนวนแก้ว]],0))</f>
        <v/>
      </c>
      <c r="AD82" s="10" t="str">
        <f>IF(tblSales[[#This Row],[Key]]="","",IFERROR(INDEX(ตารางรวม!$Q:$Q,MATCH(tblSales[[#This Row],[Key]],ตารางรวม!$Z:$Z,0))*tblSales[[#This Row],[จำนวนแก้ว]],0))</f>
        <v/>
      </c>
      <c r="AE82" s="10" t="str">
        <f>IF(tblSales[[#This Row],[Key]]="","",IFERROR(INDEX(ตารางรวม!$R:$R,MATCH(tblSales[[#This Row],[Key]],ตารางรวม!$Z:$Z,0))*tblSales[[#This Row],[จำนวนแก้ว]],0))</f>
        <v/>
      </c>
      <c r="AF82" s="10" t="str">
        <f>IF(tblSales[[#This Row],[Key]]="","",IFERROR(INDEX(ตารางรวม!$S:$S,MATCH(tblSales[[#This Row],[Key]],ตารางรวม!$Z:$Z,0))*tblSales[[#This Row],[จำนวนแก้ว]],0))</f>
        <v/>
      </c>
      <c r="AG82" s="10" t="str">
        <f>IF(tblSales[[#This Row],[Key]]="","",IFERROR(INDEX(ตารางรวม!$T:$T,MATCH(tblSales[[#This Row],[Key]],ตารางรวม!$Z:$Z,0))*tblSales[[#This Row],[จำนวนแก้ว]],0))</f>
        <v/>
      </c>
      <c r="AH82" s="10" t="str">
        <f>IF(tblSales[[#This Row],[Key]]="","",IF(tblSales[[#This Row],[ขนาด]]="16 oz",tblSales[[#This Row],[จำนวนแก้ว]],0))</f>
        <v/>
      </c>
      <c r="AI82" s="10" t="str">
        <f>IF(tblSales[[#This Row],[Key]]="","",IF(tblSales[[#This Row],[ขนาด]]="20 oz",tblSales[[#This Row],[จำนวนแก้ว]],0))</f>
        <v/>
      </c>
      <c r="AJ82" s="10" t="str">
        <f>IF(tblSales[[#This Row],[Key]]="","",IF(tblSales[[#This Row],[ขนาด]]="22 oz",tblSales[[#This Row],[จำนวนแก้ว]],0))</f>
        <v/>
      </c>
    </row>
    <row r="83" spans="1:36" x14ac:dyDescent="0.25">
      <c r="A83" s="4" t="str">
        <f>IF(tblSales[[#This Row],[วันที่]]="","","S"&amp;TEXT(tblSales[[#This Row],[วันที่]],"yymmdd")&amp;"-"&amp;TEXT(ROW()-5,"000"))</f>
        <v/>
      </c>
      <c r="B83" s="16"/>
      <c r="C83" s="6"/>
      <c r="D83" s="6"/>
      <c r="E83" s="20"/>
      <c r="F83" s="6"/>
      <c r="G83" s="6"/>
      <c r="H83" s="6"/>
      <c r="I83" s="6"/>
      <c r="J8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3" s="8" t="str">
        <f>IF(tblSales[[#This Row],[Key]]="","",IFERROR(INDEX(ตารางรวม!$W:$W,MATCH(tblSales[[#This Row],[Key]],ตารางรวม!$Z:$Z,0)),"ไม่พบสูตร"))</f>
        <v/>
      </c>
      <c r="L83" s="8" t="str">
        <f>IF(tblSales[[#This Row],[Key]]="","",IFERROR(INDEX(ตารางรวม!$V:$V,MATCH(tblSales[[#This Row],[Key]],ตารางรวม!$Z:$Z,0)),"ไม่พบสูตร"))</f>
        <v/>
      </c>
      <c r="M83" s="8" t="str">
        <f>IF(tblSales[[#This Row],[Key]]="","",IFERROR(tblSales[[#This Row],[ราคาต่อแก้ว]]*tblSales[[#This Row],[จำนวนแก้ว]],""))</f>
        <v/>
      </c>
      <c r="N83" s="8" t="str">
        <f>IF(tblSales[[#This Row],[Key]]="","",IFERROR(tblSales[[#This Row],[ต้นทุนต่อแก้ว]]*tblSales[[#This Row],[จำนวนแก้ว]],""))</f>
        <v/>
      </c>
      <c r="O83" s="8" t="str">
        <f>IF(tblSales[[#This Row],[Key]]="","",IFERROR(tblSales[[#This Row],[ยอดขาย (บาท)]]-tblSales[[#This Row],[ต้นทุนรวม (บาท)]],""))</f>
        <v/>
      </c>
      <c r="P83" s="21" t="str">
        <f>IF(tblSales[[#This Row],[Key]]="","",IFERROR(tblSales[[#This Row],[กำไร (บาท)]]/tblSales[[#This Row],[ยอดขาย (บาท)]],""))</f>
        <v/>
      </c>
      <c r="Q83" s="10" t="str">
        <f>IF(tblSales[[#This Row],[Key]]="","",IFERROR(INDEX(ตารางรวม!$D:$D,MATCH(tblSales[[#This Row],[Key]],ตารางรวม!$Z:$Z,0))*tblSales[[#This Row],[จำนวนแก้ว]],0))</f>
        <v/>
      </c>
      <c r="R83" s="10" t="str">
        <f>IF(tblSales[[#This Row],[Key]]="","",IFERROR(INDEX(ตารางรวม!$E:$E,MATCH(tblSales[[#This Row],[Key]],ตารางรวม!$Z:$Z,0))*tblSales[[#This Row],[จำนวนแก้ว]],0))</f>
        <v/>
      </c>
      <c r="S83" s="10" t="str">
        <f>IF(tblSales[[#This Row],[Key]]="","",IFERROR(INDEX(ตารางรวม!$F:$F,MATCH(tblSales[[#This Row],[Key]],ตารางรวม!$Z:$Z,0))*tblSales[[#This Row],[จำนวนแก้ว]],0))</f>
        <v/>
      </c>
      <c r="T83" s="10" t="str">
        <f>IF(tblSales[[#This Row],[Key]]="","",IFERROR(INDEX(ตารางรวม!$G:$G,MATCH(tblSales[[#This Row],[Key]],ตารางรวม!$Z:$Z,0))*tblSales[[#This Row],[จำนวนแก้ว]],0))</f>
        <v/>
      </c>
      <c r="U83" s="10" t="str">
        <f>IF(tblSales[[#This Row],[Key]]="","",IFERROR(INDEX(ตารางรวม!$H:$H,MATCH(tblSales[[#This Row],[Key]],ตารางรวม!$Z:$Z,0))*tblSales[[#This Row],[จำนวนแก้ว]],0))</f>
        <v/>
      </c>
      <c r="V83" s="10" t="str">
        <f>IF(tblSales[[#This Row],[Key]]="","",IFERROR(INDEX(ตารางรวม!$I:$I,MATCH(tblSales[[#This Row],[Key]],ตารางรวม!$Z:$Z,0))*tblSales[[#This Row],[จำนวนแก้ว]],0))</f>
        <v/>
      </c>
      <c r="W83" s="10" t="str">
        <f>IF(tblSales[[#This Row],[Key]]="","",IFERROR(INDEX(ตารางรวม!$J:$J,MATCH(tblSales[[#This Row],[Key]],ตารางรวม!$Z:$Z,0))*tblSales[[#This Row],[จำนวนแก้ว]],0))</f>
        <v/>
      </c>
      <c r="X83" s="10" t="str">
        <f>IF(tblSales[[#This Row],[Key]]="","",IFERROR(INDEX(ตารางรวม!$K:$K,MATCH(tblSales[[#This Row],[Key]],ตารางรวม!$Z:$Z,0))*tblSales[[#This Row],[จำนวนแก้ว]],0))</f>
        <v/>
      </c>
      <c r="Y83" s="10" t="str">
        <f>IF(tblSales[[#This Row],[Key]]="","",IFERROR(INDEX(ตารางรวม!$L:$L,MATCH(tblSales[[#This Row],[Key]],ตารางรวม!$Z:$Z,0))*tblSales[[#This Row],[จำนวนแก้ว]],0))</f>
        <v/>
      </c>
      <c r="Z83" s="10" t="str">
        <f>IF(tblSales[[#This Row],[Key]]="","",IFERROR(INDEX(ตารางรวม!$M:$M,MATCH(tblSales[[#This Row],[Key]],ตารางรวม!$Z:$Z,0))*tblSales[[#This Row],[จำนวนแก้ว]],0))</f>
        <v/>
      </c>
      <c r="AA83" s="10" t="str">
        <f>IF(tblSales[[#This Row],[Key]]="","",IFERROR(INDEX(ตารางรวม!$N:$N,MATCH(tblSales[[#This Row],[Key]],ตารางรวม!$Z:$Z,0))*tblSales[[#This Row],[จำนวนแก้ว]],0))</f>
        <v/>
      </c>
      <c r="AB83" s="10" t="str">
        <f>IF(tblSales[[#This Row],[Key]]="","",IFERROR(INDEX(ตารางรวม!$O:$O,MATCH(tblSales[[#This Row],[Key]],ตารางรวม!$Z:$Z,0))*tblSales[[#This Row],[จำนวนแก้ว]],0))</f>
        <v/>
      </c>
      <c r="AC83" s="10" t="str">
        <f>IF(tblSales[[#This Row],[Key]]="","",IFERROR(INDEX(ตารางรวม!$P:$P,MATCH(tblSales[[#This Row],[Key]],ตารางรวม!$Z:$Z,0))*tblSales[[#This Row],[จำนวนแก้ว]],0))</f>
        <v/>
      </c>
      <c r="AD83" s="10" t="str">
        <f>IF(tblSales[[#This Row],[Key]]="","",IFERROR(INDEX(ตารางรวม!$Q:$Q,MATCH(tblSales[[#This Row],[Key]],ตารางรวม!$Z:$Z,0))*tblSales[[#This Row],[จำนวนแก้ว]],0))</f>
        <v/>
      </c>
      <c r="AE83" s="10" t="str">
        <f>IF(tblSales[[#This Row],[Key]]="","",IFERROR(INDEX(ตารางรวม!$R:$R,MATCH(tblSales[[#This Row],[Key]],ตารางรวม!$Z:$Z,0))*tblSales[[#This Row],[จำนวนแก้ว]],0))</f>
        <v/>
      </c>
      <c r="AF83" s="10" t="str">
        <f>IF(tblSales[[#This Row],[Key]]="","",IFERROR(INDEX(ตารางรวม!$S:$S,MATCH(tblSales[[#This Row],[Key]],ตารางรวม!$Z:$Z,0))*tblSales[[#This Row],[จำนวนแก้ว]],0))</f>
        <v/>
      </c>
      <c r="AG83" s="10" t="str">
        <f>IF(tblSales[[#This Row],[Key]]="","",IFERROR(INDEX(ตารางรวม!$T:$T,MATCH(tblSales[[#This Row],[Key]],ตารางรวม!$Z:$Z,0))*tblSales[[#This Row],[จำนวนแก้ว]],0))</f>
        <v/>
      </c>
      <c r="AH83" s="10" t="str">
        <f>IF(tblSales[[#This Row],[Key]]="","",IF(tblSales[[#This Row],[ขนาด]]="16 oz",tblSales[[#This Row],[จำนวนแก้ว]],0))</f>
        <v/>
      </c>
      <c r="AI83" s="10" t="str">
        <f>IF(tblSales[[#This Row],[Key]]="","",IF(tblSales[[#This Row],[ขนาด]]="20 oz",tblSales[[#This Row],[จำนวนแก้ว]],0))</f>
        <v/>
      </c>
      <c r="AJ83" s="10" t="str">
        <f>IF(tblSales[[#This Row],[Key]]="","",IF(tblSales[[#This Row],[ขนาด]]="22 oz",tblSales[[#This Row],[จำนวนแก้ว]],0))</f>
        <v/>
      </c>
    </row>
    <row r="84" spans="1:36" x14ac:dyDescent="0.25">
      <c r="A84" s="4" t="str">
        <f>IF(tblSales[[#This Row],[วันที่]]="","","S"&amp;TEXT(tblSales[[#This Row],[วันที่]],"yymmdd")&amp;"-"&amp;TEXT(ROW()-5,"000"))</f>
        <v/>
      </c>
      <c r="B84" s="16"/>
      <c r="C84" s="6"/>
      <c r="D84" s="6"/>
      <c r="E84" s="20"/>
      <c r="F84" s="6"/>
      <c r="G84" s="6"/>
      <c r="H84" s="6"/>
      <c r="I84" s="6"/>
      <c r="J8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4" s="8" t="str">
        <f>IF(tblSales[[#This Row],[Key]]="","",IFERROR(INDEX(ตารางรวม!$W:$W,MATCH(tblSales[[#This Row],[Key]],ตารางรวม!$Z:$Z,0)),"ไม่พบสูตร"))</f>
        <v/>
      </c>
      <c r="L84" s="8" t="str">
        <f>IF(tblSales[[#This Row],[Key]]="","",IFERROR(INDEX(ตารางรวม!$V:$V,MATCH(tblSales[[#This Row],[Key]],ตารางรวม!$Z:$Z,0)),"ไม่พบสูตร"))</f>
        <v/>
      </c>
      <c r="M84" s="8" t="str">
        <f>IF(tblSales[[#This Row],[Key]]="","",IFERROR(tblSales[[#This Row],[ราคาต่อแก้ว]]*tblSales[[#This Row],[จำนวนแก้ว]],""))</f>
        <v/>
      </c>
      <c r="N84" s="8" t="str">
        <f>IF(tblSales[[#This Row],[Key]]="","",IFERROR(tblSales[[#This Row],[ต้นทุนต่อแก้ว]]*tblSales[[#This Row],[จำนวนแก้ว]],""))</f>
        <v/>
      </c>
      <c r="O84" s="8" t="str">
        <f>IF(tblSales[[#This Row],[Key]]="","",IFERROR(tblSales[[#This Row],[ยอดขาย (บาท)]]-tblSales[[#This Row],[ต้นทุนรวม (บาท)]],""))</f>
        <v/>
      </c>
      <c r="P84" s="21" t="str">
        <f>IF(tblSales[[#This Row],[Key]]="","",IFERROR(tblSales[[#This Row],[กำไร (บาท)]]/tblSales[[#This Row],[ยอดขาย (บาท)]],""))</f>
        <v/>
      </c>
      <c r="Q84" s="10" t="str">
        <f>IF(tblSales[[#This Row],[Key]]="","",IFERROR(INDEX(ตารางรวม!$D:$D,MATCH(tblSales[[#This Row],[Key]],ตารางรวม!$Z:$Z,0))*tblSales[[#This Row],[จำนวนแก้ว]],0))</f>
        <v/>
      </c>
      <c r="R84" s="10" t="str">
        <f>IF(tblSales[[#This Row],[Key]]="","",IFERROR(INDEX(ตารางรวม!$E:$E,MATCH(tblSales[[#This Row],[Key]],ตารางรวม!$Z:$Z,0))*tblSales[[#This Row],[จำนวนแก้ว]],0))</f>
        <v/>
      </c>
      <c r="S84" s="10" t="str">
        <f>IF(tblSales[[#This Row],[Key]]="","",IFERROR(INDEX(ตารางรวม!$F:$F,MATCH(tblSales[[#This Row],[Key]],ตารางรวม!$Z:$Z,0))*tblSales[[#This Row],[จำนวนแก้ว]],0))</f>
        <v/>
      </c>
      <c r="T84" s="10" t="str">
        <f>IF(tblSales[[#This Row],[Key]]="","",IFERROR(INDEX(ตารางรวม!$G:$G,MATCH(tblSales[[#This Row],[Key]],ตารางรวม!$Z:$Z,0))*tblSales[[#This Row],[จำนวนแก้ว]],0))</f>
        <v/>
      </c>
      <c r="U84" s="10" t="str">
        <f>IF(tblSales[[#This Row],[Key]]="","",IFERROR(INDEX(ตารางรวม!$H:$H,MATCH(tblSales[[#This Row],[Key]],ตารางรวม!$Z:$Z,0))*tblSales[[#This Row],[จำนวนแก้ว]],0))</f>
        <v/>
      </c>
      <c r="V84" s="10" t="str">
        <f>IF(tblSales[[#This Row],[Key]]="","",IFERROR(INDEX(ตารางรวม!$I:$I,MATCH(tblSales[[#This Row],[Key]],ตารางรวม!$Z:$Z,0))*tblSales[[#This Row],[จำนวนแก้ว]],0))</f>
        <v/>
      </c>
      <c r="W84" s="10" t="str">
        <f>IF(tblSales[[#This Row],[Key]]="","",IFERROR(INDEX(ตารางรวม!$J:$J,MATCH(tblSales[[#This Row],[Key]],ตารางรวม!$Z:$Z,0))*tblSales[[#This Row],[จำนวนแก้ว]],0))</f>
        <v/>
      </c>
      <c r="X84" s="10" t="str">
        <f>IF(tblSales[[#This Row],[Key]]="","",IFERROR(INDEX(ตารางรวม!$K:$K,MATCH(tblSales[[#This Row],[Key]],ตารางรวม!$Z:$Z,0))*tblSales[[#This Row],[จำนวนแก้ว]],0))</f>
        <v/>
      </c>
      <c r="Y84" s="10" t="str">
        <f>IF(tblSales[[#This Row],[Key]]="","",IFERROR(INDEX(ตารางรวม!$L:$L,MATCH(tblSales[[#This Row],[Key]],ตารางรวม!$Z:$Z,0))*tblSales[[#This Row],[จำนวนแก้ว]],0))</f>
        <v/>
      </c>
      <c r="Z84" s="10" t="str">
        <f>IF(tblSales[[#This Row],[Key]]="","",IFERROR(INDEX(ตารางรวม!$M:$M,MATCH(tblSales[[#This Row],[Key]],ตารางรวม!$Z:$Z,0))*tblSales[[#This Row],[จำนวนแก้ว]],0))</f>
        <v/>
      </c>
      <c r="AA84" s="10" t="str">
        <f>IF(tblSales[[#This Row],[Key]]="","",IFERROR(INDEX(ตารางรวม!$N:$N,MATCH(tblSales[[#This Row],[Key]],ตารางรวม!$Z:$Z,0))*tblSales[[#This Row],[จำนวนแก้ว]],0))</f>
        <v/>
      </c>
      <c r="AB84" s="10" t="str">
        <f>IF(tblSales[[#This Row],[Key]]="","",IFERROR(INDEX(ตารางรวม!$O:$O,MATCH(tblSales[[#This Row],[Key]],ตารางรวม!$Z:$Z,0))*tblSales[[#This Row],[จำนวนแก้ว]],0))</f>
        <v/>
      </c>
      <c r="AC84" s="10" t="str">
        <f>IF(tblSales[[#This Row],[Key]]="","",IFERROR(INDEX(ตารางรวม!$P:$P,MATCH(tblSales[[#This Row],[Key]],ตารางรวม!$Z:$Z,0))*tblSales[[#This Row],[จำนวนแก้ว]],0))</f>
        <v/>
      </c>
      <c r="AD84" s="10" t="str">
        <f>IF(tblSales[[#This Row],[Key]]="","",IFERROR(INDEX(ตารางรวม!$Q:$Q,MATCH(tblSales[[#This Row],[Key]],ตารางรวม!$Z:$Z,0))*tblSales[[#This Row],[จำนวนแก้ว]],0))</f>
        <v/>
      </c>
      <c r="AE84" s="10" t="str">
        <f>IF(tblSales[[#This Row],[Key]]="","",IFERROR(INDEX(ตารางรวม!$R:$R,MATCH(tblSales[[#This Row],[Key]],ตารางรวม!$Z:$Z,0))*tblSales[[#This Row],[จำนวนแก้ว]],0))</f>
        <v/>
      </c>
      <c r="AF84" s="10" t="str">
        <f>IF(tblSales[[#This Row],[Key]]="","",IFERROR(INDEX(ตารางรวม!$S:$S,MATCH(tblSales[[#This Row],[Key]],ตารางรวม!$Z:$Z,0))*tblSales[[#This Row],[จำนวนแก้ว]],0))</f>
        <v/>
      </c>
      <c r="AG84" s="10" t="str">
        <f>IF(tblSales[[#This Row],[Key]]="","",IFERROR(INDEX(ตารางรวม!$T:$T,MATCH(tblSales[[#This Row],[Key]],ตารางรวม!$Z:$Z,0))*tblSales[[#This Row],[จำนวนแก้ว]],0))</f>
        <v/>
      </c>
      <c r="AH84" s="10" t="str">
        <f>IF(tblSales[[#This Row],[Key]]="","",IF(tblSales[[#This Row],[ขนาด]]="16 oz",tblSales[[#This Row],[จำนวนแก้ว]],0))</f>
        <v/>
      </c>
      <c r="AI84" s="10" t="str">
        <f>IF(tblSales[[#This Row],[Key]]="","",IF(tblSales[[#This Row],[ขนาด]]="20 oz",tblSales[[#This Row],[จำนวนแก้ว]],0))</f>
        <v/>
      </c>
      <c r="AJ84" s="10" t="str">
        <f>IF(tblSales[[#This Row],[Key]]="","",IF(tblSales[[#This Row],[ขนาด]]="22 oz",tblSales[[#This Row],[จำนวนแก้ว]],0))</f>
        <v/>
      </c>
    </row>
    <row r="85" spans="1:36" x14ac:dyDescent="0.25">
      <c r="A85" s="4" t="str">
        <f>IF(tblSales[[#This Row],[วันที่]]="","","S"&amp;TEXT(tblSales[[#This Row],[วันที่]],"yymmdd")&amp;"-"&amp;TEXT(ROW()-5,"000"))</f>
        <v/>
      </c>
      <c r="B85" s="16"/>
      <c r="C85" s="6"/>
      <c r="D85" s="6"/>
      <c r="E85" s="20"/>
      <c r="F85" s="6"/>
      <c r="G85" s="6"/>
      <c r="H85" s="6"/>
      <c r="I85" s="6"/>
      <c r="J8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5" s="8" t="str">
        <f>IF(tblSales[[#This Row],[Key]]="","",IFERROR(INDEX(ตารางรวม!$W:$W,MATCH(tblSales[[#This Row],[Key]],ตารางรวม!$Z:$Z,0)),"ไม่พบสูตร"))</f>
        <v/>
      </c>
      <c r="L85" s="8" t="str">
        <f>IF(tblSales[[#This Row],[Key]]="","",IFERROR(INDEX(ตารางรวม!$V:$V,MATCH(tblSales[[#This Row],[Key]],ตารางรวม!$Z:$Z,0)),"ไม่พบสูตร"))</f>
        <v/>
      </c>
      <c r="M85" s="8" t="str">
        <f>IF(tblSales[[#This Row],[Key]]="","",IFERROR(tblSales[[#This Row],[ราคาต่อแก้ว]]*tblSales[[#This Row],[จำนวนแก้ว]],""))</f>
        <v/>
      </c>
      <c r="N85" s="8" t="str">
        <f>IF(tblSales[[#This Row],[Key]]="","",IFERROR(tblSales[[#This Row],[ต้นทุนต่อแก้ว]]*tblSales[[#This Row],[จำนวนแก้ว]],""))</f>
        <v/>
      </c>
      <c r="O85" s="8" t="str">
        <f>IF(tblSales[[#This Row],[Key]]="","",IFERROR(tblSales[[#This Row],[ยอดขาย (บาท)]]-tblSales[[#This Row],[ต้นทุนรวม (บาท)]],""))</f>
        <v/>
      </c>
      <c r="P85" s="21" t="str">
        <f>IF(tblSales[[#This Row],[Key]]="","",IFERROR(tblSales[[#This Row],[กำไร (บาท)]]/tblSales[[#This Row],[ยอดขาย (บาท)]],""))</f>
        <v/>
      </c>
      <c r="Q85" s="10" t="str">
        <f>IF(tblSales[[#This Row],[Key]]="","",IFERROR(INDEX(ตารางรวม!$D:$D,MATCH(tblSales[[#This Row],[Key]],ตารางรวม!$Z:$Z,0))*tblSales[[#This Row],[จำนวนแก้ว]],0))</f>
        <v/>
      </c>
      <c r="R85" s="10" t="str">
        <f>IF(tblSales[[#This Row],[Key]]="","",IFERROR(INDEX(ตารางรวม!$E:$E,MATCH(tblSales[[#This Row],[Key]],ตารางรวม!$Z:$Z,0))*tblSales[[#This Row],[จำนวนแก้ว]],0))</f>
        <v/>
      </c>
      <c r="S85" s="10" t="str">
        <f>IF(tblSales[[#This Row],[Key]]="","",IFERROR(INDEX(ตารางรวม!$F:$F,MATCH(tblSales[[#This Row],[Key]],ตารางรวม!$Z:$Z,0))*tblSales[[#This Row],[จำนวนแก้ว]],0))</f>
        <v/>
      </c>
      <c r="T85" s="10" t="str">
        <f>IF(tblSales[[#This Row],[Key]]="","",IFERROR(INDEX(ตารางรวม!$G:$G,MATCH(tblSales[[#This Row],[Key]],ตารางรวม!$Z:$Z,0))*tblSales[[#This Row],[จำนวนแก้ว]],0))</f>
        <v/>
      </c>
      <c r="U85" s="10" t="str">
        <f>IF(tblSales[[#This Row],[Key]]="","",IFERROR(INDEX(ตารางรวม!$H:$H,MATCH(tblSales[[#This Row],[Key]],ตารางรวม!$Z:$Z,0))*tblSales[[#This Row],[จำนวนแก้ว]],0))</f>
        <v/>
      </c>
      <c r="V85" s="10" t="str">
        <f>IF(tblSales[[#This Row],[Key]]="","",IFERROR(INDEX(ตารางรวม!$I:$I,MATCH(tblSales[[#This Row],[Key]],ตารางรวม!$Z:$Z,0))*tblSales[[#This Row],[จำนวนแก้ว]],0))</f>
        <v/>
      </c>
      <c r="W85" s="10" t="str">
        <f>IF(tblSales[[#This Row],[Key]]="","",IFERROR(INDEX(ตารางรวม!$J:$J,MATCH(tblSales[[#This Row],[Key]],ตารางรวม!$Z:$Z,0))*tblSales[[#This Row],[จำนวนแก้ว]],0))</f>
        <v/>
      </c>
      <c r="X85" s="10" t="str">
        <f>IF(tblSales[[#This Row],[Key]]="","",IFERROR(INDEX(ตารางรวม!$K:$K,MATCH(tblSales[[#This Row],[Key]],ตารางรวม!$Z:$Z,0))*tblSales[[#This Row],[จำนวนแก้ว]],0))</f>
        <v/>
      </c>
      <c r="Y85" s="10" t="str">
        <f>IF(tblSales[[#This Row],[Key]]="","",IFERROR(INDEX(ตารางรวม!$L:$L,MATCH(tblSales[[#This Row],[Key]],ตารางรวม!$Z:$Z,0))*tblSales[[#This Row],[จำนวนแก้ว]],0))</f>
        <v/>
      </c>
      <c r="Z85" s="10" t="str">
        <f>IF(tblSales[[#This Row],[Key]]="","",IFERROR(INDEX(ตารางรวม!$M:$M,MATCH(tblSales[[#This Row],[Key]],ตารางรวม!$Z:$Z,0))*tblSales[[#This Row],[จำนวนแก้ว]],0))</f>
        <v/>
      </c>
      <c r="AA85" s="10" t="str">
        <f>IF(tblSales[[#This Row],[Key]]="","",IFERROR(INDEX(ตารางรวม!$N:$N,MATCH(tblSales[[#This Row],[Key]],ตารางรวม!$Z:$Z,0))*tblSales[[#This Row],[จำนวนแก้ว]],0))</f>
        <v/>
      </c>
      <c r="AB85" s="10" t="str">
        <f>IF(tblSales[[#This Row],[Key]]="","",IFERROR(INDEX(ตารางรวม!$O:$O,MATCH(tblSales[[#This Row],[Key]],ตารางรวม!$Z:$Z,0))*tblSales[[#This Row],[จำนวนแก้ว]],0))</f>
        <v/>
      </c>
      <c r="AC85" s="10" t="str">
        <f>IF(tblSales[[#This Row],[Key]]="","",IFERROR(INDEX(ตารางรวม!$P:$P,MATCH(tblSales[[#This Row],[Key]],ตารางรวม!$Z:$Z,0))*tblSales[[#This Row],[จำนวนแก้ว]],0))</f>
        <v/>
      </c>
      <c r="AD85" s="10" t="str">
        <f>IF(tblSales[[#This Row],[Key]]="","",IFERROR(INDEX(ตารางรวม!$Q:$Q,MATCH(tblSales[[#This Row],[Key]],ตารางรวม!$Z:$Z,0))*tblSales[[#This Row],[จำนวนแก้ว]],0))</f>
        <v/>
      </c>
      <c r="AE85" s="10" t="str">
        <f>IF(tblSales[[#This Row],[Key]]="","",IFERROR(INDEX(ตารางรวม!$R:$R,MATCH(tblSales[[#This Row],[Key]],ตารางรวม!$Z:$Z,0))*tblSales[[#This Row],[จำนวนแก้ว]],0))</f>
        <v/>
      </c>
      <c r="AF85" s="10" t="str">
        <f>IF(tblSales[[#This Row],[Key]]="","",IFERROR(INDEX(ตารางรวม!$S:$S,MATCH(tblSales[[#This Row],[Key]],ตารางรวม!$Z:$Z,0))*tblSales[[#This Row],[จำนวนแก้ว]],0))</f>
        <v/>
      </c>
      <c r="AG85" s="10" t="str">
        <f>IF(tblSales[[#This Row],[Key]]="","",IFERROR(INDEX(ตารางรวม!$T:$T,MATCH(tblSales[[#This Row],[Key]],ตารางรวม!$Z:$Z,0))*tblSales[[#This Row],[จำนวนแก้ว]],0))</f>
        <v/>
      </c>
      <c r="AH85" s="10" t="str">
        <f>IF(tblSales[[#This Row],[Key]]="","",IF(tblSales[[#This Row],[ขนาด]]="16 oz",tblSales[[#This Row],[จำนวนแก้ว]],0))</f>
        <v/>
      </c>
      <c r="AI85" s="10" t="str">
        <f>IF(tblSales[[#This Row],[Key]]="","",IF(tblSales[[#This Row],[ขนาด]]="20 oz",tblSales[[#This Row],[จำนวนแก้ว]],0))</f>
        <v/>
      </c>
      <c r="AJ85" s="10" t="str">
        <f>IF(tblSales[[#This Row],[Key]]="","",IF(tblSales[[#This Row],[ขนาด]]="22 oz",tblSales[[#This Row],[จำนวนแก้ว]],0))</f>
        <v/>
      </c>
    </row>
    <row r="86" spans="1:36" x14ac:dyDescent="0.25">
      <c r="A86" s="4" t="str">
        <f>IF(tblSales[[#This Row],[วันที่]]="","","S"&amp;TEXT(tblSales[[#This Row],[วันที่]],"yymmdd")&amp;"-"&amp;TEXT(ROW()-5,"000"))</f>
        <v/>
      </c>
      <c r="B86" s="16"/>
      <c r="C86" s="6"/>
      <c r="D86" s="6"/>
      <c r="E86" s="20"/>
      <c r="F86" s="6"/>
      <c r="G86" s="6"/>
      <c r="H86" s="6"/>
      <c r="I86" s="6"/>
      <c r="J8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6" s="8" t="str">
        <f>IF(tblSales[[#This Row],[Key]]="","",IFERROR(INDEX(ตารางรวม!$W:$W,MATCH(tblSales[[#This Row],[Key]],ตารางรวม!$Z:$Z,0)),"ไม่พบสูตร"))</f>
        <v/>
      </c>
      <c r="L86" s="8" t="str">
        <f>IF(tblSales[[#This Row],[Key]]="","",IFERROR(INDEX(ตารางรวม!$V:$V,MATCH(tblSales[[#This Row],[Key]],ตารางรวม!$Z:$Z,0)),"ไม่พบสูตร"))</f>
        <v/>
      </c>
      <c r="M86" s="8" t="str">
        <f>IF(tblSales[[#This Row],[Key]]="","",IFERROR(tblSales[[#This Row],[ราคาต่อแก้ว]]*tblSales[[#This Row],[จำนวนแก้ว]],""))</f>
        <v/>
      </c>
      <c r="N86" s="8" t="str">
        <f>IF(tblSales[[#This Row],[Key]]="","",IFERROR(tblSales[[#This Row],[ต้นทุนต่อแก้ว]]*tblSales[[#This Row],[จำนวนแก้ว]],""))</f>
        <v/>
      </c>
      <c r="O86" s="8" t="str">
        <f>IF(tblSales[[#This Row],[Key]]="","",IFERROR(tblSales[[#This Row],[ยอดขาย (บาท)]]-tblSales[[#This Row],[ต้นทุนรวม (บาท)]],""))</f>
        <v/>
      </c>
      <c r="P86" s="21" t="str">
        <f>IF(tblSales[[#This Row],[Key]]="","",IFERROR(tblSales[[#This Row],[กำไร (บาท)]]/tblSales[[#This Row],[ยอดขาย (บาท)]],""))</f>
        <v/>
      </c>
      <c r="Q86" s="10" t="str">
        <f>IF(tblSales[[#This Row],[Key]]="","",IFERROR(INDEX(ตารางรวม!$D:$D,MATCH(tblSales[[#This Row],[Key]],ตารางรวม!$Z:$Z,0))*tblSales[[#This Row],[จำนวนแก้ว]],0))</f>
        <v/>
      </c>
      <c r="R86" s="10" t="str">
        <f>IF(tblSales[[#This Row],[Key]]="","",IFERROR(INDEX(ตารางรวม!$E:$E,MATCH(tblSales[[#This Row],[Key]],ตารางรวม!$Z:$Z,0))*tblSales[[#This Row],[จำนวนแก้ว]],0))</f>
        <v/>
      </c>
      <c r="S86" s="10" t="str">
        <f>IF(tblSales[[#This Row],[Key]]="","",IFERROR(INDEX(ตารางรวม!$F:$F,MATCH(tblSales[[#This Row],[Key]],ตารางรวม!$Z:$Z,0))*tblSales[[#This Row],[จำนวนแก้ว]],0))</f>
        <v/>
      </c>
      <c r="T86" s="10" t="str">
        <f>IF(tblSales[[#This Row],[Key]]="","",IFERROR(INDEX(ตารางรวม!$G:$G,MATCH(tblSales[[#This Row],[Key]],ตารางรวม!$Z:$Z,0))*tblSales[[#This Row],[จำนวนแก้ว]],0))</f>
        <v/>
      </c>
      <c r="U86" s="10" t="str">
        <f>IF(tblSales[[#This Row],[Key]]="","",IFERROR(INDEX(ตารางรวม!$H:$H,MATCH(tblSales[[#This Row],[Key]],ตารางรวม!$Z:$Z,0))*tblSales[[#This Row],[จำนวนแก้ว]],0))</f>
        <v/>
      </c>
      <c r="V86" s="10" t="str">
        <f>IF(tblSales[[#This Row],[Key]]="","",IFERROR(INDEX(ตารางรวม!$I:$I,MATCH(tblSales[[#This Row],[Key]],ตารางรวม!$Z:$Z,0))*tblSales[[#This Row],[จำนวนแก้ว]],0))</f>
        <v/>
      </c>
      <c r="W86" s="10" t="str">
        <f>IF(tblSales[[#This Row],[Key]]="","",IFERROR(INDEX(ตารางรวม!$J:$J,MATCH(tblSales[[#This Row],[Key]],ตารางรวม!$Z:$Z,0))*tblSales[[#This Row],[จำนวนแก้ว]],0))</f>
        <v/>
      </c>
      <c r="X86" s="10" t="str">
        <f>IF(tblSales[[#This Row],[Key]]="","",IFERROR(INDEX(ตารางรวม!$K:$K,MATCH(tblSales[[#This Row],[Key]],ตารางรวม!$Z:$Z,0))*tblSales[[#This Row],[จำนวนแก้ว]],0))</f>
        <v/>
      </c>
      <c r="Y86" s="10" t="str">
        <f>IF(tblSales[[#This Row],[Key]]="","",IFERROR(INDEX(ตารางรวม!$L:$L,MATCH(tblSales[[#This Row],[Key]],ตารางรวม!$Z:$Z,0))*tblSales[[#This Row],[จำนวนแก้ว]],0))</f>
        <v/>
      </c>
      <c r="Z86" s="10" t="str">
        <f>IF(tblSales[[#This Row],[Key]]="","",IFERROR(INDEX(ตารางรวม!$M:$M,MATCH(tblSales[[#This Row],[Key]],ตารางรวม!$Z:$Z,0))*tblSales[[#This Row],[จำนวนแก้ว]],0))</f>
        <v/>
      </c>
      <c r="AA86" s="10" t="str">
        <f>IF(tblSales[[#This Row],[Key]]="","",IFERROR(INDEX(ตารางรวม!$N:$N,MATCH(tblSales[[#This Row],[Key]],ตารางรวม!$Z:$Z,0))*tblSales[[#This Row],[จำนวนแก้ว]],0))</f>
        <v/>
      </c>
      <c r="AB86" s="10" t="str">
        <f>IF(tblSales[[#This Row],[Key]]="","",IFERROR(INDEX(ตารางรวม!$O:$O,MATCH(tblSales[[#This Row],[Key]],ตารางรวม!$Z:$Z,0))*tblSales[[#This Row],[จำนวนแก้ว]],0))</f>
        <v/>
      </c>
      <c r="AC86" s="10" t="str">
        <f>IF(tblSales[[#This Row],[Key]]="","",IFERROR(INDEX(ตารางรวม!$P:$P,MATCH(tblSales[[#This Row],[Key]],ตารางรวม!$Z:$Z,0))*tblSales[[#This Row],[จำนวนแก้ว]],0))</f>
        <v/>
      </c>
      <c r="AD86" s="10" t="str">
        <f>IF(tblSales[[#This Row],[Key]]="","",IFERROR(INDEX(ตารางรวม!$Q:$Q,MATCH(tblSales[[#This Row],[Key]],ตารางรวม!$Z:$Z,0))*tblSales[[#This Row],[จำนวนแก้ว]],0))</f>
        <v/>
      </c>
      <c r="AE86" s="10" t="str">
        <f>IF(tblSales[[#This Row],[Key]]="","",IFERROR(INDEX(ตารางรวม!$R:$R,MATCH(tblSales[[#This Row],[Key]],ตารางรวม!$Z:$Z,0))*tblSales[[#This Row],[จำนวนแก้ว]],0))</f>
        <v/>
      </c>
      <c r="AF86" s="10" t="str">
        <f>IF(tblSales[[#This Row],[Key]]="","",IFERROR(INDEX(ตารางรวม!$S:$S,MATCH(tblSales[[#This Row],[Key]],ตารางรวม!$Z:$Z,0))*tblSales[[#This Row],[จำนวนแก้ว]],0))</f>
        <v/>
      </c>
      <c r="AG86" s="10" t="str">
        <f>IF(tblSales[[#This Row],[Key]]="","",IFERROR(INDEX(ตารางรวม!$T:$T,MATCH(tblSales[[#This Row],[Key]],ตารางรวม!$Z:$Z,0))*tblSales[[#This Row],[จำนวนแก้ว]],0))</f>
        <v/>
      </c>
      <c r="AH86" s="10" t="str">
        <f>IF(tblSales[[#This Row],[Key]]="","",IF(tblSales[[#This Row],[ขนาด]]="16 oz",tblSales[[#This Row],[จำนวนแก้ว]],0))</f>
        <v/>
      </c>
      <c r="AI86" s="10" t="str">
        <f>IF(tblSales[[#This Row],[Key]]="","",IF(tblSales[[#This Row],[ขนาด]]="20 oz",tblSales[[#This Row],[จำนวนแก้ว]],0))</f>
        <v/>
      </c>
      <c r="AJ86" s="10" t="str">
        <f>IF(tblSales[[#This Row],[Key]]="","",IF(tblSales[[#This Row],[ขนาด]]="22 oz",tblSales[[#This Row],[จำนวนแก้ว]],0))</f>
        <v/>
      </c>
    </row>
    <row r="87" spans="1:36" x14ac:dyDescent="0.25">
      <c r="A87" s="4" t="str">
        <f>IF(tblSales[[#This Row],[วันที่]]="","","S"&amp;TEXT(tblSales[[#This Row],[วันที่]],"yymmdd")&amp;"-"&amp;TEXT(ROW()-5,"000"))</f>
        <v/>
      </c>
      <c r="B87" s="16"/>
      <c r="C87" s="6"/>
      <c r="D87" s="6"/>
      <c r="E87" s="20"/>
      <c r="F87" s="6"/>
      <c r="G87" s="6"/>
      <c r="H87" s="6"/>
      <c r="I87" s="6"/>
      <c r="J8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7" s="8" t="str">
        <f>IF(tblSales[[#This Row],[Key]]="","",IFERROR(INDEX(ตารางรวม!$W:$W,MATCH(tblSales[[#This Row],[Key]],ตารางรวม!$Z:$Z,0)),"ไม่พบสูตร"))</f>
        <v/>
      </c>
      <c r="L87" s="8" t="str">
        <f>IF(tblSales[[#This Row],[Key]]="","",IFERROR(INDEX(ตารางรวม!$V:$V,MATCH(tblSales[[#This Row],[Key]],ตารางรวม!$Z:$Z,0)),"ไม่พบสูตร"))</f>
        <v/>
      </c>
      <c r="M87" s="8" t="str">
        <f>IF(tblSales[[#This Row],[Key]]="","",IFERROR(tblSales[[#This Row],[ราคาต่อแก้ว]]*tblSales[[#This Row],[จำนวนแก้ว]],""))</f>
        <v/>
      </c>
      <c r="N87" s="8" t="str">
        <f>IF(tblSales[[#This Row],[Key]]="","",IFERROR(tblSales[[#This Row],[ต้นทุนต่อแก้ว]]*tblSales[[#This Row],[จำนวนแก้ว]],""))</f>
        <v/>
      </c>
      <c r="O87" s="8" t="str">
        <f>IF(tblSales[[#This Row],[Key]]="","",IFERROR(tblSales[[#This Row],[ยอดขาย (บาท)]]-tblSales[[#This Row],[ต้นทุนรวม (บาท)]],""))</f>
        <v/>
      </c>
      <c r="P87" s="21" t="str">
        <f>IF(tblSales[[#This Row],[Key]]="","",IFERROR(tblSales[[#This Row],[กำไร (บาท)]]/tblSales[[#This Row],[ยอดขาย (บาท)]],""))</f>
        <v/>
      </c>
      <c r="Q87" s="10" t="str">
        <f>IF(tblSales[[#This Row],[Key]]="","",IFERROR(INDEX(ตารางรวม!$D:$D,MATCH(tblSales[[#This Row],[Key]],ตารางรวม!$Z:$Z,0))*tblSales[[#This Row],[จำนวนแก้ว]],0))</f>
        <v/>
      </c>
      <c r="R87" s="10" t="str">
        <f>IF(tblSales[[#This Row],[Key]]="","",IFERROR(INDEX(ตารางรวม!$E:$E,MATCH(tblSales[[#This Row],[Key]],ตารางรวม!$Z:$Z,0))*tblSales[[#This Row],[จำนวนแก้ว]],0))</f>
        <v/>
      </c>
      <c r="S87" s="10" t="str">
        <f>IF(tblSales[[#This Row],[Key]]="","",IFERROR(INDEX(ตารางรวม!$F:$F,MATCH(tblSales[[#This Row],[Key]],ตารางรวม!$Z:$Z,0))*tblSales[[#This Row],[จำนวนแก้ว]],0))</f>
        <v/>
      </c>
      <c r="T87" s="10" t="str">
        <f>IF(tblSales[[#This Row],[Key]]="","",IFERROR(INDEX(ตารางรวม!$G:$G,MATCH(tblSales[[#This Row],[Key]],ตารางรวม!$Z:$Z,0))*tblSales[[#This Row],[จำนวนแก้ว]],0))</f>
        <v/>
      </c>
      <c r="U87" s="10" t="str">
        <f>IF(tblSales[[#This Row],[Key]]="","",IFERROR(INDEX(ตารางรวม!$H:$H,MATCH(tblSales[[#This Row],[Key]],ตารางรวม!$Z:$Z,0))*tblSales[[#This Row],[จำนวนแก้ว]],0))</f>
        <v/>
      </c>
      <c r="V87" s="10" t="str">
        <f>IF(tblSales[[#This Row],[Key]]="","",IFERROR(INDEX(ตารางรวม!$I:$I,MATCH(tblSales[[#This Row],[Key]],ตารางรวม!$Z:$Z,0))*tblSales[[#This Row],[จำนวนแก้ว]],0))</f>
        <v/>
      </c>
      <c r="W87" s="10" t="str">
        <f>IF(tblSales[[#This Row],[Key]]="","",IFERROR(INDEX(ตารางรวม!$J:$J,MATCH(tblSales[[#This Row],[Key]],ตารางรวม!$Z:$Z,0))*tblSales[[#This Row],[จำนวนแก้ว]],0))</f>
        <v/>
      </c>
      <c r="X87" s="10" t="str">
        <f>IF(tblSales[[#This Row],[Key]]="","",IFERROR(INDEX(ตารางรวม!$K:$K,MATCH(tblSales[[#This Row],[Key]],ตารางรวม!$Z:$Z,0))*tblSales[[#This Row],[จำนวนแก้ว]],0))</f>
        <v/>
      </c>
      <c r="Y87" s="10" t="str">
        <f>IF(tblSales[[#This Row],[Key]]="","",IFERROR(INDEX(ตารางรวม!$L:$L,MATCH(tblSales[[#This Row],[Key]],ตารางรวม!$Z:$Z,0))*tblSales[[#This Row],[จำนวนแก้ว]],0))</f>
        <v/>
      </c>
      <c r="Z87" s="10" t="str">
        <f>IF(tblSales[[#This Row],[Key]]="","",IFERROR(INDEX(ตารางรวม!$M:$M,MATCH(tblSales[[#This Row],[Key]],ตารางรวม!$Z:$Z,0))*tblSales[[#This Row],[จำนวนแก้ว]],0))</f>
        <v/>
      </c>
      <c r="AA87" s="10" t="str">
        <f>IF(tblSales[[#This Row],[Key]]="","",IFERROR(INDEX(ตารางรวม!$N:$N,MATCH(tblSales[[#This Row],[Key]],ตารางรวม!$Z:$Z,0))*tblSales[[#This Row],[จำนวนแก้ว]],0))</f>
        <v/>
      </c>
      <c r="AB87" s="10" t="str">
        <f>IF(tblSales[[#This Row],[Key]]="","",IFERROR(INDEX(ตารางรวม!$O:$O,MATCH(tblSales[[#This Row],[Key]],ตารางรวม!$Z:$Z,0))*tblSales[[#This Row],[จำนวนแก้ว]],0))</f>
        <v/>
      </c>
      <c r="AC87" s="10" t="str">
        <f>IF(tblSales[[#This Row],[Key]]="","",IFERROR(INDEX(ตารางรวม!$P:$P,MATCH(tblSales[[#This Row],[Key]],ตารางรวม!$Z:$Z,0))*tblSales[[#This Row],[จำนวนแก้ว]],0))</f>
        <v/>
      </c>
      <c r="AD87" s="10" t="str">
        <f>IF(tblSales[[#This Row],[Key]]="","",IFERROR(INDEX(ตารางรวม!$Q:$Q,MATCH(tblSales[[#This Row],[Key]],ตารางรวม!$Z:$Z,0))*tblSales[[#This Row],[จำนวนแก้ว]],0))</f>
        <v/>
      </c>
      <c r="AE87" s="10" t="str">
        <f>IF(tblSales[[#This Row],[Key]]="","",IFERROR(INDEX(ตารางรวม!$R:$R,MATCH(tblSales[[#This Row],[Key]],ตารางรวม!$Z:$Z,0))*tblSales[[#This Row],[จำนวนแก้ว]],0))</f>
        <v/>
      </c>
      <c r="AF87" s="10" t="str">
        <f>IF(tblSales[[#This Row],[Key]]="","",IFERROR(INDEX(ตารางรวม!$S:$S,MATCH(tblSales[[#This Row],[Key]],ตารางรวม!$Z:$Z,0))*tblSales[[#This Row],[จำนวนแก้ว]],0))</f>
        <v/>
      </c>
      <c r="AG87" s="10" t="str">
        <f>IF(tblSales[[#This Row],[Key]]="","",IFERROR(INDEX(ตารางรวม!$T:$T,MATCH(tblSales[[#This Row],[Key]],ตารางรวม!$Z:$Z,0))*tblSales[[#This Row],[จำนวนแก้ว]],0))</f>
        <v/>
      </c>
      <c r="AH87" s="10" t="str">
        <f>IF(tblSales[[#This Row],[Key]]="","",IF(tblSales[[#This Row],[ขนาด]]="16 oz",tblSales[[#This Row],[จำนวนแก้ว]],0))</f>
        <v/>
      </c>
      <c r="AI87" s="10" t="str">
        <f>IF(tblSales[[#This Row],[Key]]="","",IF(tblSales[[#This Row],[ขนาด]]="20 oz",tblSales[[#This Row],[จำนวนแก้ว]],0))</f>
        <v/>
      </c>
      <c r="AJ87" s="10" t="str">
        <f>IF(tblSales[[#This Row],[Key]]="","",IF(tblSales[[#This Row],[ขนาด]]="22 oz",tblSales[[#This Row],[จำนวนแก้ว]],0))</f>
        <v/>
      </c>
    </row>
    <row r="88" spans="1:36" x14ac:dyDescent="0.25">
      <c r="A88" s="4" t="str">
        <f>IF(tblSales[[#This Row],[วันที่]]="","","S"&amp;TEXT(tblSales[[#This Row],[วันที่]],"yymmdd")&amp;"-"&amp;TEXT(ROW()-5,"000"))</f>
        <v/>
      </c>
      <c r="B88" s="16"/>
      <c r="C88" s="6"/>
      <c r="D88" s="6"/>
      <c r="E88" s="20"/>
      <c r="F88" s="6"/>
      <c r="G88" s="6"/>
      <c r="H88" s="6"/>
      <c r="I88" s="6"/>
      <c r="J8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8" s="8" t="str">
        <f>IF(tblSales[[#This Row],[Key]]="","",IFERROR(INDEX(ตารางรวม!$W:$W,MATCH(tblSales[[#This Row],[Key]],ตารางรวม!$Z:$Z,0)),"ไม่พบสูตร"))</f>
        <v/>
      </c>
      <c r="L88" s="8" t="str">
        <f>IF(tblSales[[#This Row],[Key]]="","",IFERROR(INDEX(ตารางรวม!$V:$V,MATCH(tblSales[[#This Row],[Key]],ตารางรวม!$Z:$Z,0)),"ไม่พบสูตร"))</f>
        <v/>
      </c>
      <c r="M88" s="8" t="str">
        <f>IF(tblSales[[#This Row],[Key]]="","",IFERROR(tblSales[[#This Row],[ราคาต่อแก้ว]]*tblSales[[#This Row],[จำนวนแก้ว]],""))</f>
        <v/>
      </c>
      <c r="N88" s="8" t="str">
        <f>IF(tblSales[[#This Row],[Key]]="","",IFERROR(tblSales[[#This Row],[ต้นทุนต่อแก้ว]]*tblSales[[#This Row],[จำนวนแก้ว]],""))</f>
        <v/>
      </c>
      <c r="O88" s="8" t="str">
        <f>IF(tblSales[[#This Row],[Key]]="","",IFERROR(tblSales[[#This Row],[ยอดขาย (บาท)]]-tblSales[[#This Row],[ต้นทุนรวม (บาท)]],""))</f>
        <v/>
      </c>
      <c r="P88" s="21" t="str">
        <f>IF(tblSales[[#This Row],[Key]]="","",IFERROR(tblSales[[#This Row],[กำไร (บาท)]]/tblSales[[#This Row],[ยอดขาย (บาท)]],""))</f>
        <v/>
      </c>
      <c r="Q88" s="10" t="str">
        <f>IF(tblSales[[#This Row],[Key]]="","",IFERROR(INDEX(ตารางรวม!$D:$D,MATCH(tblSales[[#This Row],[Key]],ตารางรวม!$Z:$Z,0))*tblSales[[#This Row],[จำนวนแก้ว]],0))</f>
        <v/>
      </c>
      <c r="R88" s="10" t="str">
        <f>IF(tblSales[[#This Row],[Key]]="","",IFERROR(INDEX(ตารางรวม!$E:$E,MATCH(tblSales[[#This Row],[Key]],ตารางรวม!$Z:$Z,0))*tblSales[[#This Row],[จำนวนแก้ว]],0))</f>
        <v/>
      </c>
      <c r="S88" s="10" t="str">
        <f>IF(tblSales[[#This Row],[Key]]="","",IFERROR(INDEX(ตารางรวม!$F:$F,MATCH(tblSales[[#This Row],[Key]],ตารางรวม!$Z:$Z,0))*tblSales[[#This Row],[จำนวนแก้ว]],0))</f>
        <v/>
      </c>
      <c r="T88" s="10" t="str">
        <f>IF(tblSales[[#This Row],[Key]]="","",IFERROR(INDEX(ตารางรวม!$G:$G,MATCH(tblSales[[#This Row],[Key]],ตารางรวม!$Z:$Z,0))*tblSales[[#This Row],[จำนวนแก้ว]],0))</f>
        <v/>
      </c>
      <c r="U88" s="10" t="str">
        <f>IF(tblSales[[#This Row],[Key]]="","",IFERROR(INDEX(ตารางรวม!$H:$H,MATCH(tblSales[[#This Row],[Key]],ตารางรวม!$Z:$Z,0))*tblSales[[#This Row],[จำนวนแก้ว]],0))</f>
        <v/>
      </c>
      <c r="V88" s="10" t="str">
        <f>IF(tblSales[[#This Row],[Key]]="","",IFERROR(INDEX(ตารางรวม!$I:$I,MATCH(tblSales[[#This Row],[Key]],ตารางรวม!$Z:$Z,0))*tblSales[[#This Row],[จำนวนแก้ว]],0))</f>
        <v/>
      </c>
      <c r="W88" s="10" t="str">
        <f>IF(tblSales[[#This Row],[Key]]="","",IFERROR(INDEX(ตารางรวม!$J:$J,MATCH(tblSales[[#This Row],[Key]],ตารางรวม!$Z:$Z,0))*tblSales[[#This Row],[จำนวนแก้ว]],0))</f>
        <v/>
      </c>
      <c r="X88" s="10" t="str">
        <f>IF(tblSales[[#This Row],[Key]]="","",IFERROR(INDEX(ตารางรวม!$K:$K,MATCH(tblSales[[#This Row],[Key]],ตารางรวม!$Z:$Z,0))*tblSales[[#This Row],[จำนวนแก้ว]],0))</f>
        <v/>
      </c>
      <c r="Y88" s="10" t="str">
        <f>IF(tblSales[[#This Row],[Key]]="","",IFERROR(INDEX(ตารางรวม!$L:$L,MATCH(tblSales[[#This Row],[Key]],ตารางรวม!$Z:$Z,0))*tblSales[[#This Row],[จำนวนแก้ว]],0))</f>
        <v/>
      </c>
      <c r="Z88" s="10" t="str">
        <f>IF(tblSales[[#This Row],[Key]]="","",IFERROR(INDEX(ตารางรวม!$M:$M,MATCH(tblSales[[#This Row],[Key]],ตารางรวม!$Z:$Z,0))*tblSales[[#This Row],[จำนวนแก้ว]],0))</f>
        <v/>
      </c>
      <c r="AA88" s="10" t="str">
        <f>IF(tblSales[[#This Row],[Key]]="","",IFERROR(INDEX(ตารางรวม!$N:$N,MATCH(tblSales[[#This Row],[Key]],ตารางรวม!$Z:$Z,0))*tblSales[[#This Row],[จำนวนแก้ว]],0))</f>
        <v/>
      </c>
      <c r="AB88" s="10" t="str">
        <f>IF(tblSales[[#This Row],[Key]]="","",IFERROR(INDEX(ตารางรวม!$O:$O,MATCH(tblSales[[#This Row],[Key]],ตารางรวม!$Z:$Z,0))*tblSales[[#This Row],[จำนวนแก้ว]],0))</f>
        <v/>
      </c>
      <c r="AC88" s="10" t="str">
        <f>IF(tblSales[[#This Row],[Key]]="","",IFERROR(INDEX(ตารางรวม!$P:$P,MATCH(tblSales[[#This Row],[Key]],ตารางรวม!$Z:$Z,0))*tblSales[[#This Row],[จำนวนแก้ว]],0))</f>
        <v/>
      </c>
      <c r="AD88" s="10" t="str">
        <f>IF(tblSales[[#This Row],[Key]]="","",IFERROR(INDEX(ตารางรวม!$Q:$Q,MATCH(tblSales[[#This Row],[Key]],ตารางรวม!$Z:$Z,0))*tblSales[[#This Row],[จำนวนแก้ว]],0))</f>
        <v/>
      </c>
      <c r="AE88" s="10" t="str">
        <f>IF(tblSales[[#This Row],[Key]]="","",IFERROR(INDEX(ตารางรวม!$R:$R,MATCH(tblSales[[#This Row],[Key]],ตารางรวม!$Z:$Z,0))*tblSales[[#This Row],[จำนวนแก้ว]],0))</f>
        <v/>
      </c>
      <c r="AF88" s="10" t="str">
        <f>IF(tblSales[[#This Row],[Key]]="","",IFERROR(INDEX(ตารางรวม!$S:$S,MATCH(tblSales[[#This Row],[Key]],ตารางรวม!$Z:$Z,0))*tblSales[[#This Row],[จำนวนแก้ว]],0))</f>
        <v/>
      </c>
      <c r="AG88" s="10" t="str">
        <f>IF(tblSales[[#This Row],[Key]]="","",IFERROR(INDEX(ตารางรวม!$T:$T,MATCH(tblSales[[#This Row],[Key]],ตารางรวม!$Z:$Z,0))*tblSales[[#This Row],[จำนวนแก้ว]],0))</f>
        <v/>
      </c>
      <c r="AH88" s="10" t="str">
        <f>IF(tblSales[[#This Row],[Key]]="","",IF(tblSales[[#This Row],[ขนาด]]="16 oz",tblSales[[#This Row],[จำนวนแก้ว]],0))</f>
        <v/>
      </c>
      <c r="AI88" s="10" t="str">
        <f>IF(tblSales[[#This Row],[Key]]="","",IF(tblSales[[#This Row],[ขนาด]]="20 oz",tblSales[[#This Row],[จำนวนแก้ว]],0))</f>
        <v/>
      </c>
      <c r="AJ88" s="10" t="str">
        <f>IF(tblSales[[#This Row],[Key]]="","",IF(tblSales[[#This Row],[ขนาด]]="22 oz",tblSales[[#This Row],[จำนวนแก้ว]],0))</f>
        <v/>
      </c>
    </row>
    <row r="89" spans="1:36" x14ac:dyDescent="0.25">
      <c r="A89" s="4" t="str">
        <f>IF(tblSales[[#This Row],[วันที่]]="","","S"&amp;TEXT(tblSales[[#This Row],[วันที่]],"yymmdd")&amp;"-"&amp;TEXT(ROW()-5,"000"))</f>
        <v/>
      </c>
      <c r="B89" s="16"/>
      <c r="C89" s="6"/>
      <c r="D89" s="6"/>
      <c r="E89" s="20"/>
      <c r="F89" s="6"/>
      <c r="G89" s="6"/>
      <c r="H89" s="6"/>
      <c r="I89" s="6"/>
      <c r="J8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89" s="8" t="str">
        <f>IF(tblSales[[#This Row],[Key]]="","",IFERROR(INDEX(ตารางรวม!$W:$W,MATCH(tblSales[[#This Row],[Key]],ตารางรวม!$Z:$Z,0)),"ไม่พบสูตร"))</f>
        <v/>
      </c>
      <c r="L89" s="8" t="str">
        <f>IF(tblSales[[#This Row],[Key]]="","",IFERROR(INDEX(ตารางรวม!$V:$V,MATCH(tblSales[[#This Row],[Key]],ตารางรวม!$Z:$Z,0)),"ไม่พบสูตร"))</f>
        <v/>
      </c>
      <c r="M89" s="8" t="str">
        <f>IF(tblSales[[#This Row],[Key]]="","",IFERROR(tblSales[[#This Row],[ราคาต่อแก้ว]]*tblSales[[#This Row],[จำนวนแก้ว]],""))</f>
        <v/>
      </c>
      <c r="N89" s="8" t="str">
        <f>IF(tblSales[[#This Row],[Key]]="","",IFERROR(tblSales[[#This Row],[ต้นทุนต่อแก้ว]]*tblSales[[#This Row],[จำนวนแก้ว]],""))</f>
        <v/>
      </c>
      <c r="O89" s="8" t="str">
        <f>IF(tblSales[[#This Row],[Key]]="","",IFERROR(tblSales[[#This Row],[ยอดขาย (บาท)]]-tblSales[[#This Row],[ต้นทุนรวม (บาท)]],""))</f>
        <v/>
      </c>
      <c r="P89" s="21" t="str">
        <f>IF(tblSales[[#This Row],[Key]]="","",IFERROR(tblSales[[#This Row],[กำไร (บาท)]]/tblSales[[#This Row],[ยอดขาย (บาท)]],""))</f>
        <v/>
      </c>
      <c r="Q89" s="10" t="str">
        <f>IF(tblSales[[#This Row],[Key]]="","",IFERROR(INDEX(ตารางรวม!$D:$D,MATCH(tblSales[[#This Row],[Key]],ตารางรวม!$Z:$Z,0))*tblSales[[#This Row],[จำนวนแก้ว]],0))</f>
        <v/>
      </c>
      <c r="R89" s="10" t="str">
        <f>IF(tblSales[[#This Row],[Key]]="","",IFERROR(INDEX(ตารางรวม!$E:$E,MATCH(tblSales[[#This Row],[Key]],ตารางรวม!$Z:$Z,0))*tblSales[[#This Row],[จำนวนแก้ว]],0))</f>
        <v/>
      </c>
      <c r="S89" s="10" t="str">
        <f>IF(tblSales[[#This Row],[Key]]="","",IFERROR(INDEX(ตารางรวม!$F:$F,MATCH(tblSales[[#This Row],[Key]],ตารางรวม!$Z:$Z,0))*tblSales[[#This Row],[จำนวนแก้ว]],0))</f>
        <v/>
      </c>
      <c r="T89" s="10" t="str">
        <f>IF(tblSales[[#This Row],[Key]]="","",IFERROR(INDEX(ตารางรวม!$G:$G,MATCH(tblSales[[#This Row],[Key]],ตารางรวม!$Z:$Z,0))*tblSales[[#This Row],[จำนวนแก้ว]],0))</f>
        <v/>
      </c>
      <c r="U89" s="10" t="str">
        <f>IF(tblSales[[#This Row],[Key]]="","",IFERROR(INDEX(ตารางรวม!$H:$H,MATCH(tblSales[[#This Row],[Key]],ตารางรวม!$Z:$Z,0))*tblSales[[#This Row],[จำนวนแก้ว]],0))</f>
        <v/>
      </c>
      <c r="V89" s="10" t="str">
        <f>IF(tblSales[[#This Row],[Key]]="","",IFERROR(INDEX(ตารางรวม!$I:$I,MATCH(tblSales[[#This Row],[Key]],ตารางรวม!$Z:$Z,0))*tblSales[[#This Row],[จำนวนแก้ว]],0))</f>
        <v/>
      </c>
      <c r="W89" s="10" t="str">
        <f>IF(tblSales[[#This Row],[Key]]="","",IFERROR(INDEX(ตารางรวม!$J:$J,MATCH(tblSales[[#This Row],[Key]],ตารางรวม!$Z:$Z,0))*tblSales[[#This Row],[จำนวนแก้ว]],0))</f>
        <v/>
      </c>
      <c r="X89" s="10" t="str">
        <f>IF(tblSales[[#This Row],[Key]]="","",IFERROR(INDEX(ตารางรวม!$K:$K,MATCH(tblSales[[#This Row],[Key]],ตารางรวม!$Z:$Z,0))*tblSales[[#This Row],[จำนวนแก้ว]],0))</f>
        <v/>
      </c>
      <c r="Y89" s="10" t="str">
        <f>IF(tblSales[[#This Row],[Key]]="","",IFERROR(INDEX(ตารางรวม!$L:$L,MATCH(tblSales[[#This Row],[Key]],ตารางรวม!$Z:$Z,0))*tblSales[[#This Row],[จำนวนแก้ว]],0))</f>
        <v/>
      </c>
      <c r="Z89" s="10" t="str">
        <f>IF(tblSales[[#This Row],[Key]]="","",IFERROR(INDEX(ตารางรวม!$M:$M,MATCH(tblSales[[#This Row],[Key]],ตารางรวม!$Z:$Z,0))*tblSales[[#This Row],[จำนวนแก้ว]],0))</f>
        <v/>
      </c>
      <c r="AA89" s="10" t="str">
        <f>IF(tblSales[[#This Row],[Key]]="","",IFERROR(INDEX(ตารางรวม!$N:$N,MATCH(tblSales[[#This Row],[Key]],ตารางรวม!$Z:$Z,0))*tblSales[[#This Row],[จำนวนแก้ว]],0))</f>
        <v/>
      </c>
      <c r="AB89" s="10" t="str">
        <f>IF(tblSales[[#This Row],[Key]]="","",IFERROR(INDEX(ตารางรวม!$O:$O,MATCH(tblSales[[#This Row],[Key]],ตารางรวม!$Z:$Z,0))*tblSales[[#This Row],[จำนวนแก้ว]],0))</f>
        <v/>
      </c>
      <c r="AC89" s="10" t="str">
        <f>IF(tblSales[[#This Row],[Key]]="","",IFERROR(INDEX(ตารางรวม!$P:$P,MATCH(tblSales[[#This Row],[Key]],ตารางรวม!$Z:$Z,0))*tblSales[[#This Row],[จำนวนแก้ว]],0))</f>
        <v/>
      </c>
      <c r="AD89" s="10" t="str">
        <f>IF(tblSales[[#This Row],[Key]]="","",IFERROR(INDEX(ตารางรวม!$Q:$Q,MATCH(tblSales[[#This Row],[Key]],ตารางรวม!$Z:$Z,0))*tblSales[[#This Row],[จำนวนแก้ว]],0))</f>
        <v/>
      </c>
      <c r="AE89" s="10" t="str">
        <f>IF(tblSales[[#This Row],[Key]]="","",IFERROR(INDEX(ตารางรวม!$R:$R,MATCH(tblSales[[#This Row],[Key]],ตารางรวม!$Z:$Z,0))*tblSales[[#This Row],[จำนวนแก้ว]],0))</f>
        <v/>
      </c>
      <c r="AF89" s="10" t="str">
        <f>IF(tblSales[[#This Row],[Key]]="","",IFERROR(INDEX(ตารางรวม!$S:$S,MATCH(tblSales[[#This Row],[Key]],ตารางรวม!$Z:$Z,0))*tblSales[[#This Row],[จำนวนแก้ว]],0))</f>
        <v/>
      </c>
      <c r="AG89" s="10" t="str">
        <f>IF(tblSales[[#This Row],[Key]]="","",IFERROR(INDEX(ตารางรวม!$T:$T,MATCH(tblSales[[#This Row],[Key]],ตารางรวม!$Z:$Z,0))*tblSales[[#This Row],[จำนวนแก้ว]],0))</f>
        <v/>
      </c>
      <c r="AH89" s="10" t="str">
        <f>IF(tblSales[[#This Row],[Key]]="","",IF(tblSales[[#This Row],[ขนาด]]="16 oz",tblSales[[#This Row],[จำนวนแก้ว]],0))</f>
        <v/>
      </c>
      <c r="AI89" s="10" t="str">
        <f>IF(tblSales[[#This Row],[Key]]="","",IF(tblSales[[#This Row],[ขนาด]]="20 oz",tblSales[[#This Row],[จำนวนแก้ว]],0))</f>
        <v/>
      </c>
      <c r="AJ89" s="10" t="str">
        <f>IF(tblSales[[#This Row],[Key]]="","",IF(tblSales[[#This Row],[ขนาด]]="22 oz",tblSales[[#This Row],[จำนวนแก้ว]],0))</f>
        <v/>
      </c>
    </row>
    <row r="90" spans="1:36" x14ac:dyDescent="0.25">
      <c r="A90" s="4" t="str">
        <f>IF(tblSales[[#This Row],[วันที่]]="","","S"&amp;TEXT(tblSales[[#This Row],[วันที่]],"yymmdd")&amp;"-"&amp;TEXT(ROW()-5,"000"))</f>
        <v/>
      </c>
      <c r="B90" s="16"/>
      <c r="C90" s="6"/>
      <c r="D90" s="6"/>
      <c r="E90" s="20"/>
      <c r="F90" s="6"/>
      <c r="G90" s="6"/>
      <c r="H90" s="6"/>
      <c r="I90" s="6"/>
      <c r="J9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0" s="8" t="str">
        <f>IF(tblSales[[#This Row],[Key]]="","",IFERROR(INDEX(ตารางรวม!$W:$W,MATCH(tblSales[[#This Row],[Key]],ตารางรวม!$Z:$Z,0)),"ไม่พบสูตร"))</f>
        <v/>
      </c>
      <c r="L90" s="8" t="str">
        <f>IF(tblSales[[#This Row],[Key]]="","",IFERROR(INDEX(ตารางรวม!$V:$V,MATCH(tblSales[[#This Row],[Key]],ตารางรวม!$Z:$Z,0)),"ไม่พบสูตร"))</f>
        <v/>
      </c>
      <c r="M90" s="8" t="str">
        <f>IF(tblSales[[#This Row],[Key]]="","",IFERROR(tblSales[[#This Row],[ราคาต่อแก้ว]]*tblSales[[#This Row],[จำนวนแก้ว]],""))</f>
        <v/>
      </c>
      <c r="N90" s="8" t="str">
        <f>IF(tblSales[[#This Row],[Key]]="","",IFERROR(tblSales[[#This Row],[ต้นทุนต่อแก้ว]]*tblSales[[#This Row],[จำนวนแก้ว]],""))</f>
        <v/>
      </c>
      <c r="O90" s="8" t="str">
        <f>IF(tblSales[[#This Row],[Key]]="","",IFERROR(tblSales[[#This Row],[ยอดขาย (บาท)]]-tblSales[[#This Row],[ต้นทุนรวม (บาท)]],""))</f>
        <v/>
      </c>
      <c r="P90" s="21" t="str">
        <f>IF(tblSales[[#This Row],[Key]]="","",IFERROR(tblSales[[#This Row],[กำไร (บาท)]]/tblSales[[#This Row],[ยอดขาย (บาท)]],""))</f>
        <v/>
      </c>
      <c r="Q90" s="10" t="str">
        <f>IF(tblSales[[#This Row],[Key]]="","",IFERROR(INDEX(ตารางรวม!$D:$D,MATCH(tblSales[[#This Row],[Key]],ตารางรวม!$Z:$Z,0))*tblSales[[#This Row],[จำนวนแก้ว]],0))</f>
        <v/>
      </c>
      <c r="R90" s="10" t="str">
        <f>IF(tblSales[[#This Row],[Key]]="","",IFERROR(INDEX(ตารางรวม!$E:$E,MATCH(tblSales[[#This Row],[Key]],ตารางรวม!$Z:$Z,0))*tblSales[[#This Row],[จำนวนแก้ว]],0))</f>
        <v/>
      </c>
      <c r="S90" s="10" t="str">
        <f>IF(tblSales[[#This Row],[Key]]="","",IFERROR(INDEX(ตารางรวม!$F:$F,MATCH(tblSales[[#This Row],[Key]],ตารางรวม!$Z:$Z,0))*tblSales[[#This Row],[จำนวนแก้ว]],0))</f>
        <v/>
      </c>
      <c r="T90" s="10" t="str">
        <f>IF(tblSales[[#This Row],[Key]]="","",IFERROR(INDEX(ตารางรวม!$G:$G,MATCH(tblSales[[#This Row],[Key]],ตารางรวม!$Z:$Z,0))*tblSales[[#This Row],[จำนวนแก้ว]],0))</f>
        <v/>
      </c>
      <c r="U90" s="10" t="str">
        <f>IF(tblSales[[#This Row],[Key]]="","",IFERROR(INDEX(ตารางรวม!$H:$H,MATCH(tblSales[[#This Row],[Key]],ตารางรวม!$Z:$Z,0))*tblSales[[#This Row],[จำนวนแก้ว]],0))</f>
        <v/>
      </c>
      <c r="V90" s="10" t="str">
        <f>IF(tblSales[[#This Row],[Key]]="","",IFERROR(INDEX(ตารางรวม!$I:$I,MATCH(tblSales[[#This Row],[Key]],ตารางรวม!$Z:$Z,0))*tblSales[[#This Row],[จำนวนแก้ว]],0))</f>
        <v/>
      </c>
      <c r="W90" s="10" t="str">
        <f>IF(tblSales[[#This Row],[Key]]="","",IFERROR(INDEX(ตารางรวม!$J:$J,MATCH(tblSales[[#This Row],[Key]],ตารางรวม!$Z:$Z,0))*tblSales[[#This Row],[จำนวนแก้ว]],0))</f>
        <v/>
      </c>
      <c r="X90" s="10" t="str">
        <f>IF(tblSales[[#This Row],[Key]]="","",IFERROR(INDEX(ตารางรวม!$K:$K,MATCH(tblSales[[#This Row],[Key]],ตารางรวม!$Z:$Z,0))*tblSales[[#This Row],[จำนวนแก้ว]],0))</f>
        <v/>
      </c>
      <c r="Y90" s="10" t="str">
        <f>IF(tblSales[[#This Row],[Key]]="","",IFERROR(INDEX(ตารางรวม!$L:$L,MATCH(tblSales[[#This Row],[Key]],ตารางรวม!$Z:$Z,0))*tblSales[[#This Row],[จำนวนแก้ว]],0))</f>
        <v/>
      </c>
      <c r="Z90" s="10" t="str">
        <f>IF(tblSales[[#This Row],[Key]]="","",IFERROR(INDEX(ตารางรวม!$M:$M,MATCH(tblSales[[#This Row],[Key]],ตารางรวม!$Z:$Z,0))*tblSales[[#This Row],[จำนวนแก้ว]],0))</f>
        <v/>
      </c>
      <c r="AA90" s="10" t="str">
        <f>IF(tblSales[[#This Row],[Key]]="","",IFERROR(INDEX(ตารางรวม!$N:$N,MATCH(tblSales[[#This Row],[Key]],ตารางรวม!$Z:$Z,0))*tblSales[[#This Row],[จำนวนแก้ว]],0))</f>
        <v/>
      </c>
      <c r="AB90" s="10" t="str">
        <f>IF(tblSales[[#This Row],[Key]]="","",IFERROR(INDEX(ตารางรวม!$O:$O,MATCH(tblSales[[#This Row],[Key]],ตารางรวม!$Z:$Z,0))*tblSales[[#This Row],[จำนวนแก้ว]],0))</f>
        <v/>
      </c>
      <c r="AC90" s="10" t="str">
        <f>IF(tblSales[[#This Row],[Key]]="","",IFERROR(INDEX(ตารางรวม!$P:$P,MATCH(tblSales[[#This Row],[Key]],ตารางรวม!$Z:$Z,0))*tblSales[[#This Row],[จำนวนแก้ว]],0))</f>
        <v/>
      </c>
      <c r="AD90" s="10" t="str">
        <f>IF(tblSales[[#This Row],[Key]]="","",IFERROR(INDEX(ตารางรวม!$Q:$Q,MATCH(tblSales[[#This Row],[Key]],ตารางรวม!$Z:$Z,0))*tblSales[[#This Row],[จำนวนแก้ว]],0))</f>
        <v/>
      </c>
      <c r="AE90" s="10" t="str">
        <f>IF(tblSales[[#This Row],[Key]]="","",IFERROR(INDEX(ตารางรวม!$R:$R,MATCH(tblSales[[#This Row],[Key]],ตารางรวม!$Z:$Z,0))*tblSales[[#This Row],[จำนวนแก้ว]],0))</f>
        <v/>
      </c>
      <c r="AF90" s="10" t="str">
        <f>IF(tblSales[[#This Row],[Key]]="","",IFERROR(INDEX(ตารางรวม!$S:$S,MATCH(tblSales[[#This Row],[Key]],ตารางรวม!$Z:$Z,0))*tblSales[[#This Row],[จำนวนแก้ว]],0))</f>
        <v/>
      </c>
      <c r="AG90" s="10" t="str">
        <f>IF(tblSales[[#This Row],[Key]]="","",IFERROR(INDEX(ตารางรวม!$T:$T,MATCH(tblSales[[#This Row],[Key]],ตารางรวม!$Z:$Z,0))*tblSales[[#This Row],[จำนวนแก้ว]],0))</f>
        <v/>
      </c>
      <c r="AH90" s="10" t="str">
        <f>IF(tblSales[[#This Row],[Key]]="","",IF(tblSales[[#This Row],[ขนาด]]="16 oz",tblSales[[#This Row],[จำนวนแก้ว]],0))</f>
        <v/>
      </c>
      <c r="AI90" s="10" t="str">
        <f>IF(tblSales[[#This Row],[Key]]="","",IF(tblSales[[#This Row],[ขนาด]]="20 oz",tblSales[[#This Row],[จำนวนแก้ว]],0))</f>
        <v/>
      </c>
      <c r="AJ90" s="10" t="str">
        <f>IF(tblSales[[#This Row],[Key]]="","",IF(tblSales[[#This Row],[ขนาด]]="22 oz",tblSales[[#This Row],[จำนวนแก้ว]],0))</f>
        <v/>
      </c>
    </row>
    <row r="91" spans="1:36" x14ac:dyDescent="0.25">
      <c r="A91" s="4" t="str">
        <f>IF(tblSales[[#This Row],[วันที่]]="","","S"&amp;TEXT(tblSales[[#This Row],[วันที่]],"yymmdd")&amp;"-"&amp;TEXT(ROW()-5,"000"))</f>
        <v/>
      </c>
      <c r="B91" s="16"/>
      <c r="C91" s="6"/>
      <c r="D91" s="6"/>
      <c r="E91" s="20"/>
      <c r="F91" s="6"/>
      <c r="G91" s="6"/>
      <c r="H91" s="6"/>
      <c r="I91" s="6"/>
      <c r="J9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1" s="8" t="str">
        <f>IF(tblSales[[#This Row],[Key]]="","",IFERROR(INDEX(ตารางรวม!$W:$W,MATCH(tblSales[[#This Row],[Key]],ตารางรวม!$Z:$Z,0)),"ไม่พบสูตร"))</f>
        <v/>
      </c>
      <c r="L91" s="8" t="str">
        <f>IF(tblSales[[#This Row],[Key]]="","",IFERROR(INDEX(ตารางรวม!$V:$V,MATCH(tblSales[[#This Row],[Key]],ตารางรวม!$Z:$Z,0)),"ไม่พบสูตร"))</f>
        <v/>
      </c>
      <c r="M91" s="8" t="str">
        <f>IF(tblSales[[#This Row],[Key]]="","",IFERROR(tblSales[[#This Row],[ราคาต่อแก้ว]]*tblSales[[#This Row],[จำนวนแก้ว]],""))</f>
        <v/>
      </c>
      <c r="N91" s="8" t="str">
        <f>IF(tblSales[[#This Row],[Key]]="","",IFERROR(tblSales[[#This Row],[ต้นทุนต่อแก้ว]]*tblSales[[#This Row],[จำนวนแก้ว]],""))</f>
        <v/>
      </c>
      <c r="O91" s="8" t="str">
        <f>IF(tblSales[[#This Row],[Key]]="","",IFERROR(tblSales[[#This Row],[ยอดขาย (บาท)]]-tblSales[[#This Row],[ต้นทุนรวม (บาท)]],""))</f>
        <v/>
      </c>
      <c r="P91" s="21" t="str">
        <f>IF(tblSales[[#This Row],[Key]]="","",IFERROR(tblSales[[#This Row],[กำไร (บาท)]]/tblSales[[#This Row],[ยอดขาย (บาท)]],""))</f>
        <v/>
      </c>
      <c r="Q91" s="10" t="str">
        <f>IF(tblSales[[#This Row],[Key]]="","",IFERROR(INDEX(ตารางรวม!$D:$D,MATCH(tblSales[[#This Row],[Key]],ตารางรวม!$Z:$Z,0))*tblSales[[#This Row],[จำนวนแก้ว]],0))</f>
        <v/>
      </c>
      <c r="R91" s="10" t="str">
        <f>IF(tblSales[[#This Row],[Key]]="","",IFERROR(INDEX(ตารางรวม!$E:$E,MATCH(tblSales[[#This Row],[Key]],ตารางรวม!$Z:$Z,0))*tblSales[[#This Row],[จำนวนแก้ว]],0))</f>
        <v/>
      </c>
      <c r="S91" s="10" t="str">
        <f>IF(tblSales[[#This Row],[Key]]="","",IFERROR(INDEX(ตารางรวม!$F:$F,MATCH(tblSales[[#This Row],[Key]],ตารางรวม!$Z:$Z,0))*tblSales[[#This Row],[จำนวนแก้ว]],0))</f>
        <v/>
      </c>
      <c r="T91" s="10" t="str">
        <f>IF(tblSales[[#This Row],[Key]]="","",IFERROR(INDEX(ตารางรวม!$G:$G,MATCH(tblSales[[#This Row],[Key]],ตารางรวม!$Z:$Z,0))*tblSales[[#This Row],[จำนวนแก้ว]],0))</f>
        <v/>
      </c>
      <c r="U91" s="10" t="str">
        <f>IF(tblSales[[#This Row],[Key]]="","",IFERROR(INDEX(ตารางรวม!$H:$H,MATCH(tblSales[[#This Row],[Key]],ตารางรวม!$Z:$Z,0))*tblSales[[#This Row],[จำนวนแก้ว]],0))</f>
        <v/>
      </c>
      <c r="V91" s="10" t="str">
        <f>IF(tblSales[[#This Row],[Key]]="","",IFERROR(INDEX(ตารางรวม!$I:$I,MATCH(tblSales[[#This Row],[Key]],ตารางรวม!$Z:$Z,0))*tblSales[[#This Row],[จำนวนแก้ว]],0))</f>
        <v/>
      </c>
      <c r="W91" s="10" t="str">
        <f>IF(tblSales[[#This Row],[Key]]="","",IFERROR(INDEX(ตารางรวม!$J:$J,MATCH(tblSales[[#This Row],[Key]],ตารางรวม!$Z:$Z,0))*tblSales[[#This Row],[จำนวนแก้ว]],0))</f>
        <v/>
      </c>
      <c r="X91" s="10" t="str">
        <f>IF(tblSales[[#This Row],[Key]]="","",IFERROR(INDEX(ตารางรวม!$K:$K,MATCH(tblSales[[#This Row],[Key]],ตารางรวม!$Z:$Z,0))*tblSales[[#This Row],[จำนวนแก้ว]],0))</f>
        <v/>
      </c>
      <c r="Y91" s="10" t="str">
        <f>IF(tblSales[[#This Row],[Key]]="","",IFERROR(INDEX(ตารางรวม!$L:$L,MATCH(tblSales[[#This Row],[Key]],ตารางรวม!$Z:$Z,0))*tblSales[[#This Row],[จำนวนแก้ว]],0))</f>
        <v/>
      </c>
      <c r="Z91" s="10" t="str">
        <f>IF(tblSales[[#This Row],[Key]]="","",IFERROR(INDEX(ตารางรวม!$M:$M,MATCH(tblSales[[#This Row],[Key]],ตารางรวม!$Z:$Z,0))*tblSales[[#This Row],[จำนวนแก้ว]],0))</f>
        <v/>
      </c>
      <c r="AA91" s="10" t="str">
        <f>IF(tblSales[[#This Row],[Key]]="","",IFERROR(INDEX(ตารางรวม!$N:$N,MATCH(tblSales[[#This Row],[Key]],ตารางรวม!$Z:$Z,0))*tblSales[[#This Row],[จำนวนแก้ว]],0))</f>
        <v/>
      </c>
      <c r="AB91" s="10" t="str">
        <f>IF(tblSales[[#This Row],[Key]]="","",IFERROR(INDEX(ตารางรวม!$O:$O,MATCH(tblSales[[#This Row],[Key]],ตารางรวม!$Z:$Z,0))*tblSales[[#This Row],[จำนวนแก้ว]],0))</f>
        <v/>
      </c>
      <c r="AC91" s="10" t="str">
        <f>IF(tblSales[[#This Row],[Key]]="","",IFERROR(INDEX(ตารางรวม!$P:$P,MATCH(tblSales[[#This Row],[Key]],ตารางรวม!$Z:$Z,0))*tblSales[[#This Row],[จำนวนแก้ว]],0))</f>
        <v/>
      </c>
      <c r="AD91" s="10" t="str">
        <f>IF(tblSales[[#This Row],[Key]]="","",IFERROR(INDEX(ตารางรวม!$Q:$Q,MATCH(tblSales[[#This Row],[Key]],ตารางรวม!$Z:$Z,0))*tblSales[[#This Row],[จำนวนแก้ว]],0))</f>
        <v/>
      </c>
      <c r="AE91" s="10" t="str">
        <f>IF(tblSales[[#This Row],[Key]]="","",IFERROR(INDEX(ตารางรวม!$R:$R,MATCH(tblSales[[#This Row],[Key]],ตารางรวม!$Z:$Z,0))*tblSales[[#This Row],[จำนวนแก้ว]],0))</f>
        <v/>
      </c>
      <c r="AF91" s="10" t="str">
        <f>IF(tblSales[[#This Row],[Key]]="","",IFERROR(INDEX(ตารางรวม!$S:$S,MATCH(tblSales[[#This Row],[Key]],ตารางรวม!$Z:$Z,0))*tblSales[[#This Row],[จำนวนแก้ว]],0))</f>
        <v/>
      </c>
      <c r="AG91" s="10" t="str">
        <f>IF(tblSales[[#This Row],[Key]]="","",IFERROR(INDEX(ตารางรวม!$T:$T,MATCH(tblSales[[#This Row],[Key]],ตารางรวม!$Z:$Z,0))*tblSales[[#This Row],[จำนวนแก้ว]],0))</f>
        <v/>
      </c>
      <c r="AH91" s="10" t="str">
        <f>IF(tblSales[[#This Row],[Key]]="","",IF(tblSales[[#This Row],[ขนาด]]="16 oz",tblSales[[#This Row],[จำนวนแก้ว]],0))</f>
        <v/>
      </c>
      <c r="AI91" s="10" t="str">
        <f>IF(tblSales[[#This Row],[Key]]="","",IF(tblSales[[#This Row],[ขนาด]]="20 oz",tblSales[[#This Row],[จำนวนแก้ว]],0))</f>
        <v/>
      </c>
      <c r="AJ91" s="10" t="str">
        <f>IF(tblSales[[#This Row],[Key]]="","",IF(tblSales[[#This Row],[ขนาด]]="22 oz",tblSales[[#This Row],[จำนวนแก้ว]],0))</f>
        <v/>
      </c>
    </row>
    <row r="92" spans="1:36" x14ac:dyDescent="0.25">
      <c r="A92" s="4" t="str">
        <f>IF(tblSales[[#This Row],[วันที่]]="","","S"&amp;TEXT(tblSales[[#This Row],[วันที่]],"yymmdd")&amp;"-"&amp;TEXT(ROW()-5,"000"))</f>
        <v/>
      </c>
      <c r="B92" s="16"/>
      <c r="C92" s="6"/>
      <c r="D92" s="6"/>
      <c r="E92" s="20"/>
      <c r="F92" s="6"/>
      <c r="G92" s="6"/>
      <c r="H92" s="6"/>
      <c r="I92" s="6"/>
      <c r="J9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2" s="8" t="str">
        <f>IF(tblSales[[#This Row],[Key]]="","",IFERROR(INDEX(ตารางรวม!$W:$W,MATCH(tblSales[[#This Row],[Key]],ตารางรวม!$Z:$Z,0)),"ไม่พบสูตร"))</f>
        <v/>
      </c>
      <c r="L92" s="8" t="str">
        <f>IF(tblSales[[#This Row],[Key]]="","",IFERROR(INDEX(ตารางรวม!$V:$V,MATCH(tblSales[[#This Row],[Key]],ตารางรวม!$Z:$Z,0)),"ไม่พบสูตร"))</f>
        <v/>
      </c>
      <c r="M92" s="8" t="str">
        <f>IF(tblSales[[#This Row],[Key]]="","",IFERROR(tblSales[[#This Row],[ราคาต่อแก้ว]]*tblSales[[#This Row],[จำนวนแก้ว]],""))</f>
        <v/>
      </c>
      <c r="N92" s="8" t="str">
        <f>IF(tblSales[[#This Row],[Key]]="","",IFERROR(tblSales[[#This Row],[ต้นทุนต่อแก้ว]]*tblSales[[#This Row],[จำนวนแก้ว]],""))</f>
        <v/>
      </c>
      <c r="O92" s="8" t="str">
        <f>IF(tblSales[[#This Row],[Key]]="","",IFERROR(tblSales[[#This Row],[ยอดขาย (บาท)]]-tblSales[[#This Row],[ต้นทุนรวม (บาท)]],""))</f>
        <v/>
      </c>
      <c r="P92" s="21" t="str">
        <f>IF(tblSales[[#This Row],[Key]]="","",IFERROR(tblSales[[#This Row],[กำไร (บาท)]]/tblSales[[#This Row],[ยอดขาย (บาท)]],""))</f>
        <v/>
      </c>
      <c r="Q92" s="10" t="str">
        <f>IF(tblSales[[#This Row],[Key]]="","",IFERROR(INDEX(ตารางรวม!$D:$D,MATCH(tblSales[[#This Row],[Key]],ตารางรวม!$Z:$Z,0))*tblSales[[#This Row],[จำนวนแก้ว]],0))</f>
        <v/>
      </c>
      <c r="R92" s="10" t="str">
        <f>IF(tblSales[[#This Row],[Key]]="","",IFERROR(INDEX(ตารางรวม!$E:$E,MATCH(tblSales[[#This Row],[Key]],ตารางรวม!$Z:$Z,0))*tblSales[[#This Row],[จำนวนแก้ว]],0))</f>
        <v/>
      </c>
      <c r="S92" s="10" t="str">
        <f>IF(tblSales[[#This Row],[Key]]="","",IFERROR(INDEX(ตารางรวม!$F:$F,MATCH(tblSales[[#This Row],[Key]],ตารางรวม!$Z:$Z,0))*tblSales[[#This Row],[จำนวนแก้ว]],0))</f>
        <v/>
      </c>
      <c r="T92" s="10" t="str">
        <f>IF(tblSales[[#This Row],[Key]]="","",IFERROR(INDEX(ตารางรวม!$G:$G,MATCH(tblSales[[#This Row],[Key]],ตารางรวม!$Z:$Z,0))*tblSales[[#This Row],[จำนวนแก้ว]],0))</f>
        <v/>
      </c>
      <c r="U92" s="10" t="str">
        <f>IF(tblSales[[#This Row],[Key]]="","",IFERROR(INDEX(ตารางรวม!$H:$H,MATCH(tblSales[[#This Row],[Key]],ตารางรวม!$Z:$Z,0))*tblSales[[#This Row],[จำนวนแก้ว]],0))</f>
        <v/>
      </c>
      <c r="V92" s="10" t="str">
        <f>IF(tblSales[[#This Row],[Key]]="","",IFERROR(INDEX(ตารางรวม!$I:$I,MATCH(tblSales[[#This Row],[Key]],ตารางรวม!$Z:$Z,0))*tblSales[[#This Row],[จำนวนแก้ว]],0))</f>
        <v/>
      </c>
      <c r="W92" s="10" t="str">
        <f>IF(tblSales[[#This Row],[Key]]="","",IFERROR(INDEX(ตารางรวม!$J:$J,MATCH(tblSales[[#This Row],[Key]],ตารางรวม!$Z:$Z,0))*tblSales[[#This Row],[จำนวนแก้ว]],0))</f>
        <v/>
      </c>
      <c r="X92" s="10" t="str">
        <f>IF(tblSales[[#This Row],[Key]]="","",IFERROR(INDEX(ตารางรวม!$K:$K,MATCH(tblSales[[#This Row],[Key]],ตารางรวม!$Z:$Z,0))*tblSales[[#This Row],[จำนวนแก้ว]],0))</f>
        <v/>
      </c>
      <c r="Y92" s="10" t="str">
        <f>IF(tblSales[[#This Row],[Key]]="","",IFERROR(INDEX(ตารางรวม!$L:$L,MATCH(tblSales[[#This Row],[Key]],ตารางรวม!$Z:$Z,0))*tblSales[[#This Row],[จำนวนแก้ว]],0))</f>
        <v/>
      </c>
      <c r="Z92" s="10" t="str">
        <f>IF(tblSales[[#This Row],[Key]]="","",IFERROR(INDEX(ตารางรวม!$M:$M,MATCH(tblSales[[#This Row],[Key]],ตารางรวม!$Z:$Z,0))*tblSales[[#This Row],[จำนวนแก้ว]],0))</f>
        <v/>
      </c>
      <c r="AA92" s="10" t="str">
        <f>IF(tblSales[[#This Row],[Key]]="","",IFERROR(INDEX(ตารางรวม!$N:$N,MATCH(tblSales[[#This Row],[Key]],ตารางรวม!$Z:$Z,0))*tblSales[[#This Row],[จำนวนแก้ว]],0))</f>
        <v/>
      </c>
      <c r="AB92" s="10" t="str">
        <f>IF(tblSales[[#This Row],[Key]]="","",IFERROR(INDEX(ตารางรวม!$O:$O,MATCH(tblSales[[#This Row],[Key]],ตารางรวม!$Z:$Z,0))*tblSales[[#This Row],[จำนวนแก้ว]],0))</f>
        <v/>
      </c>
      <c r="AC92" s="10" t="str">
        <f>IF(tblSales[[#This Row],[Key]]="","",IFERROR(INDEX(ตารางรวม!$P:$P,MATCH(tblSales[[#This Row],[Key]],ตารางรวม!$Z:$Z,0))*tblSales[[#This Row],[จำนวนแก้ว]],0))</f>
        <v/>
      </c>
      <c r="AD92" s="10" t="str">
        <f>IF(tblSales[[#This Row],[Key]]="","",IFERROR(INDEX(ตารางรวม!$Q:$Q,MATCH(tblSales[[#This Row],[Key]],ตารางรวม!$Z:$Z,0))*tblSales[[#This Row],[จำนวนแก้ว]],0))</f>
        <v/>
      </c>
      <c r="AE92" s="10" t="str">
        <f>IF(tblSales[[#This Row],[Key]]="","",IFERROR(INDEX(ตารางรวม!$R:$R,MATCH(tblSales[[#This Row],[Key]],ตารางรวม!$Z:$Z,0))*tblSales[[#This Row],[จำนวนแก้ว]],0))</f>
        <v/>
      </c>
      <c r="AF92" s="10" t="str">
        <f>IF(tblSales[[#This Row],[Key]]="","",IFERROR(INDEX(ตารางรวม!$S:$S,MATCH(tblSales[[#This Row],[Key]],ตารางรวม!$Z:$Z,0))*tblSales[[#This Row],[จำนวนแก้ว]],0))</f>
        <v/>
      </c>
      <c r="AG92" s="10" t="str">
        <f>IF(tblSales[[#This Row],[Key]]="","",IFERROR(INDEX(ตารางรวม!$T:$T,MATCH(tblSales[[#This Row],[Key]],ตารางรวม!$Z:$Z,0))*tblSales[[#This Row],[จำนวนแก้ว]],0))</f>
        <v/>
      </c>
      <c r="AH92" s="10" t="str">
        <f>IF(tblSales[[#This Row],[Key]]="","",IF(tblSales[[#This Row],[ขนาด]]="16 oz",tblSales[[#This Row],[จำนวนแก้ว]],0))</f>
        <v/>
      </c>
      <c r="AI92" s="10" t="str">
        <f>IF(tblSales[[#This Row],[Key]]="","",IF(tblSales[[#This Row],[ขนาด]]="20 oz",tblSales[[#This Row],[จำนวนแก้ว]],0))</f>
        <v/>
      </c>
      <c r="AJ92" s="10" t="str">
        <f>IF(tblSales[[#This Row],[Key]]="","",IF(tblSales[[#This Row],[ขนาด]]="22 oz",tblSales[[#This Row],[จำนวนแก้ว]],0))</f>
        <v/>
      </c>
    </row>
    <row r="93" spans="1:36" x14ac:dyDescent="0.25">
      <c r="A93" s="4" t="str">
        <f>IF(tblSales[[#This Row],[วันที่]]="","","S"&amp;TEXT(tblSales[[#This Row],[วันที่]],"yymmdd")&amp;"-"&amp;TEXT(ROW()-5,"000"))</f>
        <v/>
      </c>
      <c r="B93" s="16"/>
      <c r="C93" s="6"/>
      <c r="D93" s="6"/>
      <c r="E93" s="20"/>
      <c r="F93" s="6"/>
      <c r="G93" s="6"/>
      <c r="H93" s="6"/>
      <c r="I93" s="6"/>
      <c r="J9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3" s="8" t="str">
        <f>IF(tblSales[[#This Row],[Key]]="","",IFERROR(INDEX(ตารางรวม!$W:$W,MATCH(tblSales[[#This Row],[Key]],ตารางรวม!$Z:$Z,0)),"ไม่พบสูตร"))</f>
        <v/>
      </c>
      <c r="L93" s="8" t="str">
        <f>IF(tblSales[[#This Row],[Key]]="","",IFERROR(INDEX(ตารางรวม!$V:$V,MATCH(tblSales[[#This Row],[Key]],ตารางรวม!$Z:$Z,0)),"ไม่พบสูตร"))</f>
        <v/>
      </c>
      <c r="M93" s="8" t="str">
        <f>IF(tblSales[[#This Row],[Key]]="","",IFERROR(tblSales[[#This Row],[ราคาต่อแก้ว]]*tblSales[[#This Row],[จำนวนแก้ว]],""))</f>
        <v/>
      </c>
      <c r="N93" s="8" t="str">
        <f>IF(tblSales[[#This Row],[Key]]="","",IFERROR(tblSales[[#This Row],[ต้นทุนต่อแก้ว]]*tblSales[[#This Row],[จำนวนแก้ว]],""))</f>
        <v/>
      </c>
      <c r="O93" s="8" t="str">
        <f>IF(tblSales[[#This Row],[Key]]="","",IFERROR(tblSales[[#This Row],[ยอดขาย (บาท)]]-tblSales[[#This Row],[ต้นทุนรวม (บาท)]],""))</f>
        <v/>
      </c>
      <c r="P93" s="21" t="str">
        <f>IF(tblSales[[#This Row],[Key]]="","",IFERROR(tblSales[[#This Row],[กำไร (บาท)]]/tblSales[[#This Row],[ยอดขาย (บาท)]],""))</f>
        <v/>
      </c>
      <c r="Q93" s="10" t="str">
        <f>IF(tblSales[[#This Row],[Key]]="","",IFERROR(INDEX(ตารางรวม!$D:$D,MATCH(tblSales[[#This Row],[Key]],ตารางรวม!$Z:$Z,0))*tblSales[[#This Row],[จำนวนแก้ว]],0))</f>
        <v/>
      </c>
      <c r="R93" s="10" t="str">
        <f>IF(tblSales[[#This Row],[Key]]="","",IFERROR(INDEX(ตารางรวม!$E:$E,MATCH(tblSales[[#This Row],[Key]],ตารางรวม!$Z:$Z,0))*tblSales[[#This Row],[จำนวนแก้ว]],0))</f>
        <v/>
      </c>
      <c r="S93" s="10" t="str">
        <f>IF(tblSales[[#This Row],[Key]]="","",IFERROR(INDEX(ตารางรวม!$F:$F,MATCH(tblSales[[#This Row],[Key]],ตารางรวม!$Z:$Z,0))*tblSales[[#This Row],[จำนวนแก้ว]],0))</f>
        <v/>
      </c>
      <c r="T93" s="10" t="str">
        <f>IF(tblSales[[#This Row],[Key]]="","",IFERROR(INDEX(ตารางรวม!$G:$G,MATCH(tblSales[[#This Row],[Key]],ตารางรวม!$Z:$Z,0))*tblSales[[#This Row],[จำนวนแก้ว]],0))</f>
        <v/>
      </c>
      <c r="U93" s="10" t="str">
        <f>IF(tblSales[[#This Row],[Key]]="","",IFERROR(INDEX(ตารางรวม!$H:$H,MATCH(tblSales[[#This Row],[Key]],ตารางรวม!$Z:$Z,0))*tblSales[[#This Row],[จำนวนแก้ว]],0))</f>
        <v/>
      </c>
      <c r="V93" s="10" t="str">
        <f>IF(tblSales[[#This Row],[Key]]="","",IFERROR(INDEX(ตารางรวม!$I:$I,MATCH(tblSales[[#This Row],[Key]],ตารางรวม!$Z:$Z,0))*tblSales[[#This Row],[จำนวนแก้ว]],0))</f>
        <v/>
      </c>
      <c r="W93" s="10" t="str">
        <f>IF(tblSales[[#This Row],[Key]]="","",IFERROR(INDEX(ตารางรวม!$J:$J,MATCH(tblSales[[#This Row],[Key]],ตารางรวม!$Z:$Z,0))*tblSales[[#This Row],[จำนวนแก้ว]],0))</f>
        <v/>
      </c>
      <c r="X93" s="10" t="str">
        <f>IF(tblSales[[#This Row],[Key]]="","",IFERROR(INDEX(ตารางรวม!$K:$K,MATCH(tblSales[[#This Row],[Key]],ตารางรวม!$Z:$Z,0))*tblSales[[#This Row],[จำนวนแก้ว]],0))</f>
        <v/>
      </c>
      <c r="Y93" s="10" t="str">
        <f>IF(tblSales[[#This Row],[Key]]="","",IFERROR(INDEX(ตารางรวม!$L:$L,MATCH(tblSales[[#This Row],[Key]],ตารางรวม!$Z:$Z,0))*tblSales[[#This Row],[จำนวนแก้ว]],0))</f>
        <v/>
      </c>
      <c r="Z93" s="10" t="str">
        <f>IF(tblSales[[#This Row],[Key]]="","",IFERROR(INDEX(ตารางรวม!$M:$M,MATCH(tblSales[[#This Row],[Key]],ตารางรวม!$Z:$Z,0))*tblSales[[#This Row],[จำนวนแก้ว]],0))</f>
        <v/>
      </c>
      <c r="AA93" s="10" t="str">
        <f>IF(tblSales[[#This Row],[Key]]="","",IFERROR(INDEX(ตารางรวม!$N:$N,MATCH(tblSales[[#This Row],[Key]],ตารางรวม!$Z:$Z,0))*tblSales[[#This Row],[จำนวนแก้ว]],0))</f>
        <v/>
      </c>
      <c r="AB93" s="10" t="str">
        <f>IF(tblSales[[#This Row],[Key]]="","",IFERROR(INDEX(ตารางรวม!$O:$O,MATCH(tblSales[[#This Row],[Key]],ตารางรวม!$Z:$Z,0))*tblSales[[#This Row],[จำนวนแก้ว]],0))</f>
        <v/>
      </c>
      <c r="AC93" s="10" t="str">
        <f>IF(tblSales[[#This Row],[Key]]="","",IFERROR(INDEX(ตารางรวม!$P:$P,MATCH(tblSales[[#This Row],[Key]],ตารางรวม!$Z:$Z,0))*tblSales[[#This Row],[จำนวนแก้ว]],0))</f>
        <v/>
      </c>
      <c r="AD93" s="10" t="str">
        <f>IF(tblSales[[#This Row],[Key]]="","",IFERROR(INDEX(ตารางรวม!$Q:$Q,MATCH(tblSales[[#This Row],[Key]],ตารางรวม!$Z:$Z,0))*tblSales[[#This Row],[จำนวนแก้ว]],0))</f>
        <v/>
      </c>
      <c r="AE93" s="10" t="str">
        <f>IF(tblSales[[#This Row],[Key]]="","",IFERROR(INDEX(ตารางรวม!$R:$R,MATCH(tblSales[[#This Row],[Key]],ตารางรวม!$Z:$Z,0))*tblSales[[#This Row],[จำนวนแก้ว]],0))</f>
        <v/>
      </c>
      <c r="AF93" s="10" t="str">
        <f>IF(tblSales[[#This Row],[Key]]="","",IFERROR(INDEX(ตารางรวม!$S:$S,MATCH(tblSales[[#This Row],[Key]],ตารางรวม!$Z:$Z,0))*tblSales[[#This Row],[จำนวนแก้ว]],0))</f>
        <v/>
      </c>
      <c r="AG93" s="10" t="str">
        <f>IF(tblSales[[#This Row],[Key]]="","",IFERROR(INDEX(ตารางรวม!$T:$T,MATCH(tblSales[[#This Row],[Key]],ตารางรวม!$Z:$Z,0))*tblSales[[#This Row],[จำนวนแก้ว]],0))</f>
        <v/>
      </c>
      <c r="AH93" s="10" t="str">
        <f>IF(tblSales[[#This Row],[Key]]="","",IF(tblSales[[#This Row],[ขนาด]]="16 oz",tblSales[[#This Row],[จำนวนแก้ว]],0))</f>
        <v/>
      </c>
      <c r="AI93" s="10" t="str">
        <f>IF(tblSales[[#This Row],[Key]]="","",IF(tblSales[[#This Row],[ขนาด]]="20 oz",tblSales[[#This Row],[จำนวนแก้ว]],0))</f>
        <v/>
      </c>
      <c r="AJ93" s="10" t="str">
        <f>IF(tblSales[[#This Row],[Key]]="","",IF(tblSales[[#This Row],[ขนาด]]="22 oz",tblSales[[#This Row],[จำนวนแก้ว]],0))</f>
        <v/>
      </c>
    </row>
    <row r="94" spans="1:36" x14ac:dyDescent="0.25">
      <c r="A94" s="4" t="str">
        <f>IF(tblSales[[#This Row],[วันที่]]="","","S"&amp;TEXT(tblSales[[#This Row],[วันที่]],"yymmdd")&amp;"-"&amp;TEXT(ROW()-5,"000"))</f>
        <v/>
      </c>
      <c r="B94" s="16"/>
      <c r="C94" s="6"/>
      <c r="D94" s="6"/>
      <c r="E94" s="20"/>
      <c r="F94" s="6"/>
      <c r="G94" s="6"/>
      <c r="H94" s="6"/>
      <c r="I94" s="6"/>
      <c r="J9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4" s="8" t="str">
        <f>IF(tblSales[[#This Row],[Key]]="","",IFERROR(INDEX(ตารางรวม!$W:$W,MATCH(tblSales[[#This Row],[Key]],ตารางรวม!$Z:$Z,0)),"ไม่พบสูตร"))</f>
        <v/>
      </c>
      <c r="L94" s="8" t="str">
        <f>IF(tblSales[[#This Row],[Key]]="","",IFERROR(INDEX(ตารางรวม!$V:$V,MATCH(tblSales[[#This Row],[Key]],ตารางรวม!$Z:$Z,0)),"ไม่พบสูตร"))</f>
        <v/>
      </c>
      <c r="M94" s="8" t="str">
        <f>IF(tblSales[[#This Row],[Key]]="","",IFERROR(tblSales[[#This Row],[ราคาต่อแก้ว]]*tblSales[[#This Row],[จำนวนแก้ว]],""))</f>
        <v/>
      </c>
      <c r="N94" s="8" t="str">
        <f>IF(tblSales[[#This Row],[Key]]="","",IFERROR(tblSales[[#This Row],[ต้นทุนต่อแก้ว]]*tblSales[[#This Row],[จำนวนแก้ว]],""))</f>
        <v/>
      </c>
      <c r="O94" s="8" t="str">
        <f>IF(tblSales[[#This Row],[Key]]="","",IFERROR(tblSales[[#This Row],[ยอดขาย (บาท)]]-tblSales[[#This Row],[ต้นทุนรวม (บาท)]],""))</f>
        <v/>
      </c>
      <c r="P94" s="21" t="str">
        <f>IF(tblSales[[#This Row],[Key]]="","",IFERROR(tblSales[[#This Row],[กำไร (บาท)]]/tblSales[[#This Row],[ยอดขาย (บาท)]],""))</f>
        <v/>
      </c>
      <c r="Q94" s="10" t="str">
        <f>IF(tblSales[[#This Row],[Key]]="","",IFERROR(INDEX(ตารางรวม!$D:$D,MATCH(tblSales[[#This Row],[Key]],ตารางรวม!$Z:$Z,0))*tblSales[[#This Row],[จำนวนแก้ว]],0))</f>
        <v/>
      </c>
      <c r="R94" s="10" t="str">
        <f>IF(tblSales[[#This Row],[Key]]="","",IFERROR(INDEX(ตารางรวม!$E:$E,MATCH(tblSales[[#This Row],[Key]],ตารางรวม!$Z:$Z,0))*tblSales[[#This Row],[จำนวนแก้ว]],0))</f>
        <v/>
      </c>
      <c r="S94" s="10" t="str">
        <f>IF(tblSales[[#This Row],[Key]]="","",IFERROR(INDEX(ตารางรวม!$F:$F,MATCH(tblSales[[#This Row],[Key]],ตารางรวม!$Z:$Z,0))*tblSales[[#This Row],[จำนวนแก้ว]],0))</f>
        <v/>
      </c>
      <c r="T94" s="10" t="str">
        <f>IF(tblSales[[#This Row],[Key]]="","",IFERROR(INDEX(ตารางรวม!$G:$G,MATCH(tblSales[[#This Row],[Key]],ตารางรวม!$Z:$Z,0))*tblSales[[#This Row],[จำนวนแก้ว]],0))</f>
        <v/>
      </c>
      <c r="U94" s="10" t="str">
        <f>IF(tblSales[[#This Row],[Key]]="","",IFERROR(INDEX(ตารางรวม!$H:$H,MATCH(tblSales[[#This Row],[Key]],ตารางรวม!$Z:$Z,0))*tblSales[[#This Row],[จำนวนแก้ว]],0))</f>
        <v/>
      </c>
      <c r="V94" s="10" t="str">
        <f>IF(tblSales[[#This Row],[Key]]="","",IFERROR(INDEX(ตารางรวม!$I:$I,MATCH(tblSales[[#This Row],[Key]],ตารางรวม!$Z:$Z,0))*tblSales[[#This Row],[จำนวนแก้ว]],0))</f>
        <v/>
      </c>
      <c r="W94" s="10" t="str">
        <f>IF(tblSales[[#This Row],[Key]]="","",IFERROR(INDEX(ตารางรวม!$J:$J,MATCH(tblSales[[#This Row],[Key]],ตารางรวม!$Z:$Z,0))*tblSales[[#This Row],[จำนวนแก้ว]],0))</f>
        <v/>
      </c>
      <c r="X94" s="10" t="str">
        <f>IF(tblSales[[#This Row],[Key]]="","",IFERROR(INDEX(ตารางรวม!$K:$K,MATCH(tblSales[[#This Row],[Key]],ตารางรวม!$Z:$Z,0))*tblSales[[#This Row],[จำนวนแก้ว]],0))</f>
        <v/>
      </c>
      <c r="Y94" s="10" t="str">
        <f>IF(tblSales[[#This Row],[Key]]="","",IFERROR(INDEX(ตารางรวม!$L:$L,MATCH(tblSales[[#This Row],[Key]],ตารางรวม!$Z:$Z,0))*tblSales[[#This Row],[จำนวนแก้ว]],0))</f>
        <v/>
      </c>
      <c r="Z94" s="10" t="str">
        <f>IF(tblSales[[#This Row],[Key]]="","",IFERROR(INDEX(ตารางรวม!$M:$M,MATCH(tblSales[[#This Row],[Key]],ตารางรวม!$Z:$Z,0))*tblSales[[#This Row],[จำนวนแก้ว]],0))</f>
        <v/>
      </c>
      <c r="AA94" s="10" t="str">
        <f>IF(tblSales[[#This Row],[Key]]="","",IFERROR(INDEX(ตารางรวม!$N:$N,MATCH(tblSales[[#This Row],[Key]],ตารางรวม!$Z:$Z,0))*tblSales[[#This Row],[จำนวนแก้ว]],0))</f>
        <v/>
      </c>
      <c r="AB94" s="10" t="str">
        <f>IF(tblSales[[#This Row],[Key]]="","",IFERROR(INDEX(ตารางรวม!$O:$O,MATCH(tblSales[[#This Row],[Key]],ตารางรวม!$Z:$Z,0))*tblSales[[#This Row],[จำนวนแก้ว]],0))</f>
        <v/>
      </c>
      <c r="AC94" s="10" t="str">
        <f>IF(tblSales[[#This Row],[Key]]="","",IFERROR(INDEX(ตารางรวม!$P:$P,MATCH(tblSales[[#This Row],[Key]],ตารางรวม!$Z:$Z,0))*tblSales[[#This Row],[จำนวนแก้ว]],0))</f>
        <v/>
      </c>
      <c r="AD94" s="10" t="str">
        <f>IF(tblSales[[#This Row],[Key]]="","",IFERROR(INDEX(ตารางรวม!$Q:$Q,MATCH(tblSales[[#This Row],[Key]],ตารางรวม!$Z:$Z,0))*tblSales[[#This Row],[จำนวนแก้ว]],0))</f>
        <v/>
      </c>
      <c r="AE94" s="10" t="str">
        <f>IF(tblSales[[#This Row],[Key]]="","",IFERROR(INDEX(ตารางรวม!$R:$R,MATCH(tblSales[[#This Row],[Key]],ตารางรวม!$Z:$Z,0))*tblSales[[#This Row],[จำนวนแก้ว]],0))</f>
        <v/>
      </c>
      <c r="AF94" s="10" t="str">
        <f>IF(tblSales[[#This Row],[Key]]="","",IFERROR(INDEX(ตารางรวม!$S:$S,MATCH(tblSales[[#This Row],[Key]],ตารางรวม!$Z:$Z,0))*tblSales[[#This Row],[จำนวนแก้ว]],0))</f>
        <v/>
      </c>
      <c r="AG94" s="10" t="str">
        <f>IF(tblSales[[#This Row],[Key]]="","",IFERROR(INDEX(ตารางรวม!$T:$T,MATCH(tblSales[[#This Row],[Key]],ตารางรวม!$Z:$Z,0))*tblSales[[#This Row],[จำนวนแก้ว]],0))</f>
        <v/>
      </c>
      <c r="AH94" s="10" t="str">
        <f>IF(tblSales[[#This Row],[Key]]="","",IF(tblSales[[#This Row],[ขนาด]]="16 oz",tblSales[[#This Row],[จำนวนแก้ว]],0))</f>
        <v/>
      </c>
      <c r="AI94" s="10" t="str">
        <f>IF(tblSales[[#This Row],[Key]]="","",IF(tblSales[[#This Row],[ขนาด]]="20 oz",tblSales[[#This Row],[จำนวนแก้ว]],0))</f>
        <v/>
      </c>
      <c r="AJ94" s="10" t="str">
        <f>IF(tblSales[[#This Row],[Key]]="","",IF(tblSales[[#This Row],[ขนาด]]="22 oz",tblSales[[#This Row],[จำนวนแก้ว]],0))</f>
        <v/>
      </c>
    </row>
    <row r="95" spans="1:36" x14ac:dyDescent="0.25">
      <c r="A95" s="4" t="str">
        <f>IF(tblSales[[#This Row],[วันที่]]="","","S"&amp;TEXT(tblSales[[#This Row],[วันที่]],"yymmdd")&amp;"-"&amp;TEXT(ROW()-5,"000"))</f>
        <v/>
      </c>
      <c r="B95" s="16"/>
      <c r="C95" s="6"/>
      <c r="D95" s="6"/>
      <c r="E95" s="20"/>
      <c r="F95" s="6"/>
      <c r="G95" s="6"/>
      <c r="H95" s="6"/>
      <c r="I95" s="6"/>
      <c r="J9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5" s="8" t="str">
        <f>IF(tblSales[[#This Row],[Key]]="","",IFERROR(INDEX(ตารางรวม!$W:$W,MATCH(tblSales[[#This Row],[Key]],ตารางรวม!$Z:$Z,0)),"ไม่พบสูตร"))</f>
        <v/>
      </c>
      <c r="L95" s="8" t="str">
        <f>IF(tblSales[[#This Row],[Key]]="","",IFERROR(INDEX(ตารางรวม!$V:$V,MATCH(tblSales[[#This Row],[Key]],ตารางรวม!$Z:$Z,0)),"ไม่พบสูตร"))</f>
        <v/>
      </c>
      <c r="M95" s="8" t="str">
        <f>IF(tblSales[[#This Row],[Key]]="","",IFERROR(tblSales[[#This Row],[ราคาต่อแก้ว]]*tblSales[[#This Row],[จำนวนแก้ว]],""))</f>
        <v/>
      </c>
      <c r="N95" s="8" t="str">
        <f>IF(tblSales[[#This Row],[Key]]="","",IFERROR(tblSales[[#This Row],[ต้นทุนต่อแก้ว]]*tblSales[[#This Row],[จำนวนแก้ว]],""))</f>
        <v/>
      </c>
      <c r="O95" s="8" t="str">
        <f>IF(tblSales[[#This Row],[Key]]="","",IFERROR(tblSales[[#This Row],[ยอดขาย (บาท)]]-tblSales[[#This Row],[ต้นทุนรวม (บาท)]],""))</f>
        <v/>
      </c>
      <c r="P95" s="21" t="str">
        <f>IF(tblSales[[#This Row],[Key]]="","",IFERROR(tblSales[[#This Row],[กำไร (บาท)]]/tblSales[[#This Row],[ยอดขาย (บาท)]],""))</f>
        <v/>
      </c>
      <c r="Q95" s="10" t="str">
        <f>IF(tblSales[[#This Row],[Key]]="","",IFERROR(INDEX(ตารางรวม!$D:$D,MATCH(tblSales[[#This Row],[Key]],ตารางรวม!$Z:$Z,0))*tblSales[[#This Row],[จำนวนแก้ว]],0))</f>
        <v/>
      </c>
      <c r="R95" s="10" t="str">
        <f>IF(tblSales[[#This Row],[Key]]="","",IFERROR(INDEX(ตารางรวม!$E:$E,MATCH(tblSales[[#This Row],[Key]],ตารางรวม!$Z:$Z,0))*tblSales[[#This Row],[จำนวนแก้ว]],0))</f>
        <v/>
      </c>
      <c r="S95" s="10" t="str">
        <f>IF(tblSales[[#This Row],[Key]]="","",IFERROR(INDEX(ตารางรวม!$F:$F,MATCH(tblSales[[#This Row],[Key]],ตารางรวม!$Z:$Z,0))*tblSales[[#This Row],[จำนวนแก้ว]],0))</f>
        <v/>
      </c>
      <c r="T95" s="10" t="str">
        <f>IF(tblSales[[#This Row],[Key]]="","",IFERROR(INDEX(ตารางรวม!$G:$G,MATCH(tblSales[[#This Row],[Key]],ตารางรวม!$Z:$Z,0))*tblSales[[#This Row],[จำนวนแก้ว]],0))</f>
        <v/>
      </c>
      <c r="U95" s="10" t="str">
        <f>IF(tblSales[[#This Row],[Key]]="","",IFERROR(INDEX(ตารางรวม!$H:$H,MATCH(tblSales[[#This Row],[Key]],ตารางรวม!$Z:$Z,0))*tblSales[[#This Row],[จำนวนแก้ว]],0))</f>
        <v/>
      </c>
      <c r="V95" s="10" t="str">
        <f>IF(tblSales[[#This Row],[Key]]="","",IFERROR(INDEX(ตารางรวม!$I:$I,MATCH(tblSales[[#This Row],[Key]],ตารางรวม!$Z:$Z,0))*tblSales[[#This Row],[จำนวนแก้ว]],0))</f>
        <v/>
      </c>
      <c r="W95" s="10" t="str">
        <f>IF(tblSales[[#This Row],[Key]]="","",IFERROR(INDEX(ตารางรวม!$J:$J,MATCH(tblSales[[#This Row],[Key]],ตารางรวม!$Z:$Z,0))*tblSales[[#This Row],[จำนวนแก้ว]],0))</f>
        <v/>
      </c>
      <c r="X95" s="10" t="str">
        <f>IF(tblSales[[#This Row],[Key]]="","",IFERROR(INDEX(ตารางรวม!$K:$K,MATCH(tblSales[[#This Row],[Key]],ตารางรวม!$Z:$Z,0))*tblSales[[#This Row],[จำนวนแก้ว]],0))</f>
        <v/>
      </c>
      <c r="Y95" s="10" t="str">
        <f>IF(tblSales[[#This Row],[Key]]="","",IFERROR(INDEX(ตารางรวม!$L:$L,MATCH(tblSales[[#This Row],[Key]],ตารางรวม!$Z:$Z,0))*tblSales[[#This Row],[จำนวนแก้ว]],0))</f>
        <v/>
      </c>
      <c r="Z95" s="10" t="str">
        <f>IF(tblSales[[#This Row],[Key]]="","",IFERROR(INDEX(ตารางรวม!$M:$M,MATCH(tblSales[[#This Row],[Key]],ตารางรวม!$Z:$Z,0))*tblSales[[#This Row],[จำนวนแก้ว]],0))</f>
        <v/>
      </c>
      <c r="AA95" s="10" t="str">
        <f>IF(tblSales[[#This Row],[Key]]="","",IFERROR(INDEX(ตารางรวม!$N:$N,MATCH(tblSales[[#This Row],[Key]],ตารางรวม!$Z:$Z,0))*tblSales[[#This Row],[จำนวนแก้ว]],0))</f>
        <v/>
      </c>
      <c r="AB95" s="10" t="str">
        <f>IF(tblSales[[#This Row],[Key]]="","",IFERROR(INDEX(ตารางรวม!$O:$O,MATCH(tblSales[[#This Row],[Key]],ตารางรวม!$Z:$Z,0))*tblSales[[#This Row],[จำนวนแก้ว]],0))</f>
        <v/>
      </c>
      <c r="AC95" s="10" t="str">
        <f>IF(tblSales[[#This Row],[Key]]="","",IFERROR(INDEX(ตารางรวม!$P:$P,MATCH(tblSales[[#This Row],[Key]],ตารางรวม!$Z:$Z,0))*tblSales[[#This Row],[จำนวนแก้ว]],0))</f>
        <v/>
      </c>
      <c r="AD95" s="10" t="str">
        <f>IF(tblSales[[#This Row],[Key]]="","",IFERROR(INDEX(ตารางรวม!$Q:$Q,MATCH(tblSales[[#This Row],[Key]],ตารางรวม!$Z:$Z,0))*tblSales[[#This Row],[จำนวนแก้ว]],0))</f>
        <v/>
      </c>
      <c r="AE95" s="10" t="str">
        <f>IF(tblSales[[#This Row],[Key]]="","",IFERROR(INDEX(ตารางรวม!$R:$R,MATCH(tblSales[[#This Row],[Key]],ตารางรวม!$Z:$Z,0))*tblSales[[#This Row],[จำนวนแก้ว]],0))</f>
        <v/>
      </c>
      <c r="AF95" s="10" t="str">
        <f>IF(tblSales[[#This Row],[Key]]="","",IFERROR(INDEX(ตารางรวม!$S:$S,MATCH(tblSales[[#This Row],[Key]],ตารางรวม!$Z:$Z,0))*tblSales[[#This Row],[จำนวนแก้ว]],0))</f>
        <v/>
      </c>
      <c r="AG95" s="10" t="str">
        <f>IF(tblSales[[#This Row],[Key]]="","",IFERROR(INDEX(ตารางรวม!$T:$T,MATCH(tblSales[[#This Row],[Key]],ตารางรวม!$Z:$Z,0))*tblSales[[#This Row],[จำนวนแก้ว]],0))</f>
        <v/>
      </c>
      <c r="AH95" s="10" t="str">
        <f>IF(tblSales[[#This Row],[Key]]="","",IF(tblSales[[#This Row],[ขนาด]]="16 oz",tblSales[[#This Row],[จำนวนแก้ว]],0))</f>
        <v/>
      </c>
      <c r="AI95" s="10" t="str">
        <f>IF(tblSales[[#This Row],[Key]]="","",IF(tblSales[[#This Row],[ขนาด]]="20 oz",tblSales[[#This Row],[จำนวนแก้ว]],0))</f>
        <v/>
      </c>
      <c r="AJ95" s="10" t="str">
        <f>IF(tblSales[[#This Row],[Key]]="","",IF(tblSales[[#This Row],[ขนาด]]="22 oz",tblSales[[#This Row],[จำนวนแก้ว]],0))</f>
        <v/>
      </c>
    </row>
    <row r="96" spans="1:36" x14ac:dyDescent="0.25">
      <c r="A96" s="4" t="str">
        <f>IF(tblSales[[#This Row],[วันที่]]="","","S"&amp;TEXT(tblSales[[#This Row],[วันที่]],"yymmdd")&amp;"-"&amp;TEXT(ROW()-5,"000"))</f>
        <v/>
      </c>
      <c r="B96" s="16"/>
      <c r="C96" s="6"/>
      <c r="D96" s="6"/>
      <c r="E96" s="20"/>
      <c r="F96" s="6"/>
      <c r="G96" s="6"/>
      <c r="H96" s="6"/>
      <c r="I96" s="6"/>
      <c r="J9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6" s="8" t="str">
        <f>IF(tblSales[[#This Row],[Key]]="","",IFERROR(INDEX(ตารางรวม!$W:$W,MATCH(tblSales[[#This Row],[Key]],ตารางรวม!$Z:$Z,0)),"ไม่พบสูตร"))</f>
        <v/>
      </c>
      <c r="L96" s="8" t="str">
        <f>IF(tblSales[[#This Row],[Key]]="","",IFERROR(INDEX(ตารางรวม!$V:$V,MATCH(tblSales[[#This Row],[Key]],ตารางรวม!$Z:$Z,0)),"ไม่พบสูตร"))</f>
        <v/>
      </c>
      <c r="M96" s="8" t="str">
        <f>IF(tblSales[[#This Row],[Key]]="","",IFERROR(tblSales[[#This Row],[ราคาต่อแก้ว]]*tblSales[[#This Row],[จำนวนแก้ว]],""))</f>
        <v/>
      </c>
      <c r="N96" s="8" t="str">
        <f>IF(tblSales[[#This Row],[Key]]="","",IFERROR(tblSales[[#This Row],[ต้นทุนต่อแก้ว]]*tblSales[[#This Row],[จำนวนแก้ว]],""))</f>
        <v/>
      </c>
      <c r="O96" s="8" t="str">
        <f>IF(tblSales[[#This Row],[Key]]="","",IFERROR(tblSales[[#This Row],[ยอดขาย (บาท)]]-tblSales[[#This Row],[ต้นทุนรวม (บาท)]],""))</f>
        <v/>
      </c>
      <c r="P96" s="21" t="str">
        <f>IF(tblSales[[#This Row],[Key]]="","",IFERROR(tblSales[[#This Row],[กำไร (บาท)]]/tblSales[[#This Row],[ยอดขาย (บาท)]],""))</f>
        <v/>
      </c>
      <c r="Q96" s="10" t="str">
        <f>IF(tblSales[[#This Row],[Key]]="","",IFERROR(INDEX(ตารางรวม!$D:$D,MATCH(tblSales[[#This Row],[Key]],ตารางรวม!$Z:$Z,0))*tblSales[[#This Row],[จำนวนแก้ว]],0))</f>
        <v/>
      </c>
      <c r="R96" s="10" t="str">
        <f>IF(tblSales[[#This Row],[Key]]="","",IFERROR(INDEX(ตารางรวม!$E:$E,MATCH(tblSales[[#This Row],[Key]],ตารางรวม!$Z:$Z,0))*tblSales[[#This Row],[จำนวนแก้ว]],0))</f>
        <v/>
      </c>
      <c r="S96" s="10" t="str">
        <f>IF(tblSales[[#This Row],[Key]]="","",IFERROR(INDEX(ตารางรวม!$F:$F,MATCH(tblSales[[#This Row],[Key]],ตารางรวม!$Z:$Z,0))*tblSales[[#This Row],[จำนวนแก้ว]],0))</f>
        <v/>
      </c>
      <c r="T96" s="10" t="str">
        <f>IF(tblSales[[#This Row],[Key]]="","",IFERROR(INDEX(ตารางรวม!$G:$G,MATCH(tblSales[[#This Row],[Key]],ตารางรวม!$Z:$Z,0))*tblSales[[#This Row],[จำนวนแก้ว]],0))</f>
        <v/>
      </c>
      <c r="U96" s="10" t="str">
        <f>IF(tblSales[[#This Row],[Key]]="","",IFERROR(INDEX(ตารางรวม!$H:$H,MATCH(tblSales[[#This Row],[Key]],ตารางรวม!$Z:$Z,0))*tblSales[[#This Row],[จำนวนแก้ว]],0))</f>
        <v/>
      </c>
      <c r="V96" s="10" t="str">
        <f>IF(tblSales[[#This Row],[Key]]="","",IFERROR(INDEX(ตารางรวม!$I:$I,MATCH(tblSales[[#This Row],[Key]],ตารางรวม!$Z:$Z,0))*tblSales[[#This Row],[จำนวนแก้ว]],0))</f>
        <v/>
      </c>
      <c r="W96" s="10" t="str">
        <f>IF(tblSales[[#This Row],[Key]]="","",IFERROR(INDEX(ตารางรวม!$J:$J,MATCH(tblSales[[#This Row],[Key]],ตารางรวม!$Z:$Z,0))*tblSales[[#This Row],[จำนวนแก้ว]],0))</f>
        <v/>
      </c>
      <c r="X96" s="10" t="str">
        <f>IF(tblSales[[#This Row],[Key]]="","",IFERROR(INDEX(ตารางรวม!$K:$K,MATCH(tblSales[[#This Row],[Key]],ตารางรวม!$Z:$Z,0))*tblSales[[#This Row],[จำนวนแก้ว]],0))</f>
        <v/>
      </c>
      <c r="Y96" s="10" t="str">
        <f>IF(tblSales[[#This Row],[Key]]="","",IFERROR(INDEX(ตารางรวม!$L:$L,MATCH(tblSales[[#This Row],[Key]],ตารางรวม!$Z:$Z,0))*tblSales[[#This Row],[จำนวนแก้ว]],0))</f>
        <v/>
      </c>
      <c r="Z96" s="10" t="str">
        <f>IF(tblSales[[#This Row],[Key]]="","",IFERROR(INDEX(ตารางรวม!$M:$M,MATCH(tblSales[[#This Row],[Key]],ตารางรวม!$Z:$Z,0))*tblSales[[#This Row],[จำนวนแก้ว]],0))</f>
        <v/>
      </c>
      <c r="AA96" s="10" t="str">
        <f>IF(tblSales[[#This Row],[Key]]="","",IFERROR(INDEX(ตารางรวม!$N:$N,MATCH(tblSales[[#This Row],[Key]],ตารางรวม!$Z:$Z,0))*tblSales[[#This Row],[จำนวนแก้ว]],0))</f>
        <v/>
      </c>
      <c r="AB96" s="10" t="str">
        <f>IF(tblSales[[#This Row],[Key]]="","",IFERROR(INDEX(ตารางรวม!$O:$O,MATCH(tblSales[[#This Row],[Key]],ตารางรวม!$Z:$Z,0))*tblSales[[#This Row],[จำนวนแก้ว]],0))</f>
        <v/>
      </c>
      <c r="AC96" s="10" t="str">
        <f>IF(tblSales[[#This Row],[Key]]="","",IFERROR(INDEX(ตารางรวม!$P:$P,MATCH(tblSales[[#This Row],[Key]],ตารางรวม!$Z:$Z,0))*tblSales[[#This Row],[จำนวนแก้ว]],0))</f>
        <v/>
      </c>
      <c r="AD96" s="10" t="str">
        <f>IF(tblSales[[#This Row],[Key]]="","",IFERROR(INDEX(ตารางรวม!$Q:$Q,MATCH(tblSales[[#This Row],[Key]],ตารางรวม!$Z:$Z,0))*tblSales[[#This Row],[จำนวนแก้ว]],0))</f>
        <v/>
      </c>
      <c r="AE96" s="10" t="str">
        <f>IF(tblSales[[#This Row],[Key]]="","",IFERROR(INDEX(ตารางรวม!$R:$R,MATCH(tblSales[[#This Row],[Key]],ตารางรวม!$Z:$Z,0))*tblSales[[#This Row],[จำนวนแก้ว]],0))</f>
        <v/>
      </c>
      <c r="AF96" s="10" t="str">
        <f>IF(tblSales[[#This Row],[Key]]="","",IFERROR(INDEX(ตารางรวม!$S:$S,MATCH(tblSales[[#This Row],[Key]],ตารางรวม!$Z:$Z,0))*tblSales[[#This Row],[จำนวนแก้ว]],0))</f>
        <v/>
      </c>
      <c r="AG96" s="10" t="str">
        <f>IF(tblSales[[#This Row],[Key]]="","",IFERROR(INDEX(ตารางรวม!$T:$T,MATCH(tblSales[[#This Row],[Key]],ตารางรวม!$Z:$Z,0))*tblSales[[#This Row],[จำนวนแก้ว]],0))</f>
        <v/>
      </c>
      <c r="AH96" s="10" t="str">
        <f>IF(tblSales[[#This Row],[Key]]="","",IF(tblSales[[#This Row],[ขนาด]]="16 oz",tblSales[[#This Row],[จำนวนแก้ว]],0))</f>
        <v/>
      </c>
      <c r="AI96" s="10" t="str">
        <f>IF(tblSales[[#This Row],[Key]]="","",IF(tblSales[[#This Row],[ขนาด]]="20 oz",tblSales[[#This Row],[จำนวนแก้ว]],0))</f>
        <v/>
      </c>
      <c r="AJ96" s="10" t="str">
        <f>IF(tblSales[[#This Row],[Key]]="","",IF(tblSales[[#This Row],[ขนาด]]="22 oz",tblSales[[#This Row],[จำนวนแก้ว]],0))</f>
        <v/>
      </c>
    </row>
    <row r="97" spans="1:36" x14ac:dyDescent="0.25">
      <c r="A97" s="4" t="str">
        <f>IF(tblSales[[#This Row],[วันที่]]="","","S"&amp;TEXT(tblSales[[#This Row],[วันที่]],"yymmdd")&amp;"-"&amp;TEXT(ROW()-5,"000"))</f>
        <v/>
      </c>
      <c r="B97" s="16"/>
      <c r="C97" s="6"/>
      <c r="D97" s="6"/>
      <c r="E97" s="20"/>
      <c r="F97" s="6"/>
      <c r="G97" s="6"/>
      <c r="H97" s="6"/>
      <c r="I97" s="6"/>
      <c r="J9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7" s="8" t="str">
        <f>IF(tblSales[[#This Row],[Key]]="","",IFERROR(INDEX(ตารางรวม!$W:$W,MATCH(tblSales[[#This Row],[Key]],ตารางรวม!$Z:$Z,0)),"ไม่พบสูตร"))</f>
        <v/>
      </c>
      <c r="L97" s="8" t="str">
        <f>IF(tblSales[[#This Row],[Key]]="","",IFERROR(INDEX(ตารางรวม!$V:$V,MATCH(tblSales[[#This Row],[Key]],ตารางรวม!$Z:$Z,0)),"ไม่พบสูตร"))</f>
        <v/>
      </c>
      <c r="M97" s="8" t="str">
        <f>IF(tblSales[[#This Row],[Key]]="","",IFERROR(tblSales[[#This Row],[ราคาต่อแก้ว]]*tblSales[[#This Row],[จำนวนแก้ว]],""))</f>
        <v/>
      </c>
      <c r="N97" s="8" t="str">
        <f>IF(tblSales[[#This Row],[Key]]="","",IFERROR(tblSales[[#This Row],[ต้นทุนต่อแก้ว]]*tblSales[[#This Row],[จำนวนแก้ว]],""))</f>
        <v/>
      </c>
      <c r="O97" s="8" t="str">
        <f>IF(tblSales[[#This Row],[Key]]="","",IFERROR(tblSales[[#This Row],[ยอดขาย (บาท)]]-tblSales[[#This Row],[ต้นทุนรวม (บาท)]],""))</f>
        <v/>
      </c>
      <c r="P97" s="21" t="str">
        <f>IF(tblSales[[#This Row],[Key]]="","",IFERROR(tblSales[[#This Row],[กำไร (บาท)]]/tblSales[[#This Row],[ยอดขาย (บาท)]],""))</f>
        <v/>
      </c>
      <c r="Q97" s="10" t="str">
        <f>IF(tblSales[[#This Row],[Key]]="","",IFERROR(INDEX(ตารางรวม!$D:$D,MATCH(tblSales[[#This Row],[Key]],ตารางรวม!$Z:$Z,0))*tblSales[[#This Row],[จำนวนแก้ว]],0))</f>
        <v/>
      </c>
      <c r="R97" s="10" t="str">
        <f>IF(tblSales[[#This Row],[Key]]="","",IFERROR(INDEX(ตารางรวม!$E:$E,MATCH(tblSales[[#This Row],[Key]],ตารางรวม!$Z:$Z,0))*tblSales[[#This Row],[จำนวนแก้ว]],0))</f>
        <v/>
      </c>
      <c r="S97" s="10" t="str">
        <f>IF(tblSales[[#This Row],[Key]]="","",IFERROR(INDEX(ตารางรวม!$F:$F,MATCH(tblSales[[#This Row],[Key]],ตารางรวม!$Z:$Z,0))*tblSales[[#This Row],[จำนวนแก้ว]],0))</f>
        <v/>
      </c>
      <c r="T97" s="10" t="str">
        <f>IF(tblSales[[#This Row],[Key]]="","",IFERROR(INDEX(ตารางรวม!$G:$G,MATCH(tblSales[[#This Row],[Key]],ตารางรวม!$Z:$Z,0))*tblSales[[#This Row],[จำนวนแก้ว]],0))</f>
        <v/>
      </c>
      <c r="U97" s="10" t="str">
        <f>IF(tblSales[[#This Row],[Key]]="","",IFERROR(INDEX(ตารางรวม!$H:$H,MATCH(tblSales[[#This Row],[Key]],ตารางรวม!$Z:$Z,0))*tblSales[[#This Row],[จำนวนแก้ว]],0))</f>
        <v/>
      </c>
      <c r="V97" s="10" t="str">
        <f>IF(tblSales[[#This Row],[Key]]="","",IFERROR(INDEX(ตารางรวม!$I:$I,MATCH(tblSales[[#This Row],[Key]],ตารางรวม!$Z:$Z,0))*tblSales[[#This Row],[จำนวนแก้ว]],0))</f>
        <v/>
      </c>
      <c r="W97" s="10" t="str">
        <f>IF(tblSales[[#This Row],[Key]]="","",IFERROR(INDEX(ตารางรวม!$J:$J,MATCH(tblSales[[#This Row],[Key]],ตารางรวม!$Z:$Z,0))*tblSales[[#This Row],[จำนวนแก้ว]],0))</f>
        <v/>
      </c>
      <c r="X97" s="10" t="str">
        <f>IF(tblSales[[#This Row],[Key]]="","",IFERROR(INDEX(ตารางรวม!$K:$K,MATCH(tblSales[[#This Row],[Key]],ตารางรวม!$Z:$Z,0))*tblSales[[#This Row],[จำนวนแก้ว]],0))</f>
        <v/>
      </c>
      <c r="Y97" s="10" t="str">
        <f>IF(tblSales[[#This Row],[Key]]="","",IFERROR(INDEX(ตารางรวม!$L:$L,MATCH(tblSales[[#This Row],[Key]],ตารางรวม!$Z:$Z,0))*tblSales[[#This Row],[จำนวนแก้ว]],0))</f>
        <v/>
      </c>
      <c r="Z97" s="10" t="str">
        <f>IF(tblSales[[#This Row],[Key]]="","",IFERROR(INDEX(ตารางรวม!$M:$M,MATCH(tblSales[[#This Row],[Key]],ตารางรวม!$Z:$Z,0))*tblSales[[#This Row],[จำนวนแก้ว]],0))</f>
        <v/>
      </c>
      <c r="AA97" s="10" t="str">
        <f>IF(tblSales[[#This Row],[Key]]="","",IFERROR(INDEX(ตารางรวม!$N:$N,MATCH(tblSales[[#This Row],[Key]],ตารางรวม!$Z:$Z,0))*tblSales[[#This Row],[จำนวนแก้ว]],0))</f>
        <v/>
      </c>
      <c r="AB97" s="10" t="str">
        <f>IF(tblSales[[#This Row],[Key]]="","",IFERROR(INDEX(ตารางรวม!$O:$O,MATCH(tblSales[[#This Row],[Key]],ตารางรวม!$Z:$Z,0))*tblSales[[#This Row],[จำนวนแก้ว]],0))</f>
        <v/>
      </c>
      <c r="AC97" s="10" t="str">
        <f>IF(tblSales[[#This Row],[Key]]="","",IFERROR(INDEX(ตารางรวม!$P:$P,MATCH(tblSales[[#This Row],[Key]],ตารางรวม!$Z:$Z,0))*tblSales[[#This Row],[จำนวนแก้ว]],0))</f>
        <v/>
      </c>
      <c r="AD97" s="10" t="str">
        <f>IF(tblSales[[#This Row],[Key]]="","",IFERROR(INDEX(ตารางรวม!$Q:$Q,MATCH(tblSales[[#This Row],[Key]],ตารางรวม!$Z:$Z,0))*tblSales[[#This Row],[จำนวนแก้ว]],0))</f>
        <v/>
      </c>
      <c r="AE97" s="10" t="str">
        <f>IF(tblSales[[#This Row],[Key]]="","",IFERROR(INDEX(ตารางรวม!$R:$R,MATCH(tblSales[[#This Row],[Key]],ตารางรวม!$Z:$Z,0))*tblSales[[#This Row],[จำนวนแก้ว]],0))</f>
        <v/>
      </c>
      <c r="AF97" s="10" t="str">
        <f>IF(tblSales[[#This Row],[Key]]="","",IFERROR(INDEX(ตารางรวม!$S:$S,MATCH(tblSales[[#This Row],[Key]],ตารางรวม!$Z:$Z,0))*tblSales[[#This Row],[จำนวนแก้ว]],0))</f>
        <v/>
      </c>
      <c r="AG97" s="10" t="str">
        <f>IF(tblSales[[#This Row],[Key]]="","",IFERROR(INDEX(ตารางรวม!$T:$T,MATCH(tblSales[[#This Row],[Key]],ตารางรวม!$Z:$Z,0))*tblSales[[#This Row],[จำนวนแก้ว]],0))</f>
        <v/>
      </c>
      <c r="AH97" s="10" t="str">
        <f>IF(tblSales[[#This Row],[Key]]="","",IF(tblSales[[#This Row],[ขนาด]]="16 oz",tblSales[[#This Row],[จำนวนแก้ว]],0))</f>
        <v/>
      </c>
      <c r="AI97" s="10" t="str">
        <f>IF(tblSales[[#This Row],[Key]]="","",IF(tblSales[[#This Row],[ขนาด]]="20 oz",tblSales[[#This Row],[จำนวนแก้ว]],0))</f>
        <v/>
      </c>
      <c r="AJ97" s="10" t="str">
        <f>IF(tblSales[[#This Row],[Key]]="","",IF(tblSales[[#This Row],[ขนาด]]="22 oz",tblSales[[#This Row],[จำนวนแก้ว]],0))</f>
        <v/>
      </c>
    </row>
    <row r="98" spans="1:36" x14ac:dyDescent="0.25">
      <c r="A98" s="4" t="str">
        <f>IF(tblSales[[#This Row],[วันที่]]="","","S"&amp;TEXT(tblSales[[#This Row],[วันที่]],"yymmdd")&amp;"-"&amp;TEXT(ROW()-5,"000"))</f>
        <v/>
      </c>
      <c r="B98" s="16"/>
      <c r="C98" s="6"/>
      <c r="D98" s="6"/>
      <c r="E98" s="20"/>
      <c r="F98" s="6"/>
      <c r="G98" s="6"/>
      <c r="H98" s="6"/>
      <c r="I98" s="6"/>
      <c r="J9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8" s="8" t="str">
        <f>IF(tblSales[[#This Row],[Key]]="","",IFERROR(INDEX(ตารางรวม!$W:$W,MATCH(tblSales[[#This Row],[Key]],ตารางรวม!$Z:$Z,0)),"ไม่พบสูตร"))</f>
        <v/>
      </c>
      <c r="L98" s="8" t="str">
        <f>IF(tblSales[[#This Row],[Key]]="","",IFERROR(INDEX(ตารางรวม!$V:$V,MATCH(tblSales[[#This Row],[Key]],ตารางรวม!$Z:$Z,0)),"ไม่พบสูตร"))</f>
        <v/>
      </c>
      <c r="M98" s="8" t="str">
        <f>IF(tblSales[[#This Row],[Key]]="","",IFERROR(tblSales[[#This Row],[ราคาต่อแก้ว]]*tblSales[[#This Row],[จำนวนแก้ว]],""))</f>
        <v/>
      </c>
      <c r="N98" s="8" t="str">
        <f>IF(tblSales[[#This Row],[Key]]="","",IFERROR(tblSales[[#This Row],[ต้นทุนต่อแก้ว]]*tblSales[[#This Row],[จำนวนแก้ว]],""))</f>
        <v/>
      </c>
      <c r="O98" s="8" t="str">
        <f>IF(tblSales[[#This Row],[Key]]="","",IFERROR(tblSales[[#This Row],[ยอดขาย (บาท)]]-tblSales[[#This Row],[ต้นทุนรวม (บาท)]],""))</f>
        <v/>
      </c>
      <c r="P98" s="21" t="str">
        <f>IF(tblSales[[#This Row],[Key]]="","",IFERROR(tblSales[[#This Row],[กำไร (บาท)]]/tblSales[[#This Row],[ยอดขาย (บาท)]],""))</f>
        <v/>
      </c>
      <c r="Q98" s="10" t="str">
        <f>IF(tblSales[[#This Row],[Key]]="","",IFERROR(INDEX(ตารางรวม!$D:$D,MATCH(tblSales[[#This Row],[Key]],ตารางรวม!$Z:$Z,0))*tblSales[[#This Row],[จำนวนแก้ว]],0))</f>
        <v/>
      </c>
      <c r="R98" s="10" t="str">
        <f>IF(tblSales[[#This Row],[Key]]="","",IFERROR(INDEX(ตารางรวม!$E:$E,MATCH(tblSales[[#This Row],[Key]],ตารางรวม!$Z:$Z,0))*tblSales[[#This Row],[จำนวนแก้ว]],0))</f>
        <v/>
      </c>
      <c r="S98" s="10" t="str">
        <f>IF(tblSales[[#This Row],[Key]]="","",IFERROR(INDEX(ตารางรวม!$F:$F,MATCH(tblSales[[#This Row],[Key]],ตารางรวม!$Z:$Z,0))*tblSales[[#This Row],[จำนวนแก้ว]],0))</f>
        <v/>
      </c>
      <c r="T98" s="10" t="str">
        <f>IF(tblSales[[#This Row],[Key]]="","",IFERROR(INDEX(ตารางรวม!$G:$G,MATCH(tblSales[[#This Row],[Key]],ตารางรวม!$Z:$Z,0))*tblSales[[#This Row],[จำนวนแก้ว]],0))</f>
        <v/>
      </c>
      <c r="U98" s="10" t="str">
        <f>IF(tblSales[[#This Row],[Key]]="","",IFERROR(INDEX(ตารางรวม!$H:$H,MATCH(tblSales[[#This Row],[Key]],ตารางรวม!$Z:$Z,0))*tblSales[[#This Row],[จำนวนแก้ว]],0))</f>
        <v/>
      </c>
      <c r="V98" s="10" t="str">
        <f>IF(tblSales[[#This Row],[Key]]="","",IFERROR(INDEX(ตารางรวม!$I:$I,MATCH(tblSales[[#This Row],[Key]],ตารางรวม!$Z:$Z,0))*tblSales[[#This Row],[จำนวนแก้ว]],0))</f>
        <v/>
      </c>
      <c r="W98" s="10" t="str">
        <f>IF(tblSales[[#This Row],[Key]]="","",IFERROR(INDEX(ตารางรวม!$J:$J,MATCH(tblSales[[#This Row],[Key]],ตารางรวม!$Z:$Z,0))*tblSales[[#This Row],[จำนวนแก้ว]],0))</f>
        <v/>
      </c>
      <c r="X98" s="10" t="str">
        <f>IF(tblSales[[#This Row],[Key]]="","",IFERROR(INDEX(ตารางรวม!$K:$K,MATCH(tblSales[[#This Row],[Key]],ตารางรวม!$Z:$Z,0))*tblSales[[#This Row],[จำนวนแก้ว]],0))</f>
        <v/>
      </c>
      <c r="Y98" s="10" t="str">
        <f>IF(tblSales[[#This Row],[Key]]="","",IFERROR(INDEX(ตารางรวม!$L:$L,MATCH(tblSales[[#This Row],[Key]],ตารางรวม!$Z:$Z,0))*tblSales[[#This Row],[จำนวนแก้ว]],0))</f>
        <v/>
      </c>
      <c r="Z98" s="10" t="str">
        <f>IF(tblSales[[#This Row],[Key]]="","",IFERROR(INDEX(ตารางรวม!$M:$M,MATCH(tblSales[[#This Row],[Key]],ตารางรวม!$Z:$Z,0))*tblSales[[#This Row],[จำนวนแก้ว]],0))</f>
        <v/>
      </c>
      <c r="AA98" s="10" t="str">
        <f>IF(tblSales[[#This Row],[Key]]="","",IFERROR(INDEX(ตารางรวม!$N:$N,MATCH(tblSales[[#This Row],[Key]],ตารางรวม!$Z:$Z,0))*tblSales[[#This Row],[จำนวนแก้ว]],0))</f>
        <v/>
      </c>
      <c r="AB98" s="10" t="str">
        <f>IF(tblSales[[#This Row],[Key]]="","",IFERROR(INDEX(ตารางรวม!$O:$O,MATCH(tblSales[[#This Row],[Key]],ตารางรวม!$Z:$Z,0))*tblSales[[#This Row],[จำนวนแก้ว]],0))</f>
        <v/>
      </c>
      <c r="AC98" s="10" t="str">
        <f>IF(tblSales[[#This Row],[Key]]="","",IFERROR(INDEX(ตารางรวม!$P:$P,MATCH(tblSales[[#This Row],[Key]],ตารางรวม!$Z:$Z,0))*tblSales[[#This Row],[จำนวนแก้ว]],0))</f>
        <v/>
      </c>
      <c r="AD98" s="10" t="str">
        <f>IF(tblSales[[#This Row],[Key]]="","",IFERROR(INDEX(ตารางรวม!$Q:$Q,MATCH(tblSales[[#This Row],[Key]],ตารางรวม!$Z:$Z,0))*tblSales[[#This Row],[จำนวนแก้ว]],0))</f>
        <v/>
      </c>
      <c r="AE98" s="10" t="str">
        <f>IF(tblSales[[#This Row],[Key]]="","",IFERROR(INDEX(ตารางรวม!$R:$R,MATCH(tblSales[[#This Row],[Key]],ตารางรวม!$Z:$Z,0))*tblSales[[#This Row],[จำนวนแก้ว]],0))</f>
        <v/>
      </c>
      <c r="AF98" s="10" t="str">
        <f>IF(tblSales[[#This Row],[Key]]="","",IFERROR(INDEX(ตารางรวม!$S:$S,MATCH(tblSales[[#This Row],[Key]],ตารางรวม!$Z:$Z,0))*tblSales[[#This Row],[จำนวนแก้ว]],0))</f>
        <v/>
      </c>
      <c r="AG98" s="10" t="str">
        <f>IF(tblSales[[#This Row],[Key]]="","",IFERROR(INDEX(ตารางรวม!$T:$T,MATCH(tblSales[[#This Row],[Key]],ตารางรวม!$Z:$Z,0))*tblSales[[#This Row],[จำนวนแก้ว]],0))</f>
        <v/>
      </c>
      <c r="AH98" s="10" t="str">
        <f>IF(tblSales[[#This Row],[Key]]="","",IF(tblSales[[#This Row],[ขนาด]]="16 oz",tblSales[[#This Row],[จำนวนแก้ว]],0))</f>
        <v/>
      </c>
      <c r="AI98" s="10" t="str">
        <f>IF(tblSales[[#This Row],[Key]]="","",IF(tblSales[[#This Row],[ขนาด]]="20 oz",tblSales[[#This Row],[จำนวนแก้ว]],0))</f>
        <v/>
      </c>
      <c r="AJ98" s="10" t="str">
        <f>IF(tblSales[[#This Row],[Key]]="","",IF(tblSales[[#This Row],[ขนาด]]="22 oz",tblSales[[#This Row],[จำนวนแก้ว]],0))</f>
        <v/>
      </c>
    </row>
    <row r="99" spans="1:36" x14ac:dyDescent="0.25">
      <c r="A99" s="4" t="str">
        <f>IF(tblSales[[#This Row],[วันที่]]="","","S"&amp;TEXT(tblSales[[#This Row],[วันที่]],"yymmdd")&amp;"-"&amp;TEXT(ROW()-5,"000"))</f>
        <v/>
      </c>
      <c r="B99" s="16"/>
      <c r="C99" s="6"/>
      <c r="D99" s="6"/>
      <c r="E99" s="20"/>
      <c r="F99" s="6"/>
      <c r="G99" s="6"/>
      <c r="H99" s="6"/>
      <c r="I99" s="6"/>
      <c r="J9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99" s="8" t="str">
        <f>IF(tblSales[[#This Row],[Key]]="","",IFERROR(INDEX(ตารางรวม!$W:$W,MATCH(tblSales[[#This Row],[Key]],ตารางรวม!$Z:$Z,0)),"ไม่พบสูตร"))</f>
        <v/>
      </c>
      <c r="L99" s="8" t="str">
        <f>IF(tblSales[[#This Row],[Key]]="","",IFERROR(INDEX(ตารางรวม!$V:$V,MATCH(tblSales[[#This Row],[Key]],ตารางรวม!$Z:$Z,0)),"ไม่พบสูตร"))</f>
        <v/>
      </c>
      <c r="M99" s="8" t="str">
        <f>IF(tblSales[[#This Row],[Key]]="","",IFERROR(tblSales[[#This Row],[ราคาต่อแก้ว]]*tblSales[[#This Row],[จำนวนแก้ว]],""))</f>
        <v/>
      </c>
      <c r="N99" s="8" t="str">
        <f>IF(tblSales[[#This Row],[Key]]="","",IFERROR(tblSales[[#This Row],[ต้นทุนต่อแก้ว]]*tblSales[[#This Row],[จำนวนแก้ว]],""))</f>
        <v/>
      </c>
      <c r="O99" s="8" t="str">
        <f>IF(tblSales[[#This Row],[Key]]="","",IFERROR(tblSales[[#This Row],[ยอดขาย (บาท)]]-tblSales[[#This Row],[ต้นทุนรวม (บาท)]],""))</f>
        <v/>
      </c>
      <c r="P99" s="21" t="str">
        <f>IF(tblSales[[#This Row],[Key]]="","",IFERROR(tblSales[[#This Row],[กำไร (บาท)]]/tblSales[[#This Row],[ยอดขาย (บาท)]],""))</f>
        <v/>
      </c>
      <c r="Q99" s="10" t="str">
        <f>IF(tblSales[[#This Row],[Key]]="","",IFERROR(INDEX(ตารางรวม!$D:$D,MATCH(tblSales[[#This Row],[Key]],ตารางรวม!$Z:$Z,0))*tblSales[[#This Row],[จำนวนแก้ว]],0))</f>
        <v/>
      </c>
      <c r="R99" s="10" t="str">
        <f>IF(tblSales[[#This Row],[Key]]="","",IFERROR(INDEX(ตารางรวม!$E:$E,MATCH(tblSales[[#This Row],[Key]],ตารางรวม!$Z:$Z,0))*tblSales[[#This Row],[จำนวนแก้ว]],0))</f>
        <v/>
      </c>
      <c r="S99" s="10" t="str">
        <f>IF(tblSales[[#This Row],[Key]]="","",IFERROR(INDEX(ตารางรวม!$F:$F,MATCH(tblSales[[#This Row],[Key]],ตารางรวม!$Z:$Z,0))*tblSales[[#This Row],[จำนวนแก้ว]],0))</f>
        <v/>
      </c>
      <c r="T99" s="10" t="str">
        <f>IF(tblSales[[#This Row],[Key]]="","",IFERROR(INDEX(ตารางรวม!$G:$G,MATCH(tblSales[[#This Row],[Key]],ตารางรวม!$Z:$Z,0))*tblSales[[#This Row],[จำนวนแก้ว]],0))</f>
        <v/>
      </c>
      <c r="U99" s="10" t="str">
        <f>IF(tblSales[[#This Row],[Key]]="","",IFERROR(INDEX(ตารางรวม!$H:$H,MATCH(tblSales[[#This Row],[Key]],ตารางรวม!$Z:$Z,0))*tblSales[[#This Row],[จำนวนแก้ว]],0))</f>
        <v/>
      </c>
      <c r="V99" s="10" t="str">
        <f>IF(tblSales[[#This Row],[Key]]="","",IFERROR(INDEX(ตารางรวม!$I:$I,MATCH(tblSales[[#This Row],[Key]],ตารางรวม!$Z:$Z,0))*tblSales[[#This Row],[จำนวนแก้ว]],0))</f>
        <v/>
      </c>
      <c r="W99" s="10" t="str">
        <f>IF(tblSales[[#This Row],[Key]]="","",IFERROR(INDEX(ตารางรวม!$J:$J,MATCH(tblSales[[#This Row],[Key]],ตารางรวม!$Z:$Z,0))*tblSales[[#This Row],[จำนวนแก้ว]],0))</f>
        <v/>
      </c>
      <c r="X99" s="10" t="str">
        <f>IF(tblSales[[#This Row],[Key]]="","",IFERROR(INDEX(ตารางรวม!$K:$K,MATCH(tblSales[[#This Row],[Key]],ตารางรวม!$Z:$Z,0))*tblSales[[#This Row],[จำนวนแก้ว]],0))</f>
        <v/>
      </c>
      <c r="Y99" s="10" t="str">
        <f>IF(tblSales[[#This Row],[Key]]="","",IFERROR(INDEX(ตารางรวม!$L:$L,MATCH(tblSales[[#This Row],[Key]],ตารางรวม!$Z:$Z,0))*tblSales[[#This Row],[จำนวนแก้ว]],0))</f>
        <v/>
      </c>
      <c r="Z99" s="10" t="str">
        <f>IF(tblSales[[#This Row],[Key]]="","",IFERROR(INDEX(ตารางรวม!$M:$M,MATCH(tblSales[[#This Row],[Key]],ตารางรวม!$Z:$Z,0))*tblSales[[#This Row],[จำนวนแก้ว]],0))</f>
        <v/>
      </c>
      <c r="AA99" s="10" t="str">
        <f>IF(tblSales[[#This Row],[Key]]="","",IFERROR(INDEX(ตารางรวม!$N:$N,MATCH(tblSales[[#This Row],[Key]],ตารางรวม!$Z:$Z,0))*tblSales[[#This Row],[จำนวนแก้ว]],0))</f>
        <v/>
      </c>
      <c r="AB99" s="10" t="str">
        <f>IF(tblSales[[#This Row],[Key]]="","",IFERROR(INDEX(ตารางรวม!$O:$O,MATCH(tblSales[[#This Row],[Key]],ตารางรวม!$Z:$Z,0))*tblSales[[#This Row],[จำนวนแก้ว]],0))</f>
        <v/>
      </c>
      <c r="AC99" s="10" t="str">
        <f>IF(tblSales[[#This Row],[Key]]="","",IFERROR(INDEX(ตารางรวม!$P:$P,MATCH(tblSales[[#This Row],[Key]],ตารางรวม!$Z:$Z,0))*tblSales[[#This Row],[จำนวนแก้ว]],0))</f>
        <v/>
      </c>
      <c r="AD99" s="10" t="str">
        <f>IF(tblSales[[#This Row],[Key]]="","",IFERROR(INDEX(ตารางรวม!$Q:$Q,MATCH(tblSales[[#This Row],[Key]],ตารางรวม!$Z:$Z,0))*tblSales[[#This Row],[จำนวนแก้ว]],0))</f>
        <v/>
      </c>
      <c r="AE99" s="10" t="str">
        <f>IF(tblSales[[#This Row],[Key]]="","",IFERROR(INDEX(ตารางรวม!$R:$R,MATCH(tblSales[[#This Row],[Key]],ตารางรวม!$Z:$Z,0))*tblSales[[#This Row],[จำนวนแก้ว]],0))</f>
        <v/>
      </c>
      <c r="AF99" s="10" t="str">
        <f>IF(tblSales[[#This Row],[Key]]="","",IFERROR(INDEX(ตารางรวม!$S:$S,MATCH(tblSales[[#This Row],[Key]],ตารางรวม!$Z:$Z,0))*tblSales[[#This Row],[จำนวนแก้ว]],0))</f>
        <v/>
      </c>
      <c r="AG99" s="10" t="str">
        <f>IF(tblSales[[#This Row],[Key]]="","",IFERROR(INDEX(ตารางรวม!$T:$T,MATCH(tblSales[[#This Row],[Key]],ตารางรวม!$Z:$Z,0))*tblSales[[#This Row],[จำนวนแก้ว]],0))</f>
        <v/>
      </c>
      <c r="AH99" s="10" t="str">
        <f>IF(tblSales[[#This Row],[Key]]="","",IF(tblSales[[#This Row],[ขนาด]]="16 oz",tblSales[[#This Row],[จำนวนแก้ว]],0))</f>
        <v/>
      </c>
      <c r="AI99" s="10" t="str">
        <f>IF(tblSales[[#This Row],[Key]]="","",IF(tblSales[[#This Row],[ขนาด]]="20 oz",tblSales[[#This Row],[จำนวนแก้ว]],0))</f>
        <v/>
      </c>
      <c r="AJ99" s="10" t="str">
        <f>IF(tblSales[[#This Row],[Key]]="","",IF(tblSales[[#This Row],[ขนาด]]="22 oz",tblSales[[#This Row],[จำนวนแก้ว]],0))</f>
        <v/>
      </c>
    </row>
    <row r="100" spans="1:36" x14ac:dyDescent="0.25">
      <c r="A100" s="4" t="str">
        <f>IF(tblSales[[#This Row],[วันที่]]="","","S"&amp;TEXT(tblSales[[#This Row],[วันที่]],"yymmdd")&amp;"-"&amp;TEXT(ROW()-5,"000"))</f>
        <v/>
      </c>
      <c r="B100" s="16"/>
      <c r="C100" s="6"/>
      <c r="D100" s="6"/>
      <c r="E100" s="20"/>
      <c r="F100" s="6"/>
      <c r="G100" s="6"/>
      <c r="H100" s="6"/>
      <c r="I100" s="6"/>
      <c r="J10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0" s="8" t="str">
        <f>IF(tblSales[[#This Row],[Key]]="","",IFERROR(INDEX(ตารางรวม!$W:$W,MATCH(tblSales[[#This Row],[Key]],ตารางรวม!$Z:$Z,0)),"ไม่พบสูตร"))</f>
        <v/>
      </c>
      <c r="L100" s="8" t="str">
        <f>IF(tblSales[[#This Row],[Key]]="","",IFERROR(INDEX(ตารางรวม!$V:$V,MATCH(tblSales[[#This Row],[Key]],ตารางรวม!$Z:$Z,0)),"ไม่พบสูตร"))</f>
        <v/>
      </c>
      <c r="M100" s="8" t="str">
        <f>IF(tblSales[[#This Row],[Key]]="","",IFERROR(tblSales[[#This Row],[ราคาต่อแก้ว]]*tblSales[[#This Row],[จำนวนแก้ว]],""))</f>
        <v/>
      </c>
      <c r="N100" s="8" t="str">
        <f>IF(tblSales[[#This Row],[Key]]="","",IFERROR(tblSales[[#This Row],[ต้นทุนต่อแก้ว]]*tblSales[[#This Row],[จำนวนแก้ว]],""))</f>
        <v/>
      </c>
      <c r="O100" s="8" t="str">
        <f>IF(tblSales[[#This Row],[Key]]="","",IFERROR(tblSales[[#This Row],[ยอดขาย (บาท)]]-tblSales[[#This Row],[ต้นทุนรวม (บาท)]],""))</f>
        <v/>
      </c>
      <c r="P100" s="21" t="str">
        <f>IF(tblSales[[#This Row],[Key]]="","",IFERROR(tblSales[[#This Row],[กำไร (บาท)]]/tblSales[[#This Row],[ยอดขาย (บาท)]],""))</f>
        <v/>
      </c>
      <c r="Q100" s="10" t="str">
        <f>IF(tblSales[[#This Row],[Key]]="","",IFERROR(INDEX(ตารางรวม!$D:$D,MATCH(tblSales[[#This Row],[Key]],ตารางรวม!$Z:$Z,0))*tblSales[[#This Row],[จำนวนแก้ว]],0))</f>
        <v/>
      </c>
      <c r="R100" s="10" t="str">
        <f>IF(tblSales[[#This Row],[Key]]="","",IFERROR(INDEX(ตารางรวม!$E:$E,MATCH(tblSales[[#This Row],[Key]],ตารางรวม!$Z:$Z,0))*tblSales[[#This Row],[จำนวนแก้ว]],0))</f>
        <v/>
      </c>
      <c r="S100" s="10" t="str">
        <f>IF(tblSales[[#This Row],[Key]]="","",IFERROR(INDEX(ตารางรวม!$F:$F,MATCH(tblSales[[#This Row],[Key]],ตารางรวม!$Z:$Z,0))*tblSales[[#This Row],[จำนวนแก้ว]],0))</f>
        <v/>
      </c>
      <c r="T100" s="10" t="str">
        <f>IF(tblSales[[#This Row],[Key]]="","",IFERROR(INDEX(ตารางรวม!$G:$G,MATCH(tblSales[[#This Row],[Key]],ตารางรวม!$Z:$Z,0))*tblSales[[#This Row],[จำนวนแก้ว]],0))</f>
        <v/>
      </c>
      <c r="U100" s="10" t="str">
        <f>IF(tblSales[[#This Row],[Key]]="","",IFERROR(INDEX(ตารางรวม!$H:$H,MATCH(tblSales[[#This Row],[Key]],ตารางรวม!$Z:$Z,0))*tblSales[[#This Row],[จำนวนแก้ว]],0))</f>
        <v/>
      </c>
      <c r="V100" s="10" t="str">
        <f>IF(tblSales[[#This Row],[Key]]="","",IFERROR(INDEX(ตารางรวม!$I:$I,MATCH(tblSales[[#This Row],[Key]],ตารางรวม!$Z:$Z,0))*tblSales[[#This Row],[จำนวนแก้ว]],0))</f>
        <v/>
      </c>
      <c r="W100" s="10" t="str">
        <f>IF(tblSales[[#This Row],[Key]]="","",IFERROR(INDEX(ตารางรวม!$J:$J,MATCH(tblSales[[#This Row],[Key]],ตารางรวม!$Z:$Z,0))*tblSales[[#This Row],[จำนวนแก้ว]],0))</f>
        <v/>
      </c>
      <c r="X100" s="10" t="str">
        <f>IF(tblSales[[#This Row],[Key]]="","",IFERROR(INDEX(ตารางรวม!$K:$K,MATCH(tblSales[[#This Row],[Key]],ตารางรวม!$Z:$Z,0))*tblSales[[#This Row],[จำนวนแก้ว]],0))</f>
        <v/>
      </c>
      <c r="Y100" s="10" t="str">
        <f>IF(tblSales[[#This Row],[Key]]="","",IFERROR(INDEX(ตารางรวม!$L:$L,MATCH(tblSales[[#This Row],[Key]],ตารางรวม!$Z:$Z,0))*tblSales[[#This Row],[จำนวนแก้ว]],0))</f>
        <v/>
      </c>
      <c r="Z10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0" s="10" t="str">
        <f>IF(tblSales[[#This Row],[Key]]="","",IF(tblSales[[#This Row],[ขนาด]]="16 oz",tblSales[[#This Row],[จำนวนแก้ว]],0))</f>
        <v/>
      </c>
      <c r="AI100" s="10" t="str">
        <f>IF(tblSales[[#This Row],[Key]]="","",IF(tblSales[[#This Row],[ขนาด]]="20 oz",tblSales[[#This Row],[จำนวนแก้ว]],0))</f>
        <v/>
      </c>
      <c r="AJ100" s="10" t="str">
        <f>IF(tblSales[[#This Row],[Key]]="","",IF(tblSales[[#This Row],[ขนาด]]="22 oz",tblSales[[#This Row],[จำนวนแก้ว]],0))</f>
        <v/>
      </c>
    </row>
    <row r="101" spans="1:36" x14ac:dyDescent="0.25">
      <c r="A101" s="4" t="str">
        <f>IF(tblSales[[#This Row],[วันที่]]="","","S"&amp;TEXT(tblSales[[#This Row],[วันที่]],"yymmdd")&amp;"-"&amp;TEXT(ROW()-5,"000"))</f>
        <v/>
      </c>
      <c r="B101" s="16"/>
      <c r="C101" s="6"/>
      <c r="D101" s="6"/>
      <c r="E101" s="20"/>
      <c r="F101" s="6"/>
      <c r="G101" s="6"/>
      <c r="H101" s="6"/>
      <c r="I101" s="6"/>
      <c r="J10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1" s="8" t="str">
        <f>IF(tblSales[[#This Row],[Key]]="","",IFERROR(INDEX(ตารางรวม!$W:$W,MATCH(tblSales[[#This Row],[Key]],ตารางรวม!$Z:$Z,0)),"ไม่พบสูตร"))</f>
        <v/>
      </c>
      <c r="L101" s="8" t="str">
        <f>IF(tblSales[[#This Row],[Key]]="","",IFERROR(INDEX(ตารางรวม!$V:$V,MATCH(tblSales[[#This Row],[Key]],ตารางรวม!$Z:$Z,0)),"ไม่พบสูตร"))</f>
        <v/>
      </c>
      <c r="M101" s="8" t="str">
        <f>IF(tblSales[[#This Row],[Key]]="","",IFERROR(tblSales[[#This Row],[ราคาต่อแก้ว]]*tblSales[[#This Row],[จำนวนแก้ว]],""))</f>
        <v/>
      </c>
      <c r="N101" s="8" t="str">
        <f>IF(tblSales[[#This Row],[Key]]="","",IFERROR(tblSales[[#This Row],[ต้นทุนต่อแก้ว]]*tblSales[[#This Row],[จำนวนแก้ว]],""))</f>
        <v/>
      </c>
      <c r="O101" s="8" t="str">
        <f>IF(tblSales[[#This Row],[Key]]="","",IFERROR(tblSales[[#This Row],[ยอดขาย (บาท)]]-tblSales[[#This Row],[ต้นทุนรวม (บาท)]],""))</f>
        <v/>
      </c>
      <c r="P101" s="21" t="str">
        <f>IF(tblSales[[#This Row],[Key]]="","",IFERROR(tblSales[[#This Row],[กำไร (บาท)]]/tblSales[[#This Row],[ยอดขาย (บาท)]],""))</f>
        <v/>
      </c>
      <c r="Q101" s="10" t="str">
        <f>IF(tblSales[[#This Row],[Key]]="","",IFERROR(INDEX(ตารางรวม!$D:$D,MATCH(tblSales[[#This Row],[Key]],ตารางรวม!$Z:$Z,0))*tblSales[[#This Row],[จำนวนแก้ว]],0))</f>
        <v/>
      </c>
      <c r="R101" s="10" t="str">
        <f>IF(tblSales[[#This Row],[Key]]="","",IFERROR(INDEX(ตารางรวม!$E:$E,MATCH(tblSales[[#This Row],[Key]],ตารางรวม!$Z:$Z,0))*tblSales[[#This Row],[จำนวนแก้ว]],0))</f>
        <v/>
      </c>
      <c r="S101" s="10" t="str">
        <f>IF(tblSales[[#This Row],[Key]]="","",IFERROR(INDEX(ตารางรวม!$F:$F,MATCH(tblSales[[#This Row],[Key]],ตารางรวม!$Z:$Z,0))*tblSales[[#This Row],[จำนวนแก้ว]],0))</f>
        <v/>
      </c>
      <c r="T101" s="10" t="str">
        <f>IF(tblSales[[#This Row],[Key]]="","",IFERROR(INDEX(ตารางรวม!$G:$G,MATCH(tblSales[[#This Row],[Key]],ตารางรวม!$Z:$Z,0))*tblSales[[#This Row],[จำนวนแก้ว]],0))</f>
        <v/>
      </c>
      <c r="U101" s="10" t="str">
        <f>IF(tblSales[[#This Row],[Key]]="","",IFERROR(INDEX(ตารางรวม!$H:$H,MATCH(tblSales[[#This Row],[Key]],ตารางรวม!$Z:$Z,0))*tblSales[[#This Row],[จำนวนแก้ว]],0))</f>
        <v/>
      </c>
      <c r="V101" s="10" t="str">
        <f>IF(tblSales[[#This Row],[Key]]="","",IFERROR(INDEX(ตารางรวม!$I:$I,MATCH(tblSales[[#This Row],[Key]],ตารางรวม!$Z:$Z,0))*tblSales[[#This Row],[จำนวนแก้ว]],0))</f>
        <v/>
      </c>
      <c r="W101" s="10" t="str">
        <f>IF(tblSales[[#This Row],[Key]]="","",IFERROR(INDEX(ตารางรวม!$J:$J,MATCH(tblSales[[#This Row],[Key]],ตารางรวม!$Z:$Z,0))*tblSales[[#This Row],[จำนวนแก้ว]],0))</f>
        <v/>
      </c>
      <c r="X101" s="10" t="str">
        <f>IF(tblSales[[#This Row],[Key]]="","",IFERROR(INDEX(ตารางรวม!$K:$K,MATCH(tblSales[[#This Row],[Key]],ตารางรวม!$Z:$Z,0))*tblSales[[#This Row],[จำนวนแก้ว]],0))</f>
        <v/>
      </c>
      <c r="Y101" s="10" t="str">
        <f>IF(tblSales[[#This Row],[Key]]="","",IFERROR(INDEX(ตารางรวม!$L:$L,MATCH(tblSales[[#This Row],[Key]],ตารางรวม!$Z:$Z,0))*tblSales[[#This Row],[จำนวนแก้ว]],0))</f>
        <v/>
      </c>
      <c r="Z10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1" s="10" t="str">
        <f>IF(tblSales[[#This Row],[Key]]="","",IF(tblSales[[#This Row],[ขนาด]]="16 oz",tblSales[[#This Row],[จำนวนแก้ว]],0))</f>
        <v/>
      </c>
      <c r="AI101" s="10" t="str">
        <f>IF(tblSales[[#This Row],[Key]]="","",IF(tblSales[[#This Row],[ขนาด]]="20 oz",tblSales[[#This Row],[จำนวนแก้ว]],0))</f>
        <v/>
      </c>
      <c r="AJ101" s="10" t="str">
        <f>IF(tblSales[[#This Row],[Key]]="","",IF(tblSales[[#This Row],[ขนาด]]="22 oz",tblSales[[#This Row],[จำนวนแก้ว]],0))</f>
        <v/>
      </c>
    </row>
    <row r="102" spans="1:36" x14ac:dyDescent="0.25">
      <c r="A102" s="4" t="str">
        <f>IF(tblSales[[#This Row],[วันที่]]="","","S"&amp;TEXT(tblSales[[#This Row],[วันที่]],"yymmdd")&amp;"-"&amp;TEXT(ROW()-5,"000"))</f>
        <v/>
      </c>
      <c r="B102" s="16"/>
      <c r="C102" s="6"/>
      <c r="D102" s="6"/>
      <c r="E102" s="20"/>
      <c r="F102" s="6"/>
      <c r="G102" s="6"/>
      <c r="H102" s="6"/>
      <c r="I102" s="6"/>
      <c r="J10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2" s="8" t="str">
        <f>IF(tblSales[[#This Row],[Key]]="","",IFERROR(INDEX(ตารางรวม!$W:$W,MATCH(tblSales[[#This Row],[Key]],ตารางรวม!$Z:$Z,0)),"ไม่พบสูตร"))</f>
        <v/>
      </c>
      <c r="L102" s="8" t="str">
        <f>IF(tblSales[[#This Row],[Key]]="","",IFERROR(INDEX(ตารางรวม!$V:$V,MATCH(tblSales[[#This Row],[Key]],ตารางรวม!$Z:$Z,0)),"ไม่พบสูตร"))</f>
        <v/>
      </c>
      <c r="M102" s="8" t="str">
        <f>IF(tblSales[[#This Row],[Key]]="","",IFERROR(tblSales[[#This Row],[ราคาต่อแก้ว]]*tblSales[[#This Row],[จำนวนแก้ว]],""))</f>
        <v/>
      </c>
      <c r="N102" s="8" t="str">
        <f>IF(tblSales[[#This Row],[Key]]="","",IFERROR(tblSales[[#This Row],[ต้นทุนต่อแก้ว]]*tblSales[[#This Row],[จำนวนแก้ว]],""))</f>
        <v/>
      </c>
      <c r="O102" s="8" t="str">
        <f>IF(tblSales[[#This Row],[Key]]="","",IFERROR(tblSales[[#This Row],[ยอดขาย (บาท)]]-tblSales[[#This Row],[ต้นทุนรวม (บาท)]],""))</f>
        <v/>
      </c>
      <c r="P102" s="21" t="str">
        <f>IF(tblSales[[#This Row],[Key]]="","",IFERROR(tblSales[[#This Row],[กำไร (บาท)]]/tblSales[[#This Row],[ยอดขาย (บาท)]],""))</f>
        <v/>
      </c>
      <c r="Q102" s="10" t="str">
        <f>IF(tblSales[[#This Row],[Key]]="","",IFERROR(INDEX(ตารางรวม!$D:$D,MATCH(tblSales[[#This Row],[Key]],ตารางรวม!$Z:$Z,0))*tblSales[[#This Row],[จำนวนแก้ว]],0))</f>
        <v/>
      </c>
      <c r="R102" s="10" t="str">
        <f>IF(tblSales[[#This Row],[Key]]="","",IFERROR(INDEX(ตารางรวม!$E:$E,MATCH(tblSales[[#This Row],[Key]],ตารางรวม!$Z:$Z,0))*tblSales[[#This Row],[จำนวนแก้ว]],0))</f>
        <v/>
      </c>
      <c r="S102" s="10" t="str">
        <f>IF(tblSales[[#This Row],[Key]]="","",IFERROR(INDEX(ตารางรวม!$F:$F,MATCH(tblSales[[#This Row],[Key]],ตารางรวม!$Z:$Z,0))*tblSales[[#This Row],[จำนวนแก้ว]],0))</f>
        <v/>
      </c>
      <c r="T102" s="10" t="str">
        <f>IF(tblSales[[#This Row],[Key]]="","",IFERROR(INDEX(ตารางรวม!$G:$G,MATCH(tblSales[[#This Row],[Key]],ตารางรวม!$Z:$Z,0))*tblSales[[#This Row],[จำนวนแก้ว]],0))</f>
        <v/>
      </c>
      <c r="U102" s="10" t="str">
        <f>IF(tblSales[[#This Row],[Key]]="","",IFERROR(INDEX(ตารางรวม!$H:$H,MATCH(tblSales[[#This Row],[Key]],ตารางรวม!$Z:$Z,0))*tblSales[[#This Row],[จำนวนแก้ว]],0))</f>
        <v/>
      </c>
      <c r="V102" s="10" t="str">
        <f>IF(tblSales[[#This Row],[Key]]="","",IFERROR(INDEX(ตารางรวม!$I:$I,MATCH(tblSales[[#This Row],[Key]],ตารางรวม!$Z:$Z,0))*tblSales[[#This Row],[จำนวนแก้ว]],0))</f>
        <v/>
      </c>
      <c r="W102" s="10" t="str">
        <f>IF(tblSales[[#This Row],[Key]]="","",IFERROR(INDEX(ตารางรวม!$J:$J,MATCH(tblSales[[#This Row],[Key]],ตารางรวม!$Z:$Z,0))*tblSales[[#This Row],[จำนวนแก้ว]],0))</f>
        <v/>
      </c>
      <c r="X102" s="10" t="str">
        <f>IF(tblSales[[#This Row],[Key]]="","",IFERROR(INDEX(ตารางรวม!$K:$K,MATCH(tblSales[[#This Row],[Key]],ตารางรวม!$Z:$Z,0))*tblSales[[#This Row],[จำนวนแก้ว]],0))</f>
        <v/>
      </c>
      <c r="Y102" s="10" t="str">
        <f>IF(tblSales[[#This Row],[Key]]="","",IFERROR(INDEX(ตารางรวม!$L:$L,MATCH(tblSales[[#This Row],[Key]],ตารางรวม!$Z:$Z,0))*tblSales[[#This Row],[จำนวนแก้ว]],0))</f>
        <v/>
      </c>
      <c r="Z10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2" s="10" t="str">
        <f>IF(tblSales[[#This Row],[Key]]="","",IF(tblSales[[#This Row],[ขนาด]]="16 oz",tblSales[[#This Row],[จำนวนแก้ว]],0))</f>
        <v/>
      </c>
      <c r="AI102" s="10" t="str">
        <f>IF(tblSales[[#This Row],[Key]]="","",IF(tblSales[[#This Row],[ขนาด]]="20 oz",tblSales[[#This Row],[จำนวนแก้ว]],0))</f>
        <v/>
      </c>
      <c r="AJ102" s="10" t="str">
        <f>IF(tblSales[[#This Row],[Key]]="","",IF(tblSales[[#This Row],[ขนาด]]="22 oz",tblSales[[#This Row],[จำนวนแก้ว]],0))</f>
        <v/>
      </c>
    </row>
    <row r="103" spans="1:36" x14ac:dyDescent="0.25">
      <c r="A103" s="4" t="str">
        <f>IF(tblSales[[#This Row],[วันที่]]="","","S"&amp;TEXT(tblSales[[#This Row],[วันที่]],"yymmdd")&amp;"-"&amp;TEXT(ROW()-5,"000"))</f>
        <v/>
      </c>
      <c r="B103" s="16"/>
      <c r="C103" s="6"/>
      <c r="D103" s="6"/>
      <c r="E103" s="20"/>
      <c r="F103" s="6"/>
      <c r="G103" s="6"/>
      <c r="H103" s="6"/>
      <c r="I103" s="6"/>
      <c r="J10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3" s="8" t="str">
        <f>IF(tblSales[[#This Row],[Key]]="","",IFERROR(INDEX(ตารางรวม!$W:$W,MATCH(tblSales[[#This Row],[Key]],ตารางรวม!$Z:$Z,0)),"ไม่พบสูตร"))</f>
        <v/>
      </c>
      <c r="L103" s="8" t="str">
        <f>IF(tblSales[[#This Row],[Key]]="","",IFERROR(INDEX(ตารางรวม!$V:$V,MATCH(tblSales[[#This Row],[Key]],ตารางรวม!$Z:$Z,0)),"ไม่พบสูตร"))</f>
        <v/>
      </c>
      <c r="M103" s="8" t="str">
        <f>IF(tblSales[[#This Row],[Key]]="","",IFERROR(tblSales[[#This Row],[ราคาต่อแก้ว]]*tblSales[[#This Row],[จำนวนแก้ว]],""))</f>
        <v/>
      </c>
      <c r="N103" s="8" t="str">
        <f>IF(tblSales[[#This Row],[Key]]="","",IFERROR(tblSales[[#This Row],[ต้นทุนต่อแก้ว]]*tblSales[[#This Row],[จำนวนแก้ว]],""))</f>
        <v/>
      </c>
      <c r="O103" s="8" t="str">
        <f>IF(tblSales[[#This Row],[Key]]="","",IFERROR(tblSales[[#This Row],[ยอดขาย (บาท)]]-tblSales[[#This Row],[ต้นทุนรวม (บาท)]],""))</f>
        <v/>
      </c>
      <c r="P103" s="21" t="str">
        <f>IF(tblSales[[#This Row],[Key]]="","",IFERROR(tblSales[[#This Row],[กำไร (บาท)]]/tblSales[[#This Row],[ยอดขาย (บาท)]],""))</f>
        <v/>
      </c>
      <c r="Q103" s="10" t="str">
        <f>IF(tblSales[[#This Row],[Key]]="","",IFERROR(INDEX(ตารางรวม!$D:$D,MATCH(tblSales[[#This Row],[Key]],ตารางรวม!$Z:$Z,0))*tblSales[[#This Row],[จำนวนแก้ว]],0))</f>
        <v/>
      </c>
      <c r="R103" s="10" t="str">
        <f>IF(tblSales[[#This Row],[Key]]="","",IFERROR(INDEX(ตารางรวม!$E:$E,MATCH(tblSales[[#This Row],[Key]],ตารางรวม!$Z:$Z,0))*tblSales[[#This Row],[จำนวนแก้ว]],0))</f>
        <v/>
      </c>
      <c r="S103" s="10" t="str">
        <f>IF(tblSales[[#This Row],[Key]]="","",IFERROR(INDEX(ตารางรวม!$F:$F,MATCH(tblSales[[#This Row],[Key]],ตารางรวม!$Z:$Z,0))*tblSales[[#This Row],[จำนวนแก้ว]],0))</f>
        <v/>
      </c>
      <c r="T103" s="10" t="str">
        <f>IF(tblSales[[#This Row],[Key]]="","",IFERROR(INDEX(ตารางรวม!$G:$G,MATCH(tblSales[[#This Row],[Key]],ตารางรวม!$Z:$Z,0))*tblSales[[#This Row],[จำนวนแก้ว]],0))</f>
        <v/>
      </c>
      <c r="U103" s="10" t="str">
        <f>IF(tblSales[[#This Row],[Key]]="","",IFERROR(INDEX(ตารางรวม!$H:$H,MATCH(tblSales[[#This Row],[Key]],ตารางรวม!$Z:$Z,0))*tblSales[[#This Row],[จำนวนแก้ว]],0))</f>
        <v/>
      </c>
      <c r="V103" s="10" t="str">
        <f>IF(tblSales[[#This Row],[Key]]="","",IFERROR(INDEX(ตารางรวม!$I:$I,MATCH(tblSales[[#This Row],[Key]],ตารางรวม!$Z:$Z,0))*tblSales[[#This Row],[จำนวนแก้ว]],0))</f>
        <v/>
      </c>
      <c r="W103" s="10" t="str">
        <f>IF(tblSales[[#This Row],[Key]]="","",IFERROR(INDEX(ตารางรวม!$J:$J,MATCH(tblSales[[#This Row],[Key]],ตารางรวม!$Z:$Z,0))*tblSales[[#This Row],[จำนวนแก้ว]],0))</f>
        <v/>
      </c>
      <c r="X103" s="10" t="str">
        <f>IF(tblSales[[#This Row],[Key]]="","",IFERROR(INDEX(ตารางรวม!$K:$K,MATCH(tblSales[[#This Row],[Key]],ตารางรวม!$Z:$Z,0))*tblSales[[#This Row],[จำนวนแก้ว]],0))</f>
        <v/>
      </c>
      <c r="Y103" s="10" t="str">
        <f>IF(tblSales[[#This Row],[Key]]="","",IFERROR(INDEX(ตารางรวม!$L:$L,MATCH(tblSales[[#This Row],[Key]],ตารางรวม!$Z:$Z,0))*tblSales[[#This Row],[จำนวนแก้ว]],0))</f>
        <v/>
      </c>
      <c r="Z10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3" s="10" t="str">
        <f>IF(tblSales[[#This Row],[Key]]="","",IF(tblSales[[#This Row],[ขนาด]]="16 oz",tblSales[[#This Row],[จำนวนแก้ว]],0))</f>
        <v/>
      </c>
      <c r="AI103" s="10" t="str">
        <f>IF(tblSales[[#This Row],[Key]]="","",IF(tblSales[[#This Row],[ขนาด]]="20 oz",tblSales[[#This Row],[จำนวนแก้ว]],0))</f>
        <v/>
      </c>
      <c r="AJ103" s="10" t="str">
        <f>IF(tblSales[[#This Row],[Key]]="","",IF(tblSales[[#This Row],[ขนาด]]="22 oz",tblSales[[#This Row],[จำนวนแก้ว]],0))</f>
        <v/>
      </c>
    </row>
    <row r="104" spans="1:36" x14ac:dyDescent="0.25">
      <c r="A104" s="4" t="str">
        <f>IF(tblSales[[#This Row],[วันที่]]="","","S"&amp;TEXT(tblSales[[#This Row],[วันที่]],"yymmdd")&amp;"-"&amp;TEXT(ROW()-5,"000"))</f>
        <v/>
      </c>
      <c r="B104" s="16"/>
      <c r="C104" s="6"/>
      <c r="D104" s="6"/>
      <c r="E104" s="20"/>
      <c r="F104" s="6"/>
      <c r="G104" s="6"/>
      <c r="H104" s="6"/>
      <c r="I104" s="6"/>
      <c r="J10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4" s="8" t="str">
        <f>IF(tblSales[[#This Row],[Key]]="","",IFERROR(INDEX(ตารางรวม!$W:$W,MATCH(tblSales[[#This Row],[Key]],ตารางรวม!$Z:$Z,0)),"ไม่พบสูตร"))</f>
        <v/>
      </c>
      <c r="L104" s="8" t="str">
        <f>IF(tblSales[[#This Row],[Key]]="","",IFERROR(INDEX(ตารางรวม!$V:$V,MATCH(tblSales[[#This Row],[Key]],ตารางรวม!$Z:$Z,0)),"ไม่พบสูตร"))</f>
        <v/>
      </c>
      <c r="M104" s="8" t="str">
        <f>IF(tblSales[[#This Row],[Key]]="","",IFERROR(tblSales[[#This Row],[ราคาต่อแก้ว]]*tblSales[[#This Row],[จำนวนแก้ว]],""))</f>
        <v/>
      </c>
      <c r="N104" s="8" t="str">
        <f>IF(tblSales[[#This Row],[Key]]="","",IFERROR(tblSales[[#This Row],[ต้นทุนต่อแก้ว]]*tblSales[[#This Row],[จำนวนแก้ว]],""))</f>
        <v/>
      </c>
      <c r="O104" s="8" t="str">
        <f>IF(tblSales[[#This Row],[Key]]="","",IFERROR(tblSales[[#This Row],[ยอดขาย (บาท)]]-tblSales[[#This Row],[ต้นทุนรวม (บาท)]],""))</f>
        <v/>
      </c>
      <c r="P104" s="21" t="str">
        <f>IF(tblSales[[#This Row],[Key]]="","",IFERROR(tblSales[[#This Row],[กำไร (บาท)]]/tblSales[[#This Row],[ยอดขาย (บาท)]],""))</f>
        <v/>
      </c>
      <c r="Q104" s="10" t="str">
        <f>IF(tblSales[[#This Row],[Key]]="","",IFERROR(INDEX(ตารางรวม!$D:$D,MATCH(tblSales[[#This Row],[Key]],ตารางรวม!$Z:$Z,0))*tblSales[[#This Row],[จำนวนแก้ว]],0))</f>
        <v/>
      </c>
      <c r="R104" s="10" t="str">
        <f>IF(tblSales[[#This Row],[Key]]="","",IFERROR(INDEX(ตารางรวม!$E:$E,MATCH(tblSales[[#This Row],[Key]],ตารางรวม!$Z:$Z,0))*tblSales[[#This Row],[จำนวนแก้ว]],0))</f>
        <v/>
      </c>
      <c r="S104" s="10" t="str">
        <f>IF(tblSales[[#This Row],[Key]]="","",IFERROR(INDEX(ตารางรวม!$F:$F,MATCH(tblSales[[#This Row],[Key]],ตารางรวม!$Z:$Z,0))*tblSales[[#This Row],[จำนวนแก้ว]],0))</f>
        <v/>
      </c>
      <c r="T104" s="10" t="str">
        <f>IF(tblSales[[#This Row],[Key]]="","",IFERROR(INDEX(ตารางรวม!$G:$G,MATCH(tblSales[[#This Row],[Key]],ตารางรวม!$Z:$Z,0))*tblSales[[#This Row],[จำนวนแก้ว]],0))</f>
        <v/>
      </c>
      <c r="U104" s="10" t="str">
        <f>IF(tblSales[[#This Row],[Key]]="","",IFERROR(INDEX(ตารางรวม!$H:$H,MATCH(tblSales[[#This Row],[Key]],ตารางรวม!$Z:$Z,0))*tblSales[[#This Row],[จำนวนแก้ว]],0))</f>
        <v/>
      </c>
      <c r="V104" s="10" t="str">
        <f>IF(tblSales[[#This Row],[Key]]="","",IFERROR(INDEX(ตารางรวม!$I:$I,MATCH(tblSales[[#This Row],[Key]],ตารางรวม!$Z:$Z,0))*tblSales[[#This Row],[จำนวนแก้ว]],0))</f>
        <v/>
      </c>
      <c r="W104" s="10" t="str">
        <f>IF(tblSales[[#This Row],[Key]]="","",IFERROR(INDEX(ตารางรวม!$J:$J,MATCH(tblSales[[#This Row],[Key]],ตารางรวม!$Z:$Z,0))*tblSales[[#This Row],[จำนวนแก้ว]],0))</f>
        <v/>
      </c>
      <c r="X104" s="10" t="str">
        <f>IF(tblSales[[#This Row],[Key]]="","",IFERROR(INDEX(ตารางรวม!$K:$K,MATCH(tblSales[[#This Row],[Key]],ตารางรวม!$Z:$Z,0))*tblSales[[#This Row],[จำนวนแก้ว]],0))</f>
        <v/>
      </c>
      <c r="Y104" s="10" t="str">
        <f>IF(tblSales[[#This Row],[Key]]="","",IFERROR(INDEX(ตารางรวม!$L:$L,MATCH(tblSales[[#This Row],[Key]],ตารางรวม!$Z:$Z,0))*tblSales[[#This Row],[จำนวนแก้ว]],0))</f>
        <v/>
      </c>
      <c r="Z10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4" s="10" t="str">
        <f>IF(tblSales[[#This Row],[Key]]="","",IF(tblSales[[#This Row],[ขนาด]]="16 oz",tblSales[[#This Row],[จำนวนแก้ว]],0))</f>
        <v/>
      </c>
      <c r="AI104" s="10" t="str">
        <f>IF(tblSales[[#This Row],[Key]]="","",IF(tblSales[[#This Row],[ขนาด]]="20 oz",tblSales[[#This Row],[จำนวนแก้ว]],0))</f>
        <v/>
      </c>
      <c r="AJ104" s="10" t="str">
        <f>IF(tblSales[[#This Row],[Key]]="","",IF(tblSales[[#This Row],[ขนาด]]="22 oz",tblSales[[#This Row],[จำนวนแก้ว]],0))</f>
        <v/>
      </c>
    </row>
    <row r="105" spans="1:36" x14ac:dyDescent="0.25">
      <c r="A105" s="4" t="str">
        <f>IF(tblSales[[#This Row],[วันที่]]="","","S"&amp;TEXT(tblSales[[#This Row],[วันที่]],"yymmdd")&amp;"-"&amp;TEXT(ROW()-5,"000"))</f>
        <v/>
      </c>
      <c r="B105" s="16"/>
      <c r="C105" s="6"/>
      <c r="D105" s="6"/>
      <c r="E105" s="20"/>
      <c r="F105" s="6"/>
      <c r="G105" s="6"/>
      <c r="H105" s="6"/>
      <c r="I105" s="6"/>
      <c r="J10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5" s="8" t="str">
        <f>IF(tblSales[[#This Row],[Key]]="","",IFERROR(INDEX(ตารางรวม!$W:$W,MATCH(tblSales[[#This Row],[Key]],ตารางรวม!$Z:$Z,0)),"ไม่พบสูตร"))</f>
        <v/>
      </c>
      <c r="L105" s="8" t="str">
        <f>IF(tblSales[[#This Row],[Key]]="","",IFERROR(INDEX(ตารางรวม!$V:$V,MATCH(tblSales[[#This Row],[Key]],ตารางรวม!$Z:$Z,0)),"ไม่พบสูตร"))</f>
        <v/>
      </c>
      <c r="M105" s="8" t="str">
        <f>IF(tblSales[[#This Row],[Key]]="","",IFERROR(tblSales[[#This Row],[ราคาต่อแก้ว]]*tblSales[[#This Row],[จำนวนแก้ว]],""))</f>
        <v/>
      </c>
      <c r="N105" s="8" t="str">
        <f>IF(tblSales[[#This Row],[Key]]="","",IFERROR(tblSales[[#This Row],[ต้นทุนต่อแก้ว]]*tblSales[[#This Row],[จำนวนแก้ว]],""))</f>
        <v/>
      </c>
      <c r="O105" s="8" t="str">
        <f>IF(tblSales[[#This Row],[Key]]="","",IFERROR(tblSales[[#This Row],[ยอดขาย (บาท)]]-tblSales[[#This Row],[ต้นทุนรวม (บาท)]],""))</f>
        <v/>
      </c>
      <c r="P105" s="21" t="str">
        <f>IF(tblSales[[#This Row],[Key]]="","",IFERROR(tblSales[[#This Row],[กำไร (บาท)]]/tblSales[[#This Row],[ยอดขาย (บาท)]],""))</f>
        <v/>
      </c>
      <c r="Q105" s="10" t="str">
        <f>IF(tblSales[[#This Row],[Key]]="","",IFERROR(INDEX(ตารางรวม!$D:$D,MATCH(tblSales[[#This Row],[Key]],ตารางรวม!$Z:$Z,0))*tblSales[[#This Row],[จำนวนแก้ว]],0))</f>
        <v/>
      </c>
      <c r="R105" s="10" t="str">
        <f>IF(tblSales[[#This Row],[Key]]="","",IFERROR(INDEX(ตารางรวม!$E:$E,MATCH(tblSales[[#This Row],[Key]],ตารางรวม!$Z:$Z,0))*tblSales[[#This Row],[จำนวนแก้ว]],0))</f>
        <v/>
      </c>
      <c r="S105" s="10" t="str">
        <f>IF(tblSales[[#This Row],[Key]]="","",IFERROR(INDEX(ตารางรวม!$F:$F,MATCH(tblSales[[#This Row],[Key]],ตารางรวม!$Z:$Z,0))*tblSales[[#This Row],[จำนวนแก้ว]],0))</f>
        <v/>
      </c>
      <c r="T105" s="10" t="str">
        <f>IF(tblSales[[#This Row],[Key]]="","",IFERROR(INDEX(ตารางรวม!$G:$G,MATCH(tblSales[[#This Row],[Key]],ตารางรวม!$Z:$Z,0))*tblSales[[#This Row],[จำนวนแก้ว]],0))</f>
        <v/>
      </c>
      <c r="U105" s="10" t="str">
        <f>IF(tblSales[[#This Row],[Key]]="","",IFERROR(INDEX(ตารางรวม!$H:$H,MATCH(tblSales[[#This Row],[Key]],ตารางรวม!$Z:$Z,0))*tblSales[[#This Row],[จำนวนแก้ว]],0))</f>
        <v/>
      </c>
      <c r="V105" s="10" t="str">
        <f>IF(tblSales[[#This Row],[Key]]="","",IFERROR(INDEX(ตารางรวม!$I:$I,MATCH(tblSales[[#This Row],[Key]],ตารางรวม!$Z:$Z,0))*tblSales[[#This Row],[จำนวนแก้ว]],0))</f>
        <v/>
      </c>
      <c r="W105" s="10" t="str">
        <f>IF(tblSales[[#This Row],[Key]]="","",IFERROR(INDEX(ตารางรวม!$J:$J,MATCH(tblSales[[#This Row],[Key]],ตารางรวม!$Z:$Z,0))*tblSales[[#This Row],[จำนวนแก้ว]],0))</f>
        <v/>
      </c>
      <c r="X105" s="10" t="str">
        <f>IF(tblSales[[#This Row],[Key]]="","",IFERROR(INDEX(ตารางรวม!$K:$K,MATCH(tblSales[[#This Row],[Key]],ตารางรวม!$Z:$Z,0))*tblSales[[#This Row],[จำนวนแก้ว]],0))</f>
        <v/>
      </c>
      <c r="Y105" s="10" t="str">
        <f>IF(tblSales[[#This Row],[Key]]="","",IFERROR(INDEX(ตารางรวม!$L:$L,MATCH(tblSales[[#This Row],[Key]],ตารางรวม!$Z:$Z,0))*tblSales[[#This Row],[จำนวนแก้ว]],0))</f>
        <v/>
      </c>
      <c r="Z10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5" s="10" t="str">
        <f>IF(tblSales[[#This Row],[Key]]="","",IF(tblSales[[#This Row],[ขนาด]]="16 oz",tblSales[[#This Row],[จำนวนแก้ว]],0))</f>
        <v/>
      </c>
      <c r="AI105" s="10" t="str">
        <f>IF(tblSales[[#This Row],[Key]]="","",IF(tblSales[[#This Row],[ขนาด]]="20 oz",tblSales[[#This Row],[จำนวนแก้ว]],0))</f>
        <v/>
      </c>
      <c r="AJ105" s="10" t="str">
        <f>IF(tblSales[[#This Row],[Key]]="","",IF(tblSales[[#This Row],[ขนาด]]="22 oz",tblSales[[#This Row],[จำนวนแก้ว]],0))</f>
        <v/>
      </c>
    </row>
    <row r="106" spans="1:36" x14ac:dyDescent="0.25">
      <c r="A106" s="4" t="str">
        <f>IF(tblSales[[#This Row],[วันที่]]="","","S"&amp;TEXT(tblSales[[#This Row],[วันที่]],"yymmdd")&amp;"-"&amp;TEXT(ROW()-5,"000"))</f>
        <v/>
      </c>
      <c r="B106" s="16"/>
      <c r="C106" s="6"/>
      <c r="D106" s="6"/>
      <c r="E106" s="20"/>
      <c r="F106" s="6"/>
      <c r="G106" s="6"/>
      <c r="H106" s="6"/>
      <c r="I106" s="6"/>
      <c r="J10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6" s="8" t="str">
        <f>IF(tblSales[[#This Row],[Key]]="","",IFERROR(INDEX(ตารางรวม!$W:$W,MATCH(tblSales[[#This Row],[Key]],ตารางรวม!$Z:$Z,0)),"ไม่พบสูตร"))</f>
        <v/>
      </c>
      <c r="L106" s="8" t="str">
        <f>IF(tblSales[[#This Row],[Key]]="","",IFERROR(INDEX(ตารางรวม!$V:$V,MATCH(tblSales[[#This Row],[Key]],ตารางรวม!$Z:$Z,0)),"ไม่พบสูตร"))</f>
        <v/>
      </c>
      <c r="M106" s="8" t="str">
        <f>IF(tblSales[[#This Row],[Key]]="","",IFERROR(tblSales[[#This Row],[ราคาต่อแก้ว]]*tblSales[[#This Row],[จำนวนแก้ว]],""))</f>
        <v/>
      </c>
      <c r="N106" s="8" t="str">
        <f>IF(tblSales[[#This Row],[Key]]="","",IFERROR(tblSales[[#This Row],[ต้นทุนต่อแก้ว]]*tblSales[[#This Row],[จำนวนแก้ว]],""))</f>
        <v/>
      </c>
      <c r="O106" s="8" t="str">
        <f>IF(tblSales[[#This Row],[Key]]="","",IFERROR(tblSales[[#This Row],[ยอดขาย (บาท)]]-tblSales[[#This Row],[ต้นทุนรวม (บาท)]],""))</f>
        <v/>
      </c>
      <c r="P106" s="21" t="str">
        <f>IF(tblSales[[#This Row],[Key]]="","",IFERROR(tblSales[[#This Row],[กำไร (บาท)]]/tblSales[[#This Row],[ยอดขาย (บาท)]],""))</f>
        <v/>
      </c>
      <c r="Q106" s="10" t="str">
        <f>IF(tblSales[[#This Row],[Key]]="","",IFERROR(INDEX(ตารางรวม!$D:$D,MATCH(tblSales[[#This Row],[Key]],ตารางรวม!$Z:$Z,0))*tblSales[[#This Row],[จำนวนแก้ว]],0))</f>
        <v/>
      </c>
      <c r="R106" s="10" t="str">
        <f>IF(tblSales[[#This Row],[Key]]="","",IFERROR(INDEX(ตารางรวม!$E:$E,MATCH(tblSales[[#This Row],[Key]],ตารางรวม!$Z:$Z,0))*tblSales[[#This Row],[จำนวนแก้ว]],0))</f>
        <v/>
      </c>
      <c r="S106" s="10" t="str">
        <f>IF(tblSales[[#This Row],[Key]]="","",IFERROR(INDEX(ตารางรวม!$F:$F,MATCH(tblSales[[#This Row],[Key]],ตารางรวม!$Z:$Z,0))*tblSales[[#This Row],[จำนวนแก้ว]],0))</f>
        <v/>
      </c>
      <c r="T106" s="10" t="str">
        <f>IF(tblSales[[#This Row],[Key]]="","",IFERROR(INDEX(ตารางรวม!$G:$G,MATCH(tblSales[[#This Row],[Key]],ตารางรวม!$Z:$Z,0))*tblSales[[#This Row],[จำนวนแก้ว]],0))</f>
        <v/>
      </c>
      <c r="U106" s="10" t="str">
        <f>IF(tblSales[[#This Row],[Key]]="","",IFERROR(INDEX(ตารางรวม!$H:$H,MATCH(tblSales[[#This Row],[Key]],ตารางรวม!$Z:$Z,0))*tblSales[[#This Row],[จำนวนแก้ว]],0))</f>
        <v/>
      </c>
      <c r="V106" s="10" t="str">
        <f>IF(tblSales[[#This Row],[Key]]="","",IFERROR(INDEX(ตารางรวม!$I:$I,MATCH(tblSales[[#This Row],[Key]],ตารางรวม!$Z:$Z,0))*tblSales[[#This Row],[จำนวนแก้ว]],0))</f>
        <v/>
      </c>
      <c r="W106" s="10" t="str">
        <f>IF(tblSales[[#This Row],[Key]]="","",IFERROR(INDEX(ตารางรวม!$J:$J,MATCH(tblSales[[#This Row],[Key]],ตารางรวม!$Z:$Z,0))*tblSales[[#This Row],[จำนวนแก้ว]],0))</f>
        <v/>
      </c>
      <c r="X106" s="10" t="str">
        <f>IF(tblSales[[#This Row],[Key]]="","",IFERROR(INDEX(ตารางรวม!$K:$K,MATCH(tblSales[[#This Row],[Key]],ตารางรวม!$Z:$Z,0))*tblSales[[#This Row],[จำนวนแก้ว]],0))</f>
        <v/>
      </c>
      <c r="Y106" s="10" t="str">
        <f>IF(tblSales[[#This Row],[Key]]="","",IFERROR(INDEX(ตารางรวม!$L:$L,MATCH(tblSales[[#This Row],[Key]],ตารางรวม!$Z:$Z,0))*tblSales[[#This Row],[จำนวนแก้ว]],0))</f>
        <v/>
      </c>
      <c r="Z10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6" s="10" t="str">
        <f>IF(tblSales[[#This Row],[Key]]="","",IF(tblSales[[#This Row],[ขนาด]]="16 oz",tblSales[[#This Row],[จำนวนแก้ว]],0))</f>
        <v/>
      </c>
      <c r="AI106" s="10" t="str">
        <f>IF(tblSales[[#This Row],[Key]]="","",IF(tblSales[[#This Row],[ขนาด]]="20 oz",tblSales[[#This Row],[จำนวนแก้ว]],0))</f>
        <v/>
      </c>
      <c r="AJ106" s="10" t="str">
        <f>IF(tblSales[[#This Row],[Key]]="","",IF(tblSales[[#This Row],[ขนาด]]="22 oz",tblSales[[#This Row],[จำนวนแก้ว]],0))</f>
        <v/>
      </c>
    </row>
    <row r="107" spans="1:36" x14ac:dyDescent="0.25">
      <c r="A107" s="4" t="str">
        <f>IF(tblSales[[#This Row],[วันที่]]="","","S"&amp;TEXT(tblSales[[#This Row],[วันที่]],"yymmdd")&amp;"-"&amp;TEXT(ROW()-5,"000"))</f>
        <v/>
      </c>
      <c r="B107" s="16"/>
      <c r="C107" s="6"/>
      <c r="D107" s="6"/>
      <c r="E107" s="20"/>
      <c r="F107" s="6"/>
      <c r="G107" s="6"/>
      <c r="H107" s="6"/>
      <c r="I107" s="6"/>
      <c r="J10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7" s="8" t="str">
        <f>IF(tblSales[[#This Row],[Key]]="","",IFERROR(INDEX(ตารางรวม!$W:$W,MATCH(tblSales[[#This Row],[Key]],ตารางรวม!$Z:$Z,0)),"ไม่พบสูตร"))</f>
        <v/>
      </c>
      <c r="L107" s="8" t="str">
        <f>IF(tblSales[[#This Row],[Key]]="","",IFERROR(INDEX(ตารางรวม!$V:$V,MATCH(tblSales[[#This Row],[Key]],ตารางรวม!$Z:$Z,0)),"ไม่พบสูตร"))</f>
        <v/>
      </c>
      <c r="M107" s="8" t="str">
        <f>IF(tblSales[[#This Row],[Key]]="","",IFERROR(tblSales[[#This Row],[ราคาต่อแก้ว]]*tblSales[[#This Row],[จำนวนแก้ว]],""))</f>
        <v/>
      </c>
      <c r="N107" s="8" t="str">
        <f>IF(tblSales[[#This Row],[Key]]="","",IFERROR(tblSales[[#This Row],[ต้นทุนต่อแก้ว]]*tblSales[[#This Row],[จำนวนแก้ว]],""))</f>
        <v/>
      </c>
      <c r="O107" s="8" t="str">
        <f>IF(tblSales[[#This Row],[Key]]="","",IFERROR(tblSales[[#This Row],[ยอดขาย (บาท)]]-tblSales[[#This Row],[ต้นทุนรวม (บาท)]],""))</f>
        <v/>
      </c>
      <c r="P107" s="21" t="str">
        <f>IF(tblSales[[#This Row],[Key]]="","",IFERROR(tblSales[[#This Row],[กำไร (บาท)]]/tblSales[[#This Row],[ยอดขาย (บาท)]],""))</f>
        <v/>
      </c>
      <c r="Q107" s="10" t="str">
        <f>IF(tblSales[[#This Row],[Key]]="","",IFERROR(INDEX(ตารางรวม!$D:$D,MATCH(tblSales[[#This Row],[Key]],ตารางรวม!$Z:$Z,0))*tblSales[[#This Row],[จำนวนแก้ว]],0))</f>
        <v/>
      </c>
      <c r="R107" s="10" t="str">
        <f>IF(tblSales[[#This Row],[Key]]="","",IFERROR(INDEX(ตารางรวม!$E:$E,MATCH(tblSales[[#This Row],[Key]],ตารางรวม!$Z:$Z,0))*tblSales[[#This Row],[จำนวนแก้ว]],0))</f>
        <v/>
      </c>
      <c r="S107" s="10" t="str">
        <f>IF(tblSales[[#This Row],[Key]]="","",IFERROR(INDEX(ตารางรวม!$F:$F,MATCH(tblSales[[#This Row],[Key]],ตารางรวม!$Z:$Z,0))*tblSales[[#This Row],[จำนวนแก้ว]],0))</f>
        <v/>
      </c>
      <c r="T107" s="10" t="str">
        <f>IF(tblSales[[#This Row],[Key]]="","",IFERROR(INDEX(ตารางรวม!$G:$G,MATCH(tblSales[[#This Row],[Key]],ตารางรวม!$Z:$Z,0))*tblSales[[#This Row],[จำนวนแก้ว]],0))</f>
        <v/>
      </c>
      <c r="U107" s="10" t="str">
        <f>IF(tblSales[[#This Row],[Key]]="","",IFERROR(INDEX(ตารางรวม!$H:$H,MATCH(tblSales[[#This Row],[Key]],ตารางรวม!$Z:$Z,0))*tblSales[[#This Row],[จำนวนแก้ว]],0))</f>
        <v/>
      </c>
      <c r="V107" s="10" t="str">
        <f>IF(tblSales[[#This Row],[Key]]="","",IFERROR(INDEX(ตารางรวม!$I:$I,MATCH(tblSales[[#This Row],[Key]],ตารางรวม!$Z:$Z,0))*tblSales[[#This Row],[จำนวนแก้ว]],0))</f>
        <v/>
      </c>
      <c r="W107" s="10" t="str">
        <f>IF(tblSales[[#This Row],[Key]]="","",IFERROR(INDEX(ตารางรวม!$J:$J,MATCH(tblSales[[#This Row],[Key]],ตารางรวม!$Z:$Z,0))*tblSales[[#This Row],[จำนวนแก้ว]],0))</f>
        <v/>
      </c>
      <c r="X107" s="10" t="str">
        <f>IF(tblSales[[#This Row],[Key]]="","",IFERROR(INDEX(ตารางรวม!$K:$K,MATCH(tblSales[[#This Row],[Key]],ตารางรวม!$Z:$Z,0))*tblSales[[#This Row],[จำนวนแก้ว]],0))</f>
        <v/>
      </c>
      <c r="Y107" s="10" t="str">
        <f>IF(tblSales[[#This Row],[Key]]="","",IFERROR(INDEX(ตารางรวม!$L:$L,MATCH(tblSales[[#This Row],[Key]],ตารางรวม!$Z:$Z,0))*tblSales[[#This Row],[จำนวนแก้ว]],0))</f>
        <v/>
      </c>
      <c r="Z10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7" s="10" t="str">
        <f>IF(tblSales[[#This Row],[Key]]="","",IF(tblSales[[#This Row],[ขนาด]]="16 oz",tblSales[[#This Row],[จำนวนแก้ว]],0))</f>
        <v/>
      </c>
      <c r="AI107" s="10" t="str">
        <f>IF(tblSales[[#This Row],[Key]]="","",IF(tblSales[[#This Row],[ขนาด]]="20 oz",tblSales[[#This Row],[จำนวนแก้ว]],0))</f>
        <v/>
      </c>
      <c r="AJ107" s="10" t="str">
        <f>IF(tblSales[[#This Row],[Key]]="","",IF(tblSales[[#This Row],[ขนาด]]="22 oz",tblSales[[#This Row],[จำนวนแก้ว]],0))</f>
        <v/>
      </c>
    </row>
    <row r="108" spans="1:36" x14ac:dyDescent="0.25">
      <c r="A108" s="4" t="str">
        <f>IF(tblSales[[#This Row],[วันที่]]="","","S"&amp;TEXT(tblSales[[#This Row],[วันที่]],"yymmdd")&amp;"-"&amp;TEXT(ROW()-5,"000"))</f>
        <v/>
      </c>
      <c r="B108" s="16"/>
      <c r="C108" s="6"/>
      <c r="D108" s="6"/>
      <c r="E108" s="20"/>
      <c r="F108" s="6"/>
      <c r="G108" s="6"/>
      <c r="H108" s="6"/>
      <c r="I108" s="6"/>
      <c r="J10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8" s="8" t="str">
        <f>IF(tblSales[[#This Row],[Key]]="","",IFERROR(INDEX(ตารางรวม!$W:$W,MATCH(tblSales[[#This Row],[Key]],ตารางรวม!$Z:$Z,0)),"ไม่พบสูตร"))</f>
        <v/>
      </c>
      <c r="L108" s="8" t="str">
        <f>IF(tblSales[[#This Row],[Key]]="","",IFERROR(INDEX(ตารางรวม!$V:$V,MATCH(tblSales[[#This Row],[Key]],ตารางรวม!$Z:$Z,0)),"ไม่พบสูตร"))</f>
        <v/>
      </c>
      <c r="M108" s="8" t="str">
        <f>IF(tblSales[[#This Row],[Key]]="","",IFERROR(tblSales[[#This Row],[ราคาต่อแก้ว]]*tblSales[[#This Row],[จำนวนแก้ว]],""))</f>
        <v/>
      </c>
      <c r="N108" s="8" t="str">
        <f>IF(tblSales[[#This Row],[Key]]="","",IFERROR(tblSales[[#This Row],[ต้นทุนต่อแก้ว]]*tblSales[[#This Row],[จำนวนแก้ว]],""))</f>
        <v/>
      </c>
      <c r="O108" s="8" t="str">
        <f>IF(tblSales[[#This Row],[Key]]="","",IFERROR(tblSales[[#This Row],[ยอดขาย (บาท)]]-tblSales[[#This Row],[ต้นทุนรวม (บาท)]],""))</f>
        <v/>
      </c>
      <c r="P108" s="21" t="str">
        <f>IF(tblSales[[#This Row],[Key]]="","",IFERROR(tblSales[[#This Row],[กำไร (บาท)]]/tblSales[[#This Row],[ยอดขาย (บาท)]],""))</f>
        <v/>
      </c>
      <c r="Q108" s="10" t="str">
        <f>IF(tblSales[[#This Row],[Key]]="","",IFERROR(INDEX(ตารางรวม!$D:$D,MATCH(tblSales[[#This Row],[Key]],ตารางรวม!$Z:$Z,0))*tblSales[[#This Row],[จำนวนแก้ว]],0))</f>
        <v/>
      </c>
      <c r="R108" s="10" t="str">
        <f>IF(tblSales[[#This Row],[Key]]="","",IFERROR(INDEX(ตารางรวม!$E:$E,MATCH(tblSales[[#This Row],[Key]],ตารางรวม!$Z:$Z,0))*tblSales[[#This Row],[จำนวนแก้ว]],0))</f>
        <v/>
      </c>
      <c r="S108" s="10" t="str">
        <f>IF(tblSales[[#This Row],[Key]]="","",IFERROR(INDEX(ตารางรวม!$F:$F,MATCH(tblSales[[#This Row],[Key]],ตารางรวม!$Z:$Z,0))*tblSales[[#This Row],[จำนวนแก้ว]],0))</f>
        <v/>
      </c>
      <c r="T108" s="10" t="str">
        <f>IF(tblSales[[#This Row],[Key]]="","",IFERROR(INDEX(ตารางรวม!$G:$G,MATCH(tblSales[[#This Row],[Key]],ตารางรวม!$Z:$Z,0))*tblSales[[#This Row],[จำนวนแก้ว]],0))</f>
        <v/>
      </c>
      <c r="U108" s="10" t="str">
        <f>IF(tblSales[[#This Row],[Key]]="","",IFERROR(INDEX(ตารางรวม!$H:$H,MATCH(tblSales[[#This Row],[Key]],ตารางรวม!$Z:$Z,0))*tblSales[[#This Row],[จำนวนแก้ว]],0))</f>
        <v/>
      </c>
      <c r="V108" s="10" t="str">
        <f>IF(tblSales[[#This Row],[Key]]="","",IFERROR(INDEX(ตารางรวม!$I:$I,MATCH(tblSales[[#This Row],[Key]],ตารางรวม!$Z:$Z,0))*tblSales[[#This Row],[จำนวนแก้ว]],0))</f>
        <v/>
      </c>
      <c r="W108" s="10" t="str">
        <f>IF(tblSales[[#This Row],[Key]]="","",IFERROR(INDEX(ตารางรวม!$J:$J,MATCH(tblSales[[#This Row],[Key]],ตารางรวม!$Z:$Z,0))*tblSales[[#This Row],[จำนวนแก้ว]],0))</f>
        <v/>
      </c>
      <c r="X108" s="10" t="str">
        <f>IF(tblSales[[#This Row],[Key]]="","",IFERROR(INDEX(ตารางรวม!$K:$K,MATCH(tblSales[[#This Row],[Key]],ตารางรวม!$Z:$Z,0))*tblSales[[#This Row],[จำนวนแก้ว]],0))</f>
        <v/>
      </c>
      <c r="Y108" s="10" t="str">
        <f>IF(tblSales[[#This Row],[Key]]="","",IFERROR(INDEX(ตารางรวม!$L:$L,MATCH(tblSales[[#This Row],[Key]],ตารางรวม!$Z:$Z,0))*tblSales[[#This Row],[จำนวนแก้ว]],0))</f>
        <v/>
      </c>
      <c r="Z10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8" s="10" t="str">
        <f>IF(tblSales[[#This Row],[Key]]="","",IF(tblSales[[#This Row],[ขนาด]]="16 oz",tblSales[[#This Row],[จำนวนแก้ว]],0))</f>
        <v/>
      </c>
      <c r="AI108" s="10" t="str">
        <f>IF(tblSales[[#This Row],[Key]]="","",IF(tblSales[[#This Row],[ขนาด]]="20 oz",tblSales[[#This Row],[จำนวนแก้ว]],0))</f>
        <v/>
      </c>
      <c r="AJ108" s="10" t="str">
        <f>IF(tblSales[[#This Row],[Key]]="","",IF(tblSales[[#This Row],[ขนาด]]="22 oz",tblSales[[#This Row],[จำนวนแก้ว]],0))</f>
        <v/>
      </c>
    </row>
    <row r="109" spans="1:36" x14ac:dyDescent="0.25">
      <c r="A109" s="4" t="str">
        <f>IF(tblSales[[#This Row],[วันที่]]="","","S"&amp;TEXT(tblSales[[#This Row],[วันที่]],"yymmdd")&amp;"-"&amp;TEXT(ROW()-5,"000"))</f>
        <v/>
      </c>
      <c r="B109" s="16"/>
      <c r="C109" s="6"/>
      <c r="D109" s="6"/>
      <c r="E109" s="20"/>
      <c r="F109" s="6"/>
      <c r="G109" s="6"/>
      <c r="H109" s="6"/>
      <c r="I109" s="6"/>
      <c r="J10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09" s="8" t="str">
        <f>IF(tblSales[[#This Row],[Key]]="","",IFERROR(INDEX(ตารางรวม!$W:$W,MATCH(tblSales[[#This Row],[Key]],ตารางรวม!$Z:$Z,0)),"ไม่พบสูตร"))</f>
        <v/>
      </c>
      <c r="L109" s="8" t="str">
        <f>IF(tblSales[[#This Row],[Key]]="","",IFERROR(INDEX(ตารางรวม!$V:$V,MATCH(tblSales[[#This Row],[Key]],ตารางรวม!$Z:$Z,0)),"ไม่พบสูตร"))</f>
        <v/>
      </c>
      <c r="M109" s="8" t="str">
        <f>IF(tblSales[[#This Row],[Key]]="","",IFERROR(tblSales[[#This Row],[ราคาต่อแก้ว]]*tblSales[[#This Row],[จำนวนแก้ว]],""))</f>
        <v/>
      </c>
      <c r="N109" s="8" t="str">
        <f>IF(tblSales[[#This Row],[Key]]="","",IFERROR(tblSales[[#This Row],[ต้นทุนต่อแก้ว]]*tblSales[[#This Row],[จำนวนแก้ว]],""))</f>
        <v/>
      </c>
      <c r="O109" s="8" t="str">
        <f>IF(tblSales[[#This Row],[Key]]="","",IFERROR(tblSales[[#This Row],[ยอดขาย (บาท)]]-tblSales[[#This Row],[ต้นทุนรวม (บาท)]],""))</f>
        <v/>
      </c>
      <c r="P109" s="21" t="str">
        <f>IF(tblSales[[#This Row],[Key]]="","",IFERROR(tblSales[[#This Row],[กำไร (บาท)]]/tblSales[[#This Row],[ยอดขาย (บาท)]],""))</f>
        <v/>
      </c>
      <c r="Q109" s="10" t="str">
        <f>IF(tblSales[[#This Row],[Key]]="","",IFERROR(INDEX(ตารางรวม!$D:$D,MATCH(tblSales[[#This Row],[Key]],ตารางรวม!$Z:$Z,0))*tblSales[[#This Row],[จำนวนแก้ว]],0))</f>
        <v/>
      </c>
      <c r="R109" s="10" t="str">
        <f>IF(tblSales[[#This Row],[Key]]="","",IFERROR(INDEX(ตารางรวม!$E:$E,MATCH(tblSales[[#This Row],[Key]],ตารางรวม!$Z:$Z,0))*tblSales[[#This Row],[จำนวนแก้ว]],0))</f>
        <v/>
      </c>
      <c r="S109" s="10" t="str">
        <f>IF(tblSales[[#This Row],[Key]]="","",IFERROR(INDEX(ตารางรวม!$F:$F,MATCH(tblSales[[#This Row],[Key]],ตารางรวม!$Z:$Z,0))*tblSales[[#This Row],[จำนวนแก้ว]],0))</f>
        <v/>
      </c>
      <c r="T109" s="10" t="str">
        <f>IF(tblSales[[#This Row],[Key]]="","",IFERROR(INDEX(ตารางรวม!$G:$G,MATCH(tblSales[[#This Row],[Key]],ตารางรวม!$Z:$Z,0))*tblSales[[#This Row],[จำนวนแก้ว]],0))</f>
        <v/>
      </c>
      <c r="U109" s="10" t="str">
        <f>IF(tblSales[[#This Row],[Key]]="","",IFERROR(INDEX(ตารางรวม!$H:$H,MATCH(tblSales[[#This Row],[Key]],ตารางรวม!$Z:$Z,0))*tblSales[[#This Row],[จำนวนแก้ว]],0))</f>
        <v/>
      </c>
      <c r="V109" s="10" t="str">
        <f>IF(tblSales[[#This Row],[Key]]="","",IFERROR(INDEX(ตารางรวม!$I:$I,MATCH(tblSales[[#This Row],[Key]],ตารางรวม!$Z:$Z,0))*tblSales[[#This Row],[จำนวนแก้ว]],0))</f>
        <v/>
      </c>
      <c r="W109" s="10" t="str">
        <f>IF(tblSales[[#This Row],[Key]]="","",IFERROR(INDEX(ตารางรวม!$J:$J,MATCH(tblSales[[#This Row],[Key]],ตารางรวม!$Z:$Z,0))*tblSales[[#This Row],[จำนวนแก้ว]],0))</f>
        <v/>
      </c>
      <c r="X109" s="10" t="str">
        <f>IF(tblSales[[#This Row],[Key]]="","",IFERROR(INDEX(ตารางรวม!$K:$K,MATCH(tblSales[[#This Row],[Key]],ตารางรวม!$Z:$Z,0))*tblSales[[#This Row],[จำนวนแก้ว]],0))</f>
        <v/>
      </c>
      <c r="Y109" s="10" t="str">
        <f>IF(tblSales[[#This Row],[Key]]="","",IFERROR(INDEX(ตารางรวม!$L:$L,MATCH(tblSales[[#This Row],[Key]],ตารางรวม!$Z:$Z,0))*tblSales[[#This Row],[จำนวนแก้ว]],0))</f>
        <v/>
      </c>
      <c r="Z10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0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0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0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0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0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0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0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09" s="10" t="str">
        <f>IF(tblSales[[#This Row],[Key]]="","",IF(tblSales[[#This Row],[ขนาด]]="16 oz",tblSales[[#This Row],[จำนวนแก้ว]],0))</f>
        <v/>
      </c>
      <c r="AI109" s="10" t="str">
        <f>IF(tblSales[[#This Row],[Key]]="","",IF(tblSales[[#This Row],[ขนาด]]="20 oz",tblSales[[#This Row],[จำนวนแก้ว]],0))</f>
        <v/>
      </c>
      <c r="AJ109" s="10" t="str">
        <f>IF(tblSales[[#This Row],[Key]]="","",IF(tblSales[[#This Row],[ขนาด]]="22 oz",tblSales[[#This Row],[จำนวนแก้ว]],0))</f>
        <v/>
      </c>
    </row>
    <row r="110" spans="1:36" x14ac:dyDescent="0.25">
      <c r="A110" s="4" t="str">
        <f>IF(tblSales[[#This Row],[วันที่]]="","","S"&amp;TEXT(tblSales[[#This Row],[วันที่]],"yymmdd")&amp;"-"&amp;TEXT(ROW()-5,"000"))</f>
        <v/>
      </c>
      <c r="B110" s="16"/>
      <c r="C110" s="6"/>
      <c r="D110" s="6"/>
      <c r="E110" s="20"/>
      <c r="F110" s="6"/>
      <c r="G110" s="6"/>
      <c r="H110" s="6"/>
      <c r="I110" s="6"/>
      <c r="J11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0" s="8" t="str">
        <f>IF(tblSales[[#This Row],[Key]]="","",IFERROR(INDEX(ตารางรวม!$W:$W,MATCH(tblSales[[#This Row],[Key]],ตารางรวม!$Z:$Z,0)),"ไม่พบสูตร"))</f>
        <v/>
      </c>
      <c r="L110" s="8" t="str">
        <f>IF(tblSales[[#This Row],[Key]]="","",IFERROR(INDEX(ตารางรวม!$V:$V,MATCH(tblSales[[#This Row],[Key]],ตารางรวม!$Z:$Z,0)),"ไม่พบสูตร"))</f>
        <v/>
      </c>
      <c r="M110" s="8" t="str">
        <f>IF(tblSales[[#This Row],[Key]]="","",IFERROR(tblSales[[#This Row],[ราคาต่อแก้ว]]*tblSales[[#This Row],[จำนวนแก้ว]],""))</f>
        <v/>
      </c>
      <c r="N110" s="8" t="str">
        <f>IF(tblSales[[#This Row],[Key]]="","",IFERROR(tblSales[[#This Row],[ต้นทุนต่อแก้ว]]*tblSales[[#This Row],[จำนวนแก้ว]],""))</f>
        <v/>
      </c>
      <c r="O110" s="8" t="str">
        <f>IF(tblSales[[#This Row],[Key]]="","",IFERROR(tblSales[[#This Row],[ยอดขาย (บาท)]]-tblSales[[#This Row],[ต้นทุนรวม (บาท)]],""))</f>
        <v/>
      </c>
      <c r="P110" s="21" t="str">
        <f>IF(tblSales[[#This Row],[Key]]="","",IFERROR(tblSales[[#This Row],[กำไร (บาท)]]/tblSales[[#This Row],[ยอดขาย (บาท)]],""))</f>
        <v/>
      </c>
      <c r="Q110" s="10" t="str">
        <f>IF(tblSales[[#This Row],[Key]]="","",IFERROR(INDEX(ตารางรวม!$D:$D,MATCH(tblSales[[#This Row],[Key]],ตารางรวม!$Z:$Z,0))*tblSales[[#This Row],[จำนวนแก้ว]],0))</f>
        <v/>
      </c>
      <c r="R110" s="10" t="str">
        <f>IF(tblSales[[#This Row],[Key]]="","",IFERROR(INDEX(ตารางรวม!$E:$E,MATCH(tblSales[[#This Row],[Key]],ตารางรวม!$Z:$Z,0))*tblSales[[#This Row],[จำนวนแก้ว]],0))</f>
        <v/>
      </c>
      <c r="S110" s="10" t="str">
        <f>IF(tblSales[[#This Row],[Key]]="","",IFERROR(INDEX(ตารางรวม!$F:$F,MATCH(tblSales[[#This Row],[Key]],ตารางรวม!$Z:$Z,0))*tblSales[[#This Row],[จำนวนแก้ว]],0))</f>
        <v/>
      </c>
      <c r="T110" s="10" t="str">
        <f>IF(tblSales[[#This Row],[Key]]="","",IFERROR(INDEX(ตารางรวม!$G:$G,MATCH(tblSales[[#This Row],[Key]],ตารางรวม!$Z:$Z,0))*tblSales[[#This Row],[จำนวนแก้ว]],0))</f>
        <v/>
      </c>
      <c r="U110" s="10" t="str">
        <f>IF(tblSales[[#This Row],[Key]]="","",IFERROR(INDEX(ตารางรวม!$H:$H,MATCH(tblSales[[#This Row],[Key]],ตารางรวม!$Z:$Z,0))*tblSales[[#This Row],[จำนวนแก้ว]],0))</f>
        <v/>
      </c>
      <c r="V110" s="10" t="str">
        <f>IF(tblSales[[#This Row],[Key]]="","",IFERROR(INDEX(ตารางรวม!$I:$I,MATCH(tblSales[[#This Row],[Key]],ตารางรวม!$Z:$Z,0))*tblSales[[#This Row],[จำนวนแก้ว]],0))</f>
        <v/>
      </c>
      <c r="W110" s="10" t="str">
        <f>IF(tblSales[[#This Row],[Key]]="","",IFERROR(INDEX(ตารางรวม!$J:$J,MATCH(tblSales[[#This Row],[Key]],ตารางรวม!$Z:$Z,0))*tblSales[[#This Row],[จำนวนแก้ว]],0))</f>
        <v/>
      </c>
      <c r="X110" s="10" t="str">
        <f>IF(tblSales[[#This Row],[Key]]="","",IFERROR(INDEX(ตารางรวม!$K:$K,MATCH(tblSales[[#This Row],[Key]],ตารางรวม!$Z:$Z,0))*tblSales[[#This Row],[จำนวนแก้ว]],0))</f>
        <v/>
      </c>
      <c r="Y110" s="10" t="str">
        <f>IF(tblSales[[#This Row],[Key]]="","",IFERROR(INDEX(ตารางรวม!$L:$L,MATCH(tblSales[[#This Row],[Key]],ตารางรวม!$Z:$Z,0))*tblSales[[#This Row],[จำนวนแก้ว]],0))</f>
        <v/>
      </c>
      <c r="Z11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0" s="10" t="str">
        <f>IF(tblSales[[#This Row],[Key]]="","",IF(tblSales[[#This Row],[ขนาด]]="16 oz",tblSales[[#This Row],[จำนวนแก้ว]],0))</f>
        <v/>
      </c>
      <c r="AI110" s="10" t="str">
        <f>IF(tblSales[[#This Row],[Key]]="","",IF(tblSales[[#This Row],[ขนาด]]="20 oz",tblSales[[#This Row],[จำนวนแก้ว]],0))</f>
        <v/>
      </c>
      <c r="AJ110" s="10" t="str">
        <f>IF(tblSales[[#This Row],[Key]]="","",IF(tblSales[[#This Row],[ขนาด]]="22 oz",tblSales[[#This Row],[จำนวนแก้ว]],0))</f>
        <v/>
      </c>
    </row>
    <row r="111" spans="1:36" x14ac:dyDescent="0.25">
      <c r="A111" s="4" t="str">
        <f>IF(tblSales[[#This Row],[วันที่]]="","","S"&amp;TEXT(tblSales[[#This Row],[วันที่]],"yymmdd")&amp;"-"&amp;TEXT(ROW()-5,"000"))</f>
        <v/>
      </c>
      <c r="B111" s="16"/>
      <c r="C111" s="6"/>
      <c r="D111" s="6"/>
      <c r="E111" s="20"/>
      <c r="F111" s="6"/>
      <c r="G111" s="6"/>
      <c r="H111" s="6"/>
      <c r="I111" s="6"/>
      <c r="J11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1" s="8" t="str">
        <f>IF(tblSales[[#This Row],[Key]]="","",IFERROR(INDEX(ตารางรวม!$W:$W,MATCH(tblSales[[#This Row],[Key]],ตารางรวม!$Z:$Z,0)),"ไม่พบสูตร"))</f>
        <v/>
      </c>
      <c r="L111" s="8" t="str">
        <f>IF(tblSales[[#This Row],[Key]]="","",IFERROR(INDEX(ตารางรวม!$V:$V,MATCH(tblSales[[#This Row],[Key]],ตารางรวม!$Z:$Z,0)),"ไม่พบสูตร"))</f>
        <v/>
      </c>
      <c r="M111" s="8" t="str">
        <f>IF(tblSales[[#This Row],[Key]]="","",IFERROR(tblSales[[#This Row],[ราคาต่อแก้ว]]*tblSales[[#This Row],[จำนวนแก้ว]],""))</f>
        <v/>
      </c>
      <c r="N111" s="8" t="str">
        <f>IF(tblSales[[#This Row],[Key]]="","",IFERROR(tblSales[[#This Row],[ต้นทุนต่อแก้ว]]*tblSales[[#This Row],[จำนวนแก้ว]],""))</f>
        <v/>
      </c>
      <c r="O111" s="8" t="str">
        <f>IF(tblSales[[#This Row],[Key]]="","",IFERROR(tblSales[[#This Row],[ยอดขาย (บาท)]]-tblSales[[#This Row],[ต้นทุนรวม (บาท)]],""))</f>
        <v/>
      </c>
      <c r="P111" s="21" t="str">
        <f>IF(tblSales[[#This Row],[Key]]="","",IFERROR(tblSales[[#This Row],[กำไร (บาท)]]/tblSales[[#This Row],[ยอดขาย (บาท)]],""))</f>
        <v/>
      </c>
      <c r="Q111" s="10" t="str">
        <f>IF(tblSales[[#This Row],[Key]]="","",IFERROR(INDEX(ตารางรวม!$D:$D,MATCH(tblSales[[#This Row],[Key]],ตารางรวม!$Z:$Z,0))*tblSales[[#This Row],[จำนวนแก้ว]],0))</f>
        <v/>
      </c>
      <c r="R111" s="10" t="str">
        <f>IF(tblSales[[#This Row],[Key]]="","",IFERROR(INDEX(ตารางรวม!$E:$E,MATCH(tblSales[[#This Row],[Key]],ตารางรวม!$Z:$Z,0))*tblSales[[#This Row],[จำนวนแก้ว]],0))</f>
        <v/>
      </c>
      <c r="S111" s="10" t="str">
        <f>IF(tblSales[[#This Row],[Key]]="","",IFERROR(INDEX(ตารางรวม!$F:$F,MATCH(tblSales[[#This Row],[Key]],ตารางรวม!$Z:$Z,0))*tblSales[[#This Row],[จำนวนแก้ว]],0))</f>
        <v/>
      </c>
      <c r="T111" s="10" t="str">
        <f>IF(tblSales[[#This Row],[Key]]="","",IFERROR(INDEX(ตารางรวม!$G:$G,MATCH(tblSales[[#This Row],[Key]],ตารางรวม!$Z:$Z,0))*tblSales[[#This Row],[จำนวนแก้ว]],0))</f>
        <v/>
      </c>
      <c r="U111" s="10" t="str">
        <f>IF(tblSales[[#This Row],[Key]]="","",IFERROR(INDEX(ตารางรวม!$H:$H,MATCH(tblSales[[#This Row],[Key]],ตารางรวม!$Z:$Z,0))*tblSales[[#This Row],[จำนวนแก้ว]],0))</f>
        <v/>
      </c>
      <c r="V111" s="10" t="str">
        <f>IF(tblSales[[#This Row],[Key]]="","",IFERROR(INDEX(ตารางรวม!$I:$I,MATCH(tblSales[[#This Row],[Key]],ตารางรวม!$Z:$Z,0))*tblSales[[#This Row],[จำนวนแก้ว]],0))</f>
        <v/>
      </c>
      <c r="W111" s="10" t="str">
        <f>IF(tblSales[[#This Row],[Key]]="","",IFERROR(INDEX(ตารางรวม!$J:$J,MATCH(tblSales[[#This Row],[Key]],ตารางรวม!$Z:$Z,0))*tblSales[[#This Row],[จำนวนแก้ว]],0))</f>
        <v/>
      </c>
      <c r="X111" s="10" t="str">
        <f>IF(tblSales[[#This Row],[Key]]="","",IFERROR(INDEX(ตารางรวม!$K:$K,MATCH(tblSales[[#This Row],[Key]],ตารางรวม!$Z:$Z,0))*tblSales[[#This Row],[จำนวนแก้ว]],0))</f>
        <v/>
      </c>
      <c r="Y111" s="10" t="str">
        <f>IF(tblSales[[#This Row],[Key]]="","",IFERROR(INDEX(ตารางรวม!$L:$L,MATCH(tblSales[[#This Row],[Key]],ตารางรวม!$Z:$Z,0))*tblSales[[#This Row],[จำนวนแก้ว]],0))</f>
        <v/>
      </c>
      <c r="Z11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1" s="10" t="str">
        <f>IF(tblSales[[#This Row],[Key]]="","",IF(tblSales[[#This Row],[ขนาด]]="16 oz",tblSales[[#This Row],[จำนวนแก้ว]],0))</f>
        <v/>
      </c>
      <c r="AI111" s="10" t="str">
        <f>IF(tblSales[[#This Row],[Key]]="","",IF(tblSales[[#This Row],[ขนาด]]="20 oz",tblSales[[#This Row],[จำนวนแก้ว]],0))</f>
        <v/>
      </c>
      <c r="AJ111" s="10" t="str">
        <f>IF(tblSales[[#This Row],[Key]]="","",IF(tblSales[[#This Row],[ขนาด]]="22 oz",tblSales[[#This Row],[จำนวนแก้ว]],0))</f>
        <v/>
      </c>
    </row>
    <row r="112" spans="1:36" x14ac:dyDescent="0.25">
      <c r="A112" s="4" t="str">
        <f>IF(tblSales[[#This Row],[วันที่]]="","","S"&amp;TEXT(tblSales[[#This Row],[วันที่]],"yymmdd")&amp;"-"&amp;TEXT(ROW()-5,"000"))</f>
        <v/>
      </c>
      <c r="B112" s="16"/>
      <c r="C112" s="6"/>
      <c r="D112" s="6"/>
      <c r="E112" s="20"/>
      <c r="F112" s="6"/>
      <c r="G112" s="6"/>
      <c r="H112" s="6"/>
      <c r="I112" s="6"/>
      <c r="J11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2" s="8" t="str">
        <f>IF(tblSales[[#This Row],[Key]]="","",IFERROR(INDEX(ตารางรวม!$W:$W,MATCH(tblSales[[#This Row],[Key]],ตารางรวม!$Z:$Z,0)),"ไม่พบสูตร"))</f>
        <v/>
      </c>
      <c r="L112" s="8" t="str">
        <f>IF(tblSales[[#This Row],[Key]]="","",IFERROR(INDEX(ตารางรวม!$V:$V,MATCH(tblSales[[#This Row],[Key]],ตารางรวม!$Z:$Z,0)),"ไม่พบสูตร"))</f>
        <v/>
      </c>
      <c r="M112" s="8" t="str">
        <f>IF(tblSales[[#This Row],[Key]]="","",IFERROR(tblSales[[#This Row],[ราคาต่อแก้ว]]*tblSales[[#This Row],[จำนวนแก้ว]],""))</f>
        <v/>
      </c>
      <c r="N112" s="8" t="str">
        <f>IF(tblSales[[#This Row],[Key]]="","",IFERROR(tblSales[[#This Row],[ต้นทุนต่อแก้ว]]*tblSales[[#This Row],[จำนวนแก้ว]],""))</f>
        <v/>
      </c>
      <c r="O112" s="8" t="str">
        <f>IF(tblSales[[#This Row],[Key]]="","",IFERROR(tblSales[[#This Row],[ยอดขาย (บาท)]]-tblSales[[#This Row],[ต้นทุนรวม (บาท)]],""))</f>
        <v/>
      </c>
      <c r="P112" s="21" t="str">
        <f>IF(tblSales[[#This Row],[Key]]="","",IFERROR(tblSales[[#This Row],[กำไร (บาท)]]/tblSales[[#This Row],[ยอดขาย (บาท)]],""))</f>
        <v/>
      </c>
      <c r="Q112" s="10" t="str">
        <f>IF(tblSales[[#This Row],[Key]]="","",IFERROR(INDEX(ตารางรวม!$D:$D,MATCH(tblSales[[#This Row],[Key]],ตารางรวม!$Z:$Z,0))*tblSales[[#This Row],[จำนวนแก้ว]],0))</f>
        <v/>
      </c>
      <c r="R112" s="10" t="str">
        <f>IF(tblSales[[#This Row],[Key]]="","",IFERROR(INDEX(ตารางรวม!$E:$E,MATCH(tblSales[[#This Row],[Key]],ตารางรวม!$Z:$Z,0))*tblSales[[#This Row],[จำนวนแก้ว]],0))</f>
        <v/>
      </c>
      <c r="S112" s="10" t="str">
        <f>IF(tblSales[[#This Row],[Key]]="","",IFERROR(INDEX(ตารางรวม!$F:$F,MATCH(tblSales[[#This Row],[Key]],ตารางรวม!$Z:$Z,0))*tblSales[[#This Row],[จำนวนแก้ว]],0))</f>
        <v/>
      </c>
      <c r="T112" s="10" t="str">
        <f>IF(tblSales[[#This Row],[Key]]="","",IFERROR(INDEX(ตารางรวม!$G:$G,MATCH(tblSales[[#This Row],[Key]],ตารางรวม!$Z:$Z,0))*tblSales[[#This Row],[จำนวนแก้ว]],0))</f>
        <v/>
      </c>
      <c r="U112" s="10" t="str">
        <f>IF(tblSales[[#This Row],[Key]]="","",IFERROR(INDEX(ตารางรวม!$H:$H,MATCH(tblSales[[#This Row],[Key]],ตารางรวม!$Z:$Z,0))*tblSales[[#This Row],[จำนวนแก้ว]],0))</f>
        <v/>
      </c>
      <c r="V112" s="10" t="str">
        <f>IF(tblSales[[#This Row],[Key]]="","",IFERROR(INDEX(ตารางรวม!$I:$I,MATCH(tblSales[[#This Row],[Key]],ตารางรวม!$Z:$Z,0))*tblSales[[#This Row],[จำนวนแก้ว]],0))</f>
        <v/>
      </c>
      <c r="W112" s="10" t="str">
        <f>IF(tblSales[[#This Row],[Key]]="","",IFERROR(INDEX(ตารางรวม!$J:$J,MATCH(tblSales[[#This Row],[Key]],ตารางรวม!$Z:$Z,0))*tblSales[[#This Row],[จำนวนแก้ว]],0))</f>
        <v/>
      </c>
      <c r="X112" s="10" t="str">
        <f>IF(tblSales[[#This Row],[Key]]="","",IFERROR(INDEX(ตารางรวม!$K:$K,MATCH(tblSales[[#This Row],[Key]],ตารางรวม!$Z:$Z,0))*tblSales[[#This Row],[จำนวนแก้ว]],0))</f>
        <v/>
      </c>
      <c r="Y112" s="10" t="str">
        <f>IF(tblSales[[#This Row],[Key]]="","",IFERROR(INDEX(ตารางรวม!$L:$L,MATCH(tblSales[[#This Row],[Key]],ตารางรวม!$Z:$Z,0))*tblSales[[#This Row],[จำนวนแก้ว]],0))</f>
        <v/>
      </c>
      <c r="Z11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2" s="10" t="str">
        <f>IF(tblSales[[#This Row],[Key]]="","",IF(tblSales[[#This Row],[ขนาด]]="16 oz",tblSales[[#This Row],[จำนวนแก้ว]],0))</f>
        <v/>
      </c>
      <c r="AI112" s="10" t="str">
        <f>IF(tblSales[[#This Row],[Key]]="","",IF(tblSales[[#This Row],[ขนาด]]="20 oz",tblSales[[#This Row],[จำนวนแก้ว]],0))</f>
        <v/>
      </c>
      <c r="AJ112" s="10" t="str">
        <f>IF(tblSales[[#This Row],[Key]]="","",IF(tblSales[[#This Row],[ขนาด]]="22 oz",tblSales[[#This Row],[จำนวนแก้ว]],0))</f>
        <v/>
      </c>
    </row>
    <row r="113" spans="1:36" x14ac:dyDescent="0.25">
      <c r="A113" s="4" t="str">
        <f>IF(tblSales[[#This Row],[วันที่]]="","","S"&amp;TEXT(tblSales[[#This Row],[วันที่]],"yymmdd")&amp;"-"&amp;TEXT(ROW()-5,"000"))</f>
        <v/>
      </c>
      <c r="B113" s="16"/>
      <c r="C113" s="6"/>
      <c r="D113" s="6"/>
      <c r="E113" s="20"/>
      <c r="F113" s="6"/>
      <c r="G113" s="6"/>
      <c r="H113" s="6"/>
      <c r="I113" s="6"/>
      <c r="J11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3" s="8" t="str">
        <f>IF(tblSales[[#This Row],[Key]]="","",IFERROR(INDEX(ตารางรวม!$W:$W,MATCH(tblSales[[#This Row],[Key]],ตารางรวม!$Z:$Z,0)),"ไม่พบสูตร"))</f>
        <v/>
      </c>
      <c r="L113" s="8" t="str">
        <f>IF(tblSales[[#This Row],[Key]]="","",IFERROR(INDEX(ตารางรวม!$V:$V,MATCH(tblSales[[#This Row],[Key]],ตารางรวม!$Z:$Z,0)),"ไม่พบสูตร"))</f>
        <v/>
      </c>
      <c r="M113" s="8" t="str">
        <f>IF(tblSales[[#This Row],[Key]]="","",IFERROR(tblSales[[#This Row],[ราคาต่อแก้ว]]*tblSales[[#This Row],[จำนวนแก้ว]],""))</f>
        <v/>
      </c>
      <c r="N113" s="8" t="str">
        <f>IF(tblSales[[#This Row],[Key]]="","",IFERROR(tblSales[[#This Row],[ต้นทุนต่อแก้ว]]*tblSales[[#This Row],[จำนวนแก้ว]],""))</f>
        <v/>
      </c>
      <c r="O113" s="8" t="str">
        <f>IF(tblSales[[#This Row],[Key]]="","",IFERROR(tblSales[[#This Row],[ยอดขาย (บาท)]]-tblSales[[#This Row],[ต้นทุนรวม (บาท)]],""))</f>
        <v/>
      </c>
      <c r="P113" s="21" t="str">
        <f>IF(tblSales[[#This Row],[Key]]="","",IFERROR(tblSales[[#This Row],[กำไร (บาท)]]/tblSales[[#This Row],[ยอดขาย (บาท)]],""))</f>
        <v/>
      </c>
      <c r="Q113" s="10" t="str">
        <f>IF(tblSales[[#This Row],[Key]]="","",IFERROR(INDEX(ตารางรวม!$D:$D,MATCH(tblSales[[#This Row],[Key]],ตารางรวม!$Z:$Z,0))*tblSales[[#This Row],[จำนวนแก้ว]],0))</f>
        <v/>
      </c>
      <c r="R113" s="10" t="str">
        <f>IF(tblSales[[#This Row],[Key]]="","",IFERROR(INDEX(ตารางรวม!$E:$E,MATCH(tblSales[[#This Row],[Key]],ตารางรวม!$Z:$Z,0))*tblSales[[#This Row],[จำนวนแก้ว]],0))</f>
        <v/>
      </c>
      <c r="S113" s="10" t="str">
        <f>IF(tblSales[[#This Row],[Key]]="","",IFERROR(INDEX(ตารางรวม!$F:$F,MATCH(tblSales[[#This Row],[Key]],ตารางรวม!$Z:$Z,0))*tblSales[[#This Row],[จำนวนแก้ว]],0))</f>
        <v/>
      </c>
      <c r="T113" s="10" t="str">
        <f>IF(tblSales[[#This Row],[Key]]="","",IFERROR(INDEX(ตารางรวม!$G:$G,MATCH(tblSales[[#This Row],[Key]],ตารางรวม!$Z:$Z,0))*tblSales[[#This Row],[จำนวนแก้ว]],0))</f>
        <v/>
      </c>
      <c r="U113" s="10" t="str">
        <f>IF(tblSales[[#This Row],[Key]]="","",IFERROR(INDEX(ตารางรวม!$H:$H,MATCH(tblSales[[#This Row],[Key]],ตารางรวม!$Z:$Z,0))*tblSales[[#This Row],[จำนวนแก้ว]],0))</f>
        <v/>
      </c>
      <c r="V113" s="10" t="str">
        <f>IF(tblSales[[#This Row],[Key]]="","",IFERROR(INDEX(ตารางรวม!$I:$I,MATCH(tblSales[[#This Row],[Key]],ตารางรวม!$Z:$Z,0))*tblSales[[#This Row],[จำนวนแก้ว]],0))</f>
        <v/>
      </c>
      <c r="W113" s="10" t="str">
        <f>IF(tblSales[[#This Row],[Key]]="","",IFERROR(INDEX(ตารางรวม!$J:$J,MATCH(tblSales[[#This Row],[Key]],ตารางรวม!$Z:$Z,0))*tblSales[[#This Row],[จำนวนแก้ว]],0))</f>
        <v/>
      </c>
      <c r="X113" s="10" t="str">
        <f>IF(tblSales[[#This Row],[Key]]="","",IFERROR(INDEX(ตารางรวม!$K:$K,MATCH(tblSales[[#This Row],[Key]],ตารางรวม!$Z:$Z,0))*tblSales[[#This Row],[จำนวนแก้ว]],0))</f>
        <v/>
      </c>
      <c r="Y113" s="10" t="str">
        <f>IF(tblSales[[#This Row],[Key]]="","",IFERROR(INDEX(ตารางรวม!$L:$L,MATCH(tblSales[[#This Row],[Key]],ตารางรวม!$Z:$Z,0))*tblSales[[#This Row],[จำนวนแก้ว]],0))</f>
        <v/>
      </c>
      <c r="Z11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3" s="10" t="str">
        <f>IF(tblSales[[#This Row],[Key]]="","",IF(tblSales[[#This Row],[ขนาด]]="16 oz",tblSales[[#This Row],[จำนวนแก้ว]],0))</f>
        <v/>
      </c>
      <c r="AI113" s="10" t="str">
        <f>IF(tblSales[[#This Row],[Key]]="","",IF(tblSales[[#This Row],[ขนาด]]="20 oz",tblSales[[#This Row],[จำนวนแก้ว]],0))</f>
        <v/>
      </c>
      <c r="AJ113" s="10" t="str">
        <f>IF(tblSales[[#This Row],[Key]]="","",IF(tblSales[[#This Row],[ขนาด]]="22 oz",tblSales[[#This Row],[จำนวนแก้ว]],0))</f>
        <v/>
      </c>
    </row>
    <row r="114" spans="1:36" x14ac:dyDescent="0.25">
      <c r="A114" s="4" t="str">
        <f>IF(tblSales[[#This Row],[วันที่]]="","","S"&amp;TEXT(tblSales[[#This Row],[วันที่]],"yymmdd")&amp;"-"&amp;TEXT(ROW()-5,"000"))</f>
        <v/>
      </c>
      <c r="B114" s="16"/>
      <c r="C114" s="6"/>
      <c r="D114" s="6"/>
      <c r="E114" s="20"/>
      <c r="F114" s="6"/>
      <c r="G114" s="6"/>
      <c r="H114" s="6"/>
      <c r="I114" s="6"/>
      <c r="J11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4" s="8" t="str">
        <f>IF(tblSales[[#This Row],[Key]]="","",IFERROR(INDEX(ตารางรวม!$W:$W,MATCH(tblSales[[#This Row],[Key]],ตารางรวม!$Z:$Z,0)),"ไม่พบสูตร"))</f>
        <v/>
      </c>
      <c r="L114" s="8" t="str">
        <f>IF(tblSales[[#This Row],[Key]]="","",IFERROR(INDEX(ตารางรวม!$V:$V,MATCH(tblSales[[#This Row],[Key]],ตารางรวม!$Z:$Z,0)),"ไม่พบสูตร"))</f>
        <v/>
      </c>
      <c r="M114" s="8" t="str">
        <f>IF(tblSales[[#This Row],[Key]]="","",IFERROR(tblSales[[#This Row],[ราคาต่อแก้ว]]*tblSales[[#This Row],[จำนวนแก้ว]],""))</f>
        <v/>
      </c>
      <c r="N114" s="8" t="str">
        <f>IF(tblSales[[#This Row],[Key]]="","",IFERROR(tblSales[[#This Row],[ต้นทุนต่อแก้ว]]*tblSales[[#This Row],[จำนวนแก้ว]],""))</f>
        <v/>
      </c>
      <c r="O114" s="8" t="str">
        <f>IF(tblSales[[#This Row],[Key]]="","",IFERROR(tblSales[[#This Row],[ยอดขาย (บาท)]]-tblSales[[#This Row],[ต้นทุนรวม (บาท)]],""))</f>
        <v/>
      </c>
      <c r="P114" s="21" t="str">
        <f>IF(tblSales[[#This Row],[Key]]="","",IFERROR(tblSales[[#This Row],[กำไร (บาท)]]/tblSales[[#This Row],[ยอดขาย (บาท)]],""))</f>
        <v/>
      </c>
      <c r="Q114" s="10" t="str">
        <f>IF(tblSales[[#This Row],[Key]]="","",IFERROR(INDEX(ตารางรวม!$D:$D,MATCH(tblSales[[#This Row],[Key]],ตารางรวม!$Z:$Z,0))*tblSales[[#This Row],[จำนวนแก้ว]],0))</f>
        <v/>
      </c>
      <c r="R114" s="10" t="str">
        <f>IF(tblSales[[#This Row],[Key]]="","",IFERROR(INDEX(ตารางรวม!$E:$E,MATCH(tblSales[[#This Row],[Key]],ตารางรวม!$Z:$Z,0))*tblSales[[#This Row],[จำนวนแก้ว]],0))</f>
        <v/>
      </c>
      <c r="S114" s="10" t="str">
        <f>IF(tblSales[[#This Row],[Key]]="","",IFERROR(INDEX(ตารางรวม!$F:$F,MATCH(tblSales[[#This Row],[Key]],ตารางรวม!$Z:$Z,0))*tblSales[[#This Row],[จำนวนแก้ว]],0))</f>
        <v/>
      </c>
      <c r="T114" s="10" t="str">
        <f>IF(tblSales[[#This Row],[Key]]="","",IFERROR(INDEX(ตารางรวม!$G:$G,MATCH(tblSales[[#This Row],[Key]],ตารางรวม!$Z:$Z,0))*tblSales[[#This Row],[จำนวนแก้ว]],0))</f>
        <v/>
      </c>
      <c r="U114" s="10" t="str">
        <f>IF(tblSales[[#This Row],[Key]]="","",IFERROR(INDEX(ตารางรวม!$H:$H,MATCH(tblSales[[#This Row],[Key]],ตารางรวม!$Z:$Z,0))*tblSales[[#This Row],[จำนวนแก้ว]],0))</f>
        <v/>
      </c>
      <c r="V114" s="10" t="str">
        <f>IF(tblSales[[#This Row],[Key]]="","",IFERROR(INDEX(ตารางรวม!$I:$I,MATCH(tblSales[[#This Row],[Key]],ตารางรวม!$Z:$Z,0))*tblSales[[#This Row],[จำนวนแก้ว]],0))</f>
        <v/>
      </c>
      <c r="W114" s="10" t="str">
        <f>IF(tblSales[[#This Row],[Key]]="","",IFERROR(INDEX(ตารางรวม!$J:$J,MATCH(tblSales[[#This Row],[Key]],ตารางรวม!$Z:$Z,0))*tblSales[[#This Row],[จำนวนแก้ว]],0))</f>
        <v/>
      </c>
      <c r="X114" s="10" t="str">
        <f>IF(tblSales[[#This Row],[Key]]="","",IFERROR(INDEX(ตารางรวม!$K:$K,MATCH(tblSales[[#This Row],[Key]],ตารางรวม!$Z:$Z,0))*tblSales[[#This Row],[จำนวนแก้ว]],0))</f>
        <v/>
      </c>
      <c r="Y114" s="10" t="str">
        <f>IF(tblSales[[#This Row],[Key]]="","",IFERROR(INDEX(ตารางรวม!$L:$L,MATCH(tblSales[[#This Row],[Key]],ตารางรวม!$Z:$Z,0))*tblSales[[#This Row],[จำนวนแก้ว]],0))</f>
        <v/>
      </c>
      <c r="Z11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4" s="10" t="str">
        <f>IF(tblSales[[#This Row],[Key]]="","",IF(tblSales[[#This Row],[ขนาด]]="16 oz",tblSales[[#This Row],[จำนวนแก้ว]],0))</f>
        <v/>
      </c>
      <c r="AI114" s="10" t="str">
        <f>IF(tblSales[[#This Row],[Key]]="","",IF(tblSales[[#This Row],[ขนาด]]="20 oz",tblSales[[#This Row],[จำนวนแก้ว]],0))</f>
        <v/>
      </c>
      <c r="AJ114" s="10" t="str">
        <f>IF(tblSales[[#This Row],[Key]]="","",IF(tblSales[[#This Row],[ขนาด]]="22 oz",tblSales[[#This Row],[จำนวนแก้ว]],0))</f>
        <v/>
      </c>
    </row>
    <row r="115" spans="1:36" x14ac:dyDescent="0.25">
      <c r="A115" s="4" t="str">
        <f>IF(tblSales[[#This Row],[วันที่]]="","","S"&amp;TEXT(tblSales[[#This Row],[วันที่]],"yymmdd")&amp;"-"&amp;TEXT(ROW()-5,"000"))</f>
        <v/>
      </c>
      <c r="B115" s="16"/>
      <c r="C115" s="6"/>
      <c r="D115" s="6"/>
      <c r="E115" s="20"/>
      <c r="F115" s="6"/>
      <c r="G115" s="6"/>
      <c r="H115" s="6"/>
      <c r="I115" s="6"/>
      <c r="J11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5" s="8" t="str">
        <f>IF(tblSales[[#This Row],[Key]]="","",IFERROR(INDEX(ตารางรวม!$W:$W,MATCH(tblSales[[#This Row],[Key]],ตารางรวม!$Z:$Z,0)),"ไม่พบสูตร"))</f>
        <v/>
      </c>
      <c r="L115" s="8" t="str">
        <f>IF(tblSales[[#This Row],[Key]]="","",IFERROR(INDEX(ตารางรวม!$V:$V,MATCH(tblSales[[#This Row],[Key]],ตารางรวม!$Z:$Z,0)),"ไม่พบสูตร"))</f>
        <v/>
      </c>
      <c r="M115" s="8" t="str">
        <f>IF(tblSales[[#This Row],[Key]]="","",IFERROR(tblSales[[#This Row],[ราคาต่อแก้ว]]*tblSales[[#This Row],[จำนวนแก้ว]],""))</f>
        <v/>
      </c>
      <c r="N115" s="8" t="str">
        <f>IF(tblSales[[#This Row],[Key]]="","",IFERROR(tblSales[[#This Row],[ต้นทุนต่อแก้ว]]*tblSales[[#This Row],[จำนวนแก้ว]],""))</f>
        <v/>
      </c>
      <c r="O115" s="8" t="str">
        <f>IF(tblSales[[#This Row],[Key]]="","",IFERROR(tblSales[[#This Row],[ยอดขาย (บาท)]]-tblSales[[#This Row],[ต้นทุนรวม (บาท)]],""))</f>
        <v/>
      </c>
      <c r="P115" s="21" t="str">
        <f>IF(tblSales[[#This Row],[Key]]="","",IFERROR(tblSales[[#This Row],[กำไร (บาท)]]/tblSales[[#This Row],[ยอดขาย (บาท)]],""))</f>
        <v/>
      </c>
      <c r="Q115" s="10" t="str">
        <f>IF(tblSales[[#This Row],[Key]]="","",IFERROR(INDEX(ตารางรวม!$D:$D,MATCH(tblSales[[#This Row],[Key]],ตารางรวม!$Z:$Z,0))*tblSales[[#This Row],[จำนวนแก้ว]],0))</f>
        <v/>
      </c>
      <c r="R115" s="10" t="str">
        <f>IF(tblSales[[#This Row],[Key]]="","",IFERROR(INDEX(ตารางรวม!$E:$E,MATCH(tblSales[[#This Row],[Key]],ตารางรวม!$Z:$Z,0))*tblSales[[#This Row],[จำนวนแก้ว]],0))</f>
        <v/>
      </c>
      <c r="S115" s="10" t="str">
        <f>IF(tblSales[[#This Row],[Key]]="","",IFERROR(INDEX(ตารางรวม!$F:$F,MATCH(tblSales[[#This Row],[Key]],ตารางรวม!$Z:$Z,0))*tblSales[[#This Row],[จำนวนแก้ว]],0))</f>
        <v/>
      </c>
      <c r="T115" s="10" t="str">
        <f>IF(tblSales[[#This Row],[Key]]="","",IFERROR(INDEX(ตารางรวม!$G:$G,MATCH(tblSales[[#This Row],[Key]],ตารางรวม!$Z:$Z,0))*tblSales[[#This Row],[จำนวนแก้ว]],0))</f>
        <v/>
      </c>
      <c r="U115" s="10" t="str">
        <f>IF(tblSales[[#This Row],[Key]]="","",IFERROR(INDEX(ตารางรวม!$H:$H,MATCH(tblSales[[#This Row],[Key]],ตารางรวม!$Z:$Z,0))*tblSales[[#This Row],[จำนวนแก้ว]],0))</f>
        <v/>
      </c>
      <c r="V115" s="10" t="str">
        <f>IF(tblSales[[#This Row],[Key]]="","",IFERROR(INDEX(ตารางรวม!$I:$I,MATCH(tblSales[[#This Row],[Key]],ตารางรวม!$Z:$Z,0))*tblSales[[#This Row],[จำนวนแก้ว]],0))</f>
        <v/>
      </c>
      <c r="W115" s="10" t="str">
        <f>IF(tblSales[[#This Row],[Key]]="","",IFERROR(INDEX(ตารางรวม!$J:$J,MATCH(tblSales[[#This Row],[Key]],ตารางรวม!$Z:$Z,0))*tblSales[[#This Row],[จำนวนแก้ว]],0))</f>
        <v/>
      </c>
      <c r="X115" s="10" t="str">
        <f>IF(tblSales[[#This Row],[Key]]="","",IFERROR(INDEX(ตารางรวม!$K:$K,MATCH(tblSales[[#This Row],[Key]],ตารางรวม!$Z:$Z,0))*tblSales[[#This Row],[จำนวนแก้ว]],0))</f>
        <v/>
      </c>
      <c r="Y115" s="10" t="str">
        <f>IF(tblSales[[#This Row],[Key]]="","",IFERROR(INDEX(ตารางรวม!$L:$L,MATCH(tblSales[[#This Row],[Key]],ตารางรวม!$Z:$Z,0))*tblSales[[#This Row],[จำนวนแก้ว]],0))</f>
        <v/>
      </c>
      <c r="Z11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5" s="10" t="str">
        <f>IF(tblSales[[#This Row],[Key]]="","",IF(tblSales[[#This Row],[ขนาด]]="16 oz",tblSales[[#This Row],[จำนวนแก้ว]],0))</f>
        <v/>
      </c>
      <c r="AI115" s="10" t="str">
        <f>IF(tblSales[[#This Row],[Key]]="","",IF(tblSales[[#This Row],[ขนาด]]="20 oz",tblSales[[#This Row],[จำนวนแก้ว]],0))</f>
        <v/>
      </c>
      <c r="AJ115" s="10" t="str">
        <f>IF(tblSales[[#This Row],[Key]]="","",IF(tblSales[[#This Row],[ขนาด]]="22 oz",tblSales[[#This Row],[จำนวนแก้ว]],0))</f>
        <v/>
      </c>
    </row>
    <row r="116" spans="1:36" x14ac:dyDescent="0.25">
      <c r="A116" s="4" t="str">
        <f>IF(tblSales[[#This Row],[วันที่]]="","","S"&amp;TEXT(tblSales[[#This Row],[วันที่]],"yymmdd")&amp;"-"&amp;TEXT(ROW()-5,"000"))</f>
        <v/>
      </c>
      <c r="B116" s="16"/>
      <c r="C116" s="6"/>
      <c r="D116" s="6"/>
      <c r="E116" s="20"/>
      <c r="F116" s="6"/>
      <c r="G116" s="6"/>
      <c r="H116" s="6"/>
      <c r="I116" s="6"/>
      <c r="J11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6" s="8" t="str">
        <f>IF(tblSales[[#This Row],[Key]]="","",IFERROR(INDEX(ตารางรวม!$W:$W,MATCH(tblSales[[#This Row],[Key]],ตารางรวม!$Z:$Z,0)),"ไม่พบสูตร"))</f>
        <v/>
      </c>
      <c r="L116" s="8" t="str">
        <f>IF(tblSales[[#This Row],[Key]]="","",IFERROR(INDEX(ตารางรวม!$V:$V,MATCH(tblSales[[#This Row],[Key]],ตารางรวม!$Z:$Z,0)),"ไม่พบสูตร"))</f>
        <v/>
      </c>
      <c r="M116" s="8" t="str">
        <f>IF(tblSales[[#This Row],[Key]]="","",IFERROR(tblSales[[#This Row],[ราคาต่อแก้ว]]*tblSales[[#This Row],[จำนวนแก้ว]],""))</f>
        <v/>
      </c>
      <c r="N116" s="8" t="str">
        <f>IF(tblSales[[#This Row],[Key]]="","",IFERROR(tblSales[[#This Row],[ต้นทุนต่อแก้ว]]*tblSales[[#This Row],[จำนวนแก้ว]],""))</f>
        <v/>
      </c>
      <c r="O116" s="8" t="str">
        <f>IF(tblSales[[#This Row],[Key]]="","",IFERROR(tblSales[[#This Row],[ยอดขาย (บาท)]]-tblSales[[#This Row],[ต้นทุนรวม (บาท)]],""))</f>
        <v/>
      </c>
      <c r="P116" s="21" t="str">
        <f>IF(tblSales[[#This Row],[Key]]="","",IFERROR(tblSales[[#This Row],[กำไร (บาท)]]/tblSales[[#This Row],[ยอดขาย (บาท)]],""))</f>
        <v/>
      </c>
      <c r="Q116" s="10" t="str">
        <f>IF(tblSales[[#This Row],[Key]]="","",IFERROR(INDEX(ตารางรวม!$D:$D,MATCH(tblSales[[#This Row],[Key]],ตารางรวม!$Z:$Z,0))*tblSales[[#This Row],[จำนวนแก้ว]],0))</f>
        <v/>
      </c>
      <c r="R116" s="10" t="str">
        <f>IF(tblSales[[#This Row],[Key]]="","",IFERROR(INDEX(ตารางรวม!$E:$E,MATCH(tblSales[[#This Row],[Key]],ตารางรวม!$Z:$Z,0))*tblSales[[#This Row],[จำนวนแก้ว]],0))</f>
        <v/>
      </c>
      <c r="S116" s="10" t="str">
        <f>IF(tblSales[[#This Row],[Key]]="","",IFERROR(INDEX(ตารางรวม!$F:$F,MATCH(tblSales[[#This Row],[Key]],ตารางรวม!$Z:$Z,0))*tblSales[[#This Row],[จำนวนแก้ว]],0))</f>
        <v/>
      </c>
      <c r="T116" s="10" t="str">
        <f>IF(tblSales[[#This Row],[Key]]="","",IFERROR(INDEX(ตารางรวม!$G:$G,MATCH(tblSales[[#This Row],[Key]],ตารางรวม!$Z:$Z,0))*tblSales[[#This Row],[จำนวนแก้ว]],0))</f>
        <v/>
      </c>
      <c r="U116" s="10" t="str">
        <f>IF(tblSales[[#This Row],[Key]]="","",IFERROR(INDEX(ตารางรวม!$H:$H,MATCH(tblSales[[#This Row],[Key]],ตารางรวม!$Z:$Z,0))*tblSales[[#This Row],[จำนวนแก้ว]],0))</f>
        <v/>
      </c>
      <c r="V116" s="10" t="str">
        <f>IF(tblSales[[#This Row],[Key]]="","",IFERROR(INDEX(ตารางรวม!$I:$I,MATCH(tblSales[[#This Row],[Key]],ตารางรวม!$Z:$Z,0))*tblSales[[#This Row],[จำนวนแก้ว]],0))</f>
        <v/>
      </c>
      <c r="W116" s="10" t="str">
        <f>IF(tblSales[[#This Row],[Key]]="","",IFERROR(INDEX(ตารางรวม!$J:$J,MATCH(tblSales[[#This Row],[Key]],ตารางรวม!$Z:$Z,0))*tblSales[[#This Row],[จำนวนแก้ว]],0))</f>
        <v/>
      </c>
      <c r="X116" s="10" t="str">
        <f>IF(tblSales[[#This Row],[Key]]="","",IFERROR(INDEX(ตารางรวม!$K:$K,MATCH(tblSales[[#This Row],[Key]],ตารางรวม!$Z:$Z,0))*tblSales[[#This Row],[จำนวนแก้ว]],0))</f>
        <v/>
      </c>
      <c r="Y116" s="10" t="str">
        <f>IF(tblSales[[#This Row],[Key]]="","",IFERROR(INDEX(ตารางรวม!$L:$L,MATCH(tblSales[[#This Row],[Key]],ตารางรวม!$Z:$Z,0))*tblSales[[#This Row],[จำนวนแก้ว]],0))</f>
        <v/>
      </c>
      <c r="Z11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6" s="10" t="str">
        <f>IF(tblSales[[#This Row],[Key]]="","",IF(tblSales[[#This Row],[ขนาด]]="16 oz",tblSales[[#This Row],[จำนวนแก้ว]],0))</f>
        <v/>
      </c>
      <c r="AI116" s="10" t="str">
        <f>IF(tblSales[[#This Row],[Key]]="","",IF(tblSales[[#This Row],[ขนาด]]="20 oz",tblSales[[#This Row],[จำนวนแก้ว]],0))</f>
        <v/>
      </c>
      <c r="AJ116" s="10" t="str">
        <f>IF(tblSales[[#This Row],[Key]]="","",IF(tblSales[[#This Row],[ขนาด]]="22 oz",tblSales[[#This Row],[จำนวนแก้ว]],0))</f>
        <v/>
      </c>
    </row>
    <row r="117" spans="1:36" x14ac:dyDescent="0.25">
      <c r="A117" s="4" t="str">
        <f>IF(tblSales[[#This Row],[วันที่]]="","","S"&amp;TEXT(tblSales[[#This Row],[วันที่]],"yymmdd")&amp;"-"&amp;TEXT(ROW()-5,"000"))</f>
        <v/>
      </c>
      <c r="B117" s="16"/>
      <c r="C117" s="6"/>
      <c r="D117" s="6"/>
      <c r="E117" s="20"/>
      <c r="F117" s="6"/>
      <c r="G117" s="6"/>
      <c r="H117" s="6"/>
      <c r="I117" s="6"/>
      <c r="J11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7" s="8" t="str">
        <f>IF(tblSales[[#This Row],[Key]]="","",IFERROR(INDEX(ตารางรวม!$W:$W,MATCH(tblSales[[#This Row],[Key]],ตารางรวม!$Z:$Z,0)),"ไม่พบสูตร"))</f>
        <v/>
      </c>
      <c r="L117" s="8" t="str">
        <f>IF(tblSales[[#This Row],[Key]]="","",IFERROR(INDEX(ตารางรวม!$V:$V,MATCH(tblSales[[#This Row],[Key]],ตารางรวม!$Z:$Z,0)),"ไม่พบสูตร"))</f>
        <v/>
      </c>
      <c r="M117" s="8" t="str">
        <f>IF(tblSales[[#This Row],[Key]]="","",IFERROR(tblSales[[#This Row],[ราคาต่อแก้ว]]*tblSales[[#This Row],[จำนวนแก้ว]],""))</f>
        <v/>
      </c>
      <c r="N117" s="8" t="str">
        <f>IF(tblSales[[#This Row],[Key]]="","",IFERROR(tblSales[[#This Row],[ต้นทุนต่อแก้ว]]*tblSales[[#This Row],[จำนวนแก้ว]],""))</f>
        <v/>
      </c>
      <c r="O117" s="8" t="str">
        <f>IF(tblSales[[#This Row],[Key]]="","",IFERROR(tblSales[[#This Row],[ยอดขาย (บาท)]]-tblSales[[#This Row],[ต้นทุนรวม (บาท)]],""))</f>
        <v/>
      </c>
      <c r="P117" s="21" t="str">
        <f>IF(tblSales[[#This Row],[Key]]="","",IFERROR(tblSales[[#This Row],[กำไร (บาท)]]/tblSales[[#This Row],[ยอดขาย (บาท)]],""))</f>
        <v/>
      </c>
      <c r="Q117" s="10" t="str">
        <f>IF(tblSales[[#This Row],[Key]]="","",IFERROR(INDEX(ตารางรวม!$D:$D,MATCH(tblSales[[#This Row],[Key]],ตารางรวม!$Z:$Z,0))*tblSales[[#This Row],[จำนวนแก้ว]],0))</f>
        <v/>
      </c>
      <c r="R117" s="10" t="str">
        <f>IF(tblSales[[#This Row],[Key]]="","",IFERROR(INDEX(ตารางรวม!$E:$E,MATCH(tblSales[[#This Row],[Key]],ตารางรวม!$Z:$Z,0))*tblSales[[#This Row],[จำนวนแก้ว]],0))</f>
        <v/>
      </c>
      <c r="S117" s="10" t="str">
        <f>IF(tblSales[[#This Row],[Key]]="","",IFERROR(INDEX(ตารางรวม!$F:$F,MATCH(tblSales[[#This Row],[Key]],ตารางรวม!$Z:$Z,0))*tblSales[[#This Row],[จำนวนแก้ว]],0))</f>
        <v/>
      </c>
      <c r="T117" s="10" t="str">
        <f>IF(tblSales[[#This Row],[Key]]="","",IFERROR(INDEX(ตารางรวม!$G:$G,MATCH(tblSales[[#This Row],[Key]],ตารางรวม!$Z:$Z,0))*tblSales[[#This Row],[จำนวนแก้ว]],0))</f>
        <v/>
      </c>
      <c r="U117" s="10" t="str">
        <f>IF(tblSales[[#This Row],[Key]]="","",IFERROR(INDEX(ตารางรวม!$H:$H,MATCH(tblSales[[#This Row],[Key]],ตารางรวม!$Z:$Z,0))*tblSales[[#This Row],[จำนวนแก้ว]],0))</f>
        <v/>
      </c>
      <c r="V117" s="10" t="str">
        <f>IF(tblSales[[#This Row],[Key]]="","",IFERROR(INDEX(ตารางรวม!$I:$I,MATCH(tblSales[[#This Row],[Key]],ตารางรวม!$Z:$Z,0))*tblSales[[#This Row],[จำนวนแก้ว]],0))</f>
        <v/>
      </c>
      <c r="W117" s="10" t="str">
        <f>IF(tblSales[[#This Row],[Key]]="","",IFERROR(INDEX(ตารางรวม!$J:$J,MATCH(tblSales[[#This Row],[Key]],ตารางรวม!$Z:$Z,0))*tblSales[[#This Row],[จำนวนแก้ว]],0))</f>
        <v/>
      </c>
      <c r="X117" s="10" t="str">
        <f>IF(tblSales[[#This Row],[Key]]="","",IFERROR(INDEX(ตารางรวม!$K:$K,MATCH(tblSales[[#This Row],[Key]],ตารางรวม!$Z:$Z,0))*tblSales[[#This Row],[จำนวนแก้ว]],0))</f>
        <v/>
      </c>
      <c r="Y117" s="10" t="str">
        <f>IF(tblSales[[#This Row],[Key]]="","",IFERROR(INDEX(ตารางรวม!$L:$L,MATCH(tblSales[[#This Row],[Key]],ตารางรวม!$Z:$Z,0))*tblSales[[#This Row],[จำนวนแก้ว]],0))</f>
        <v/>
      </c>
      <c r="Z11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7" s="10" t="str">
        <f>IF(tblSales[[#This Row],[Key]]="","",IF(tblSales[[#This Row],[ขนาด]]="16 oz",tblSales[[#This Row],[จำนวนแก้ว]],0))</f>
        <v/>
      </c>
      <c r="AI117" s="10" t="str">
        <f>IF(tblSales[[#This Row],[Key]]="","",IF(tblSales[[#This Row],[ขนาด]]="20 oz",tblSales[[#This Row],[จำนวนแก้ว]],0))</f>
        <v/>
      </c>
      <c r="AJ117" s="10" t="str">
        <f>IF(tblSales[[#This Row],[Key]]="","",IF(tblSales[[#This Row],[ขนาด]]="22 oz",tblSales[[#This Row],[จำนวนแก้ว]],0))</f>
        <v/>
      </c>
    </row>
    <row r="118" spans="1:36" x14ac:dyDescent="0.25">
      <c r="A118" s="4" t="str">
        <f>IF(tblSales[[#This Row],[วันที่]]="","","S"&amp;TEXT(tblSales[[#This Row],[วันที่]],"yymmdd")&amp;"-"&amp;TEXT(ROW()-5,"000"))</f>
        <v/>
      </c>
      <c r="B118" s="16"/>
      <c r="C118" s="6"/>
      <c r="D118" s="6"/>
      <c r="E118" s="20"/>
      <c r="F118" s="6"/>
      <c r="G118" s="6"/>
      <c r="H118" s="6"/>
      <c r="I118" s="6"/>
      <c r="J11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8" s="8" t="str">
        <f>IF(tblSales[[#This Row],[Key]]="","",IFERROR(INDEX(ตารางรวม!$W:$W,MATCH(tblSales[[#This Row],[Key]],ตารางรวม!$Z:$Z,0)),"ไม่พบสูตร"))</f>
        <v/>
      </c>
      <c r="L118" s="8" t="str">
        <f>IF(tblSales[[#This Row],[Key]]="","",IFERROR(INDEX(ตารางรวม!$V:$V,MATCH(tblSales[[#This Row],[Key]],ตารางรวม!$Z:$Z,0)),"ไม่พบสูตร"))</f>
        <v/>
      </c>
      <c r="M118" s="8" t="str">
        <f>IF(tblSales[[#This Row],[Key]]="","",IFERROR(tblSales[[#This Row],[ราคาต่อแก้ว]]*tblSales[[#This Row],[จำนวนแก้ว]],""))</f>
        <v/>
      </c>
      <c r="N118" s="8" t="str">
        <f>IF(tblSales[[#This Row],[Key]]="","",IFERROR(tblSales[[#This Row],[ต้นทุนต่อแก้ว]]*tblSales[[#This Row],[จำนวนแก้ว]],""))</f>
        <v/>
      </c>
      <c r="O118" s="8" t="str">
        <f>IF(tblSales[[#This Row],[Key]]="","",IFERROR(tblSales[[#This Row],[ยอดขาย (บาท)]]-tblSales[[#This Row],[ต้นทุนรวม (บาท)]],""))</f>
        <v/>
      </c>
      <c r="P118" s="21" t="str">
        <f>IF(tblSales[[#This Row],[Key]]="","",IFERROR(tblSales[[#This Row],[กำไร (บาท)]]/tblSales[[#This Row],[ยอดขาย (บาท)]],""))</f>
        <v/>
      </c>
      <c r="Q118" s="10" t="str">
        <f>IF(tblSales[[#This Row],[Key]]="","",IFERROR(INDEX(ตารางรวม!$D:$D,MATCH(tblSales[[#This Row],[Key]],ตารางรวม!$Z:$Z,0))*tblSales[[#This Row],[จำนวนแก้ว]],0))</f>
        <v/>
      </c>
      <c r="R118" s="10" t="str">
        <f>IF(tblSales[[#This Row],[Key]]="","",IFERROR(INDEX(ตารางรวม!$E:$E,MATCH(tblSales[[#This Row],[Key]],ตารางรวม!$Z:$Z,0))*tblSales[[#This Row],[จำนวนแก้ว]],0))</f>
        <v/>
      </c>
      <c r="S118" s="10" t="str">
        <f>IF(tblSales[[#This Row],[Key]]="","",IFERROR(INDEX(ตารางรวม!$F:$F,MATCH(tblSales[[#This Row],[Key]],ตารางรวม!$Z:$Z,0))*tblSales[[#This Row],[จำนวนแก้ว]],0))</f>
        <v/>
      </c>
      <c r="T118" s="10" t="str">
        <f>IF(tblSales[[#This Row],[Key]]="","",IFERROR(INDEX(ตารางรวม!$G:$G,MATCH(tblSales[[#This Row],[Key]],ตารางรวม!$Z:$Z,0))*tblSales[[#This Row],[จำนวนแก้ว]],0))</f>
        <v/>
      </c>
      <c r="U118" s="10" t="str">
        <f>IF(tblSales[[#This Row],[Key]]="","",IFERROR(INDEX(ตารางรวม!$H:$H,MATCH(tblSales[[#This Row],[Key]],ตารางรวม!$Z:$Z,0))*tblSales[[#This Row],[จำนวนแก้ว]],0))</f>
        <v/>
      </c>
      <c r="V118" s="10" t="str">
        <f>IF(tblSales[[#This Row],[Key]]="","",IFERROR(INDEX(ตารางรวม!$I:$I,MATCH(tblSales[[#This Row],[Key]],ตารางรวม!$Z:$Z,0))*tblSales[[#This Row],[จำนวนแก้ว]],0))</f>
        <v/>
      </c>
      <c r="W118" s="10" t="str">
        <f>IF(tblSales[[#This Row],[Key]]="","",IFERROR(INDEX(ตารางรวม!$J:$J,MATCH(tblSales[[#This Row],[Key]],ตารางรวม!$Z:$Z,0))*tblSales[[#This Row],[จำนวนแก้ว]],0))</f>
        <v/>
      </c>
      <c r="X118" s="10" t="str">
        <f>IF(tblSales[[#This Row],[Key]]="","",IFERROR(INDEX(ตารางรวม!$K:$K,MATCH(tblSales[[#This Row],[Key]],ตารางรวม!$Z:$Z,0))*tblSales[[#This Row],[จำนวนแก้ว]],0))</f>
        <v/>
      </c>
      <c r="Y118" s="10" t="str">
        <f>IF(tblSales[[#This Row],[Key]]="","",IFERROR(INDEX(ตารางรวม!$L:$L,MATCH(tblSales[[#This Row],[Key]],ตารางรวม!$Z:$Z,0))*tblSales[[#This Row],[จำนวนแก้ว]],0))</f>
        <v/>
      </c>
      <c r="Z11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8" s="10" t="str">
        <f>IF(tblSales[[#This Row],[Key]]="","",IF(tblSales[[#This Row],[ขนาด]]="16 oz",tblSales[[#This Row],[จำนวนแก้ว]],0))</f>
        <v/>
      </c>
      <c r="AI118" s="10" t="str">
        <f>IF(tblSales[[#This Row],[Key]]="","",IF(tblSales[[#This Row],[ขนาด]]="20 oz",tblSales[[#This Row],[จำนวนแก้ว]],0))</f>
        <v/>
      </c>
      <c r="AJ118" s="10" t="str">
        <f>IF(tblSales[[#This Row],[Key]]="","",IF(tblSales[[#This Row],[ขนาด]]="22 oz",tblSales[[#This Row],[จำนวนแก้ว]],0))</f>
        <v/>
      </c>
    </row>
    <row r="119" spans="1:36" x14ac:dyDescent="0.25">
      <c r="A119" s="4" t="str">
        <f>IF(tblSales[[#This Row],[วันที่]]="","","S"&amp;TEXT(tblSales[[#This Row],[วันที่]],"yymmdd")&amp;"-"&amp;TEXT(ROW()-5,"000"))</f>
        <v/>
      </c>
      <c r="B119" s="16"/>
      <c r="C119" s="6"/>
      <c r="D119" s="6"/>
      <c r="E119" s="20"/>
      <c r="F119" s="6"/>
      <c r="G119" s="6"/>
      <c r="H119" s="6"/>
      <c r="I119" s="6"/>
      <c r="J11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19" s="8" t="str">
        <f>IF(tblSales[[#This Row],[Key]]="","",IFERROR(INDEX(ตารางรวม!$W:$W,MATCH(tblSales[[#This Row],[Key]],ตารางรวม!$Z:$Z,0)),"ไม่พบสูตร"))</f>
        <v/>
      </c>
      <c r="L119" s="8" t="str">
        <f>IF(tblSales[[#This Row],[Key]]="","",IFERROR(INDEX(ตารางรวม!$V:$V,MATCH(tblSales[[#This Row],[Key]],ตารางรวม!$Z:$Z,0)),"ไม่พบสูตร"))</f>
        <v/>
      </c>
      <c r="M119" s="8" t="str">
        <f>IF(tblSales[[#This Row],[Key]]="","",IFERROR(tblSales[[#This Row],[ราคาต่อแก้ว]]*tblSales[[#This Row],[จำนวนแก้ว]],""))</f>
        <v/>
      </c>
      <c r="N119" s="8" t="str">
        <f>IF(tblSales[[#This Row],[Key]]="","",IFERROR(tblSales[[#This Row],[ต้นทุนต่อแก้ว]]*tblSales[[#This Row],[จำนวนแก้ว]],""))</f>
        <v/>
      </c>
      <c r="O119" s="8" t="str">
        <f>IF(tblSales[[#This Row],[Key]]="","",IFERROR(tblSales[[#This Row],[ยอดขาย (บาท)]]-tblSales[[#This Row],[ต้นทุนรวม (บาท)]],""))</f>
        <v/>
      </c>
      <c r="P119" s="21" t="str">
        <f>IF(tblSales[[#This Row],[Key]]="","",IFERROR(tblSales[[#This Row],[กำไร (บาท)]]/tblSales[[#This Row],[ยอดขาย (บาท)]],""))</f>
        <v/>
      </c>
      <c r="Q119" s="10" t="str">
        <f>IF(tblSales[[#This Row],[Key]]="","",IFERROR(INDEX(ตารางรวม!$D:$D,MATCH(tblSales[[#This Row],[Key]],ตารางรวม!$Z:$Z,0))*tblSales[[#This Row],[จำนวนแก้ว]],0))</f>
        <v/>
      </c>
      <c r="R119" s="10" t="str">
        <f>IF(tblSales[[#This Row],[Key]]="","",IFERROR(INDEX(ตารางรวม!$E:$E,MATCH(tblSales[[#This Row],[Key]],ตารางรวม!$Z:$Z,0))*tblSales[[#This Row],[จำนวนแก้ว]],0))</f>
        <v/>
      </c>
      <c r="S119" s="10" t="str">
        <f>IF(tblSales[[#This Row],[Key]]="","",IFERROR(INDEX(ตารางรวม!$F:$F,MATCH(tblSales[[#This Row],[Key]],ตารางรวม!$Z:$Z,0))*tblSales[[#This Row],[จำนวนแก้ว]],0))</f>
        <v/>
      </c>
      <c r="T119" s="10" t="str">
        <f>IF(tblSales[[#This Row],[Key]]="","",IFERROR(INDEX(ตารางรวม!$G:$G,MATCH(tblSales[[#This Row],[Key]],ตารางรวม!$Z:$Z,0))*tblSales[[#This Row],[จำนวนแก้ว]],0))</f>
        <v/>
      </c>
      <c r="U119" s="10" t="str">
        <f>IF(tblSales[[#This Row],[Key]]="","",IFERROR(INDEX(ตารางรวม!$H:$H,MATCH(tblSales[[#This Row],[Key]],ตารางรวม!$Z:$Z,0))*tblSales[[#This Row],[จำนวนแก้ว]],0))</f>
        <v/>
      </c>
      <c r="V119" s="10" t="str">
        <f>IF(tblSales[[#This Row],[Key]]="","",IFERROR(INDEX(ตารางรวม!$I:$I,MATCH(tblSales[[#This Row],[Key]],ตารางรวม!$Z:$Z,0))*tblSales[[#This Row],[จำนวนแก้ว]],0))</f>
        <v/>
      </c>
      <c r="W119" s="10" t="str">
        <f>IF(tblSales[[#This Row],[Key]]="","",IFERROR(INDEX(ตารางรวม!$J:$J,MATCH(tblSales[[#This Row],[Key]],ตารางรวม!$Z:$Z,0))*tblSales[[#This Row],[จำนวนแก้ว]],0))</f>
        <v/>
      </c>
      <c r="X119" s="10" t="str">
        <f>IF(tblSales[[#This Row],[Key]]="","",IFERROR(INDEX(ตารางรวม!$K:$K,MATCH(tblSales[[#This Row],[Key]],ตารางรวม!$Z:$Z,0))*tblSales[[#This Row],[จำนวนแก้ว]],0))</f>
        <v/>
      </c>
      <c r="Y119" s="10" t="str">
        <f>IF(tblSales[[#This Row],[Key]]="","",IFERROR(INDEX(ตารางรวม!$L:$L,MATCH(tblSales[[#This Row],[Key]],ตารางรวม!$Z:$Z,0))*tblSales[[#This Row],[จำนวนแก้ว]],0))</f>
        <v/>
      </c>
      <c r="Z11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1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1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1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1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1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1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1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19" s="10" t="str">
        <f>IF(tblSales[[#This Row],[Key]]="","",IF(tblSales[[#This Row],[ขนาด]]="16 oz",tblSales[[#This Row],[จำนวนแก้ว]],0))</f>
        <v/>
      </c>
      <c r="AI119" s="10" t="str">
        <f>IF(tblSales[[#This Row],[Key]]="","",IF(tblSales[[#This Row],[ขนาด]]="20 oz",tblSales[[#This Row],[จำนวนแก้ว]],0))</f>
        <v/>
      </c>
      <c r="AJ119" s="10" t="str">
        <f>IF(tblSales[[#This Row],[Key]]="","",IF(tblSales[[#This Row],[ขนาด]]="22 oz",tblSales[[#This Row],[จำนวนแก้ว]],0))</f>
        <v/>
      </c>
    </row>
    <row r="120" spans="1:36" x14ac:dyDescent="0.25">
      <c r="A120" s="4" t="str">
        <f>IF(tblSales[[#This Row],[วันที่]]="","","S"&amp;TEXT(tblSales[[#This Row],[วันที่]],"yymmdd")&amp;"-"&amp;TEXT(ROW()-5,"000"))</f>
        <v/>
      </c>
      <c r="B120" s="16"/>
      <c r="C120" s="6"/>
      <c r="D120" s="6"/>
      <c r="E120" s="20"/>
      <c r="F120" s="6"/>
      <c r="G120" s="6"/>
      <c r="H120" s="6"/>
      <c r="I120" s="6"/>
      <c r="J12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0" s="8" t="str">
        <f>IF(tblSales[[#This Row],[Key]]="","",IFERROR(INDEX(ตารางรวม!$W:$W,MATCH(tblSales[[#This Row],[Key]],ตารางรวม!$Z:$Z,0)),"ไม่พบสูตร"))</f>
        <v/>
      </c>
      <c r="L120" s="8" t="str">
        <f>IF(tblSales[[#This Row],[Key]]="","",IFERROR(INDEX(ตารางรวม!$V:$V,MATCH(tblSales[[#This Row],[Key]],ตารางรวม!$Z:$Z,0)),"ไม่พบสูตร"))</f>
        <v/>
      </c>
      <c r="M120" s="8" t="str">
        <f>IF(tblSales[[#This Row],[Key]]="","",IFERROR(tblSales[[#This Row],[ราคาต่อแก้ว]]*tblSales[[#This Row],[จำนวนแก้ว]],""))</f>
        <v/>
      </c>
      <c r="N120" s="8" t="str">
        <f>IF(tblSales[[#This Row],[Key]]="","",IFERROR(tblSales[[#This Row],[ต้นทุนต่อแก้ว]]*tblSales[[#This Row],[จำนวนแก้ว]],""))</f>
        <v/>
      </c>
      <c r="O120" s="8" t="str">
        <f>IF(tblSales[[#This Row],[Key]]="","",IFERROR(tblSales[[#This Row],[ยอดขาย (บาท)]]-tblSales[[#This Row],[ต้นทุนรวม (บาท)]],""))</f>
        <v/>
      </c>
      <c r="P120" s="21" t="str">
        <f>IF(tblSales[[#This Row],[Key]]="","",IFERROR(tblSales[[#This Row],[กำไร (บาท)]]/tblSales[[#This Row],[ยอดขาย (บาท)]],""))</f>
        <v/>
      </c>
      <c r="Q120" s="10" t="str">
        <f>IF(tblSales[[#This Row],[Key]]="","",IFERROR(INDEX(ตารางรวม!$D:$D,MATCH(tblSales[[#This Row],[Key]],ตารางรวม!$Z:$Z,0))*tblSales[[#This Row],[จำนวนแก้ว]],0))</f>
        <v/>
      </c>
      <c r="R120" s="10" t="str">
        <f>IF(tblSales[[#This Row],[Key]]="","",IFERROR(INDEX(ตารางรวม!$E:$E,MATCH(tblSales[[#This Row],[Key]],ตารางรวม!$Z:$Z,0))*tblSales[[#This Row],[จำนวนแก้ว]],0))</f>
        <v/>
      </c>
      <c r="S120" s="10" t="str">
        <f>IF(tblSales[[#This Row],[Key]]="","",IFERROR(INDEX(ตารางรวม!$F:$F,MATCH(tblSales[[#This Row],[Key]],ตารางรวม!$Z:$Z,0))*tblSales[[#This Row],[จำนวนแก้ว]],0))</f>
        <v/>
      </c>
      <c r="T120" s="10" t="str">
        <f>IF(tblSales[[#This Row],[Key]]="","",IFERROR(INDEX(ตารางรวม!$G:$G,MATCH(tblSales[[#This Row],[Key]],ตารางรวม!$Z:$Z,0))*tblSales[[#This Row],[จำนวนแก้ว]],0))</f>
        <v/>
      </c>
      <c r="U120" s="10" t="str">
        <f>IF(tblSales[[#This Row],[Key]]="","",IFERROR(INDEX(ตารางรวม!$H:$H,MATCH(tblSales[[#This Row],[Key]],ตารางรวม!$Z:$Z,0))*tblSales[[#This Row],[จำนวนแก้ว]],0))</f>
        <v/>
      </c>
      <c r="V120" s="10" t="str">
        <f>IF(tblSales[[#This Row],[Key]]="","",IFERROR(INDEX(ตารางรวม!$I:$I,MATCH(tblSales[[#This Row],[Key]],ตารางรวม!$Z:$Z,0))*tblSales[[#This Row],[จำนวนแก้ว]],0))</f>
        <v/>
      </c>
      <c r="W120" s="10" t="str">
        <f>IF(tblSales[[#This Row],[Key]]="","",IFERROR(INDEX(ตารางรวม!$J:$J,MATCH(tblSales[[#This Row],[Key]],ตารางรวม!$Z:$Z,0))*tblSales[[#This Row],[จำนวนแก้ว]],0))</f>
        <v/>
      </c>
      <c r="X120" s="10" t="str">
        <f>IF(tblSales[[#This Row],[Key]]="","",IFERROR(INDEX(ตารางรวม!$K:$K,MATCH(tblSales[[#This Row],[Key]],ตารางรวม!$Z:$Z,0))*tblSales[[#This Row],[จำนวนแก้ว]],0))</f>
        <v/>
      </c>
      <c r="Y120" s="10" t="str">
        <f>IF(tblSales[[#This Row],[Key]]="","",IFERROR(INDEX(ตารางรวม!$L:$L,MATCH(tblSales[[#This Row],[Key]],ตารางรวม!$Z:$Z,0))*tblSales[[#This Row],[จำนวนแก้ว]],0))</f>
        <v/>
      </c>
      <c r="Z12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0" s="10" t="str">
        <f>IF(tblSales[[#This Row],[Key]]="","",IF(tblSales[[#This Row],[ขนาด]]="16 oz",tblSales[[#This Row],[จำนวนแก้ว]],0))</f>
        <v/>
      </c>
      <c r="AI120" s="10" t="str">
        <f>IF(tblSales[[#This Row],[Key]]="","",IF(tblSales[[#This Row],[ขนาด]]="20 oz",tblSales[[#This Row],[จำนวนแก้ว]],0))</f>
        <v/>
      </c>
      <c r="AJ120" s="10" t="str">
        <f>IF(tblSales[[#This Row],[Key]]="","",IF(tblSales[[#This Row],[ขนาด]]="22 oz",tblSales[[#This Row],[จำนวนแก้ว]],0))</f>
        <v/>
      </c>
    </row>
    <row r="121" spans="1:36" x14ac:dyDescent="0.25">
      <c r="A121" s="4" t="str">
        <f>IF(tblSales[[#This Row],[วันที่]]="","","S"&amp;TEXT(tblSales[[#This Row],[วันที่]],"yymmdd")&amp;"-"&amp;TEXT(ROW()-5,"000"))</f>
        <v/>
      </c>
      <c r="B121" s="16"/>
      <c r="C121" s="6"/>
      <c r="D121" s="6"/>
      <c r="E121" s="20"/>
      <c r="F121" s="6"/>
      <c r="G121" s="6"/>
      <c r="H121" s="6"/>
      <c r="I121" s="6"/>
      <c r="J12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1" s="8" t="str">
        <f>IF(tblSales[[#This Row],[Key]]="","",IFERROR(INDEX(ตารางรวม!$W:$W,MATCH(tblSales[[#This Row],[Key]],ตารางรวม!$Z:$Z,0)),"ไม่พบสูตร"))</f>
        <v/>
      </c>
      <c r="L121" s="8" t="str">
        <f>IF(tblSales[[#This Row],[Key]]="","",IFERROR(INDEX(ตารางรวม!$V:$V,MATCH(tblSales[[#This Row],[Key]],ตารางรวม!$Z:$Z,0)),"ไม่พบสูตร"))</f>
        <v/>
      </c>
      <c r="M121" s="8" t="str">
        <f>IF(tblSales[[#This Row],[Key]]="","",IFERROR(tblSales[[#This Row],[ราคาต่อแก้ว]]*tblSales[[#This Row],[จำนวนแก้ว]],""))</f>
        <v/>
      </c>
      <c r="N121" s="8" t="str">
        <f>IF(tblSales[[#This Row],[Key]]="","",IFERROR(tblSales[[#This Row],[ต้นทุนต่อแก้ว]]*tblSales[[#This Row],[จำนวนแก้ว]],""))</f>
        <v/>
      </c>
      <c r="O121" s="8" t="str">
        <f>IF(tblSales[[#This Row],[Key]]="","",IFERROR(tblSales[[#This Row],[ยอดขาย (บาท)]]-tblSales[[#This Row],[ต้นทุนรวม (บาท)]],""))</f>
        <v/>
      </c>
      <c r="P121" s="21" t="str">
        <f>IF(tblSales[[#This Row],[Key]]="","",IFERROR(tblSales[[#This Row],[กำไร (บาท)]]/tblSales[[#This Row],[ยอดขาย (บาท)]],""))</f>
        <v/>
      </c>
      <c r="Q121" s="10" t="str">
        <f>IF(tblSales[[#This Row],[Key]]="","",IFERROR(INDEX(ตารางรวม!$D:$D,MATCH(tblSales[[#This Row],[Key]],ตารางรวม!$Z:$Z,0))*tblSales[[#This Row],[จำนวนแก้ว]],0))</f>
        <v/>
      </c>
      <c r="R121" s="10" t="str">
        <f>IF(tblSales[[#This Row],[Key]]="","",IFERROR(INDEX(ตารางรวม!$E:$E,MATCH(tblSales[[#This Row],[Key]],ตารางรวม!$Z:$Z,0))*tblSales[[#This Row],[จำนวนแก้ว]],0))</f>
        <v/>
      </c>
      <c r="S121" s="10" t="str">
        <f>IF(tblSales[[#This Row],[Key]]="","",IFERROR(INDEX(ตารางรวม!$F:$F,MATCH(tblSales[[#This Row],[Key]],ตารางรวม!$Z:$Z,0))*tblSales[[#This Row],[จำนวนแก้ว]],0))</f>
        <v/>
      </c>
      <c r="T121" s="10" t="str">
        <f>IF(tblSales[[#This Row],[Key]]="","",IFERROR(INDEX(ตารางรวม!$G:$G,MATCH(tblSales[[#This Row],[Key]],ตารางรวม!$Z:$Z,0))*tblSales[[#This Row],[จำนวนแก้ว]],0))</f>
        <v/>
      </c>
      <c r="U121" s="10" t="str">
        <f>IF(tblSales[[#This Row],[Key]]="","",IFERROR(INDEX(ตารางรวม!$H:$H,MATCH(tblSales[[#This Row],[Key]],ตารางรวม!$Z:$Z,0))*tblSales[[#This Row],[จำนวนแก้ว]],0))</f>
        <v/>
      </c>
      <c r="V121" s="10" t="str">
        <f>IF(tblSales[[#This Row],[Key]]="","",IFERROR(INDEX(ตารางรวม!$I:$I,MATCH(tblSales[[#This Row],[Key]],ตารางรวม!$Z:$Z,0))*tblSales[[#This Row],[จำนวนแก้ว]],0))</f>
        <v/>
      </c>
      <c r="W121" s="10" t="str">
        <f>IF(tblSales[[#This Row],[Key]]="","",IFERROR(INDEX(ตารางรวม!$J:$J,MATCH(tblSales[[#This Row],[Key]],ตารางรวม!$Z:$Z,0))*tblSales[[#This Row],[จำนวนแก้ว]],0))</f>
        <v/>
      </c>
      <c r="X121" s="10" t="str">
        <f>IF(tblSales[[#This Row],[Key]]="","",IFERROR(INDEX(ตารางรวม!$K:$K,MATCH(tblSales[[#This Row],[Key]],ตารางรวม!$Z:$Z,0))*tblSales[[#This Row],[จำนวนแก้ว]],0))</f>
        <v/>
      </c>
      <c r="Y121" s="10" t="str">
        <f>IF(tblSales[[#This Row],[Key]]="","",IFERROR(INDEX(ตารางรวม!$L:$L,MATCH(tblSales[[#This Row],[Key]],ตารางรวม!$Z:$Z,0))*tblSales[[#This Row],[จำนวนแก้ว]],0))</f>
        <v/>
      </c>
      <c r="Z12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1" s="10" t="str">
        <f>IF(tblSales[[#This Row],[Key]]="","",IF(tblSales[[#This Row],[ขนาด]]="16 oz",tblSales[[#This Row],[จำนวนแก้ว]],0))</f>
        <v/>
      </c>
      <c r="AI121" s="10" t="str">
        <f>IF(tblSales[[#This Row],[Key]]="","",IF(tblSales[[#This Row],[ขนาด]]="20 oz",tblSales[[#This Row],[จำนวนแก้ว]],0))</f>
        <v/>
      </c>
      <c r="AJ121" s="10" t="str">
        <f>IF(tblSales[[#This Row],[Key]]="","",IF(tblSales[[#This Row],[ขนาด]]="22 oz",tblSales[[#This Row],[จำนวนแก้ว]],0))</f>
        <v/>
      </c>
    </row>
    <row r="122" spans="1:36" x14ac:dyDescent="0.25">
      <c r="A122" s="4" t="str">
        <f>IF(tblSales[[#This Row],[วันที่]]="","","S"&amp;TEXT(tblSales[[#This Row],[วันที่]],"yymmdd")&amp;"-"&amp;TEXT(ROW()-5,"000"))</f>
        <v/>
      </c>
      <c r="B122" s="16"/>
      <c r="C122" s="6"/>
      <c r="D122" s="6"/>
      <c r="E122" s="20"/>
      <c r="F122" s="6"/>
      <c r="G122" s="6"/>
      <c r="H122" s="6"/>
      <c r="I122" s="6"/>
      <c r="J12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2" s="8" t="str">
        <f>IF(tblSales[[#This Row],[Key]]="","",IFERROR(INDEX(ตารางรวม!$W:$W,MATCH(tblSales[[#This Row],[Key]],ตารางรวม!$Z:$Z,0)),"ไม่พบสูตร"))</f>
        <v/>
      </c>
      <c r="L122" s="8" t="str">
        <f>IF(tblSales[[#This Row],[Key]]="","",IFERROR(INDEX(ตารางรวม!$V:$V,MATCH(tblSales[[#This Row],[Key]],ตารางรวม!$Z:$Z,0)),"ไม่พบสูตร"))</f>
        <v/>
      </c>
      <c r="M122" s="8" t="str">
        <f>IF(tblSales[[#This Row],[Key]]="","",IFERROR(tblSales[[#This Row],[ราคาต่อแก้ว]]*tblSales[[#This Row],[จำนวนแก้ว]],""))</f>
        <v/>
      </c>
      <c r="N122" s="8" t="str">
        <f>IF(tblSales[[#This Row],[Key]]="","",IFERROR(tblSales[[#This Row],[ต้นทุนต่อแก้ว]]*tblSales[[#This Row],[จำนวนแก้ว]],""))</f>
        <v/>
      </c>
      <c r="O122" s="8" t="str">
        <f>IF(tblSales[[#This Row],[Key]]="","",IFERROR(tblSales[[#This Row],[ยอดขาย (บาท)]]-tblSales[[#This Row],[ต้นทุนรวม (บาท)]],""))</f>
        <v/>
      </c>
      <c r="P122" s="21" t="str">
        <f>IF(tblSales[[#This Row],[Key]]="","",IFERROR(tblSales[[#This Row],[กำไร (บาท)]]/tblSales[[#This Row],[ยอดขาย (บาท)]],""))</f>
        <v/>
      </c>
      <c r="Q122" s="10" t="str">
        <f>IF(tblSales[[#This Row],[Key]]="","",IFERROR(INDEX(ตารางรวม!$D:$D,MATCH(tblSales[[#This Row],[Key]],ตารางรวม!$Z:$Z,0))*tblSales[[#This Row],[จำนวนแก้ว]],0))</f>
        <v/>
      </c>
      <c r="R122" s="10" t="str">
        <f>IF(tblSales[[#This Row],[Key]]="","",IFERROR(INDEX(ตารางรวม!$E:$E,MATCH(tblSales[[#This Row],[Key]],ตารางรวม!$Z:$Z,0))*tblSales[[#This Row],[จำนวนแก้ว]],0))</f>
        <v/>
      </c>
      <c r="S122" s="10" t="str">
        <f>IF(tblSales[[#This Row],[Key]]="","",IFERROR(INDEX(ตารางรวม!$F:$F,MATCH(tblSales[[#This Row],[Key]],ตารางรวม!$Z:$Z,0))*tblSales[[#This Row],[จำนวนแก้ว]],0))</f>
        <v/>
      </c>
      <c r="T122" s="10" t="str">
        <f>IF(tblSales[[#This Row],[Key]]="","",IFERROR(INDEX(ตารางรวม!$G:$G,MATCH(tblSales[[#This Row],[Key]],ตารางรวม!$Z:$Z,0))*tblSales[[#This Row],[จำนวนแก้ว]],0))</f>
        <v/>
      </c>
      <c r="U122" s="10" t="str">
        <f>IF(tblSales[[#This Row],[Key]]="","",IFERROR(INDEX(ตารางรวม!$H:$H,MATCH(tblSales[[#This Row],[Key]],ตารางรวม!$Z:$Z,0))*tblSales[[#This Row],[จำนวนแก้ว]],0))</f>
        <v/>
      </c>
      <c r="V122" s="10" t="str">
        <f>IF(tblSales[[#This Row],[Key]]="","",IFERROR(INDEX(ตารางรวม!$I:$I,MATCH(tblSales[[#This Row],[Key]],ตารางรวม!$Z:$Z,0))*tblSales[[#This Row],[จำนวนแก้ว]],0))</f>
        <v/>
      </c>
      <c r="W122" s="10" t="str">
        <f>IF(tblSales[[#This Row],[Key]]="","",IFERROR(INDEX(ตารางรวม!$J:$J,MATCH(tblSales[[#This Row],[Key]],ตารางรวม!$Z:$Z,0))*tblSales[[#This Row],[จำนวนแก้ว]],0))</f>
        <v/>
      </c>
      <c r="X122" s="10" t="str">
        <f>IF(tblSales[[#This Row],[Key]]="","",IFERROR(INDEX(ตารางรวม!$K:$K,MATCH(tblSales[[#This Row],[Key]],ตารางรวม!$Z:$Z,0))*tblSales[[#This Row],[จำนวนแก้ว]],0))</f>
        <v/>
      </c>
      <c r="Y122" s="10" t="str">
        <f>IF(tblSales[[#This Row],[Key]]="","",IFERROR(INDEX(ตารางรวม!$L:$L,MATCH(tblSales[[#This Row],[Key]],ตารางรวม!$Z:$Z,0))*tblSales[[#This Row],[จำนวนแก้ว]],0))</f>
        <v/>
      </c>
      <c r="Z12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2" s="10" t="str">
        <f>IF(tblSales[[#This Row],[Key]]="","",IF(tblSales[[#This Row],[ขนาด]]="16 oz",tblSales[[#This Row],[จำนวนแก้ว]],0))</f>
        <v/>
      </c>
      <c r="AI122" s="10" t="str">
        <f>IF(tblSales[[#This Row],[Key]]="","",IF(tblSales[[#This Row],[ขนาด]]="20 oz",tblSales[[#This Row],[จำนวนแก้ว]],0))</f>
        <v/>
      </c>
      <c r="AJ122" s="10" t="str">
        <f>IF(tblSales[[#This Row],[Key]]="","",IF(tblSales[[#This Row],[ขนาด]]="22 oz",tblSales[[#This Row],[จำนวนแก้ว]],0))</f>
        <v/>
      </c>
    </row>
    <row r="123" spans="1:36" x14ac:dyDescent="0.25">
      <c r="A123" s="4" t="str">
        <f>IF(tblSales[[#This Row],[วันที่]]="","","S"&amp;TEXT(tblSales[[#This Row],[วันที่]],"yymmdd")&amp;"-"&amp;TEXT(ROW()-5,"000"))</f>
        <v/>
      </c>
      <c r="B123" s="16"/>
      <c r="C123" s="6"/>
      <c r="D123" s="6"/>
      <c r="E123" s="20"/>
      <c r="F123" s="6"/>
      <c r="G123" s="6"/>
      <c r="H123" s="6"/>
      <c r="I123" s="6"/>
      <c r="J12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3" s="8" t="str">
        <f>IF(tblSales[[#This Row],[Key]]="","",IFERROR(INDEX(ตารางรวม!$W:$W,MATCH(tblSales[[#This Row],[Key]],ตารางรวม!$Z:$Z,0)),"ไม่พบสูตร"))</f>
        <v/>
      </c>
      <c r="L123" s="8" t="str">
        <f>IF(tblSales[[#This Row],[Key]]="","",IFERROR(INDEX(ตารางรวม!$V:$V,MATCH(tblSales[[#This Row],[Key]],ตารางรวม!$Z:$Z,0)),"ไม่พบสูตร"))</f>
        <v/>
      </c>
      <c r="M123" s="8" t="str">
        <f>IF(tblSales[[#This Row],[Key]]="","",IFERROR(tblSales[[#This Row],[ราคาต่อแก้ว]]*tblSales[[#This Row],[จำนวนแก้ว]],""))</f>
        <v/>
      </c>
      <c r="N123" s="8" t="str">
        <f>IF(tblSales[[#This Row],[Key]]="","",IFERROR(tblSales[[#This Row],[ต้นทุนต่อแก้ว]]*tblSales[[#This Row],[จำนวนแก้ว]],""))</f>
        <v/>
      </c>
      <c r="O123" s="8" t="str">
        <f>IF(tblSales[[#This Row],[Key]]="","",IFERROR(tblSales[[#This Row],[ยอดขาย (บาท)]]-tblSales[[#This Row],[ต้นทุนรวม (บาท)]],""))</f>
        <v/>
      </c>
      <c r="P123" s="21" t="str">
        <f>IF(tblSales[[#This Row],[Key]]="","",IFERROR(tblSales[[#This Row],[กำไร (บาท)]]/tblSales[[#This Row],[ยอดขาย (บาท)]],""))</f>
        <v/>
      </c>
      <c r="Q123" s="10" t="str">
        <f>IF(tblSales[[#This Row],[Key]]="","",IFERROR(INDEX(ตารางรวม!$D:$D,MATCH(tblSales[[#This Row],[Key]],ตารางรวม!$Z:$Z,0))*tblSales[[#This Row],[จำนวนแก้ว]],0))</f>
        <v/>
      </c>
      <c r="R123" s="10" t="str">
        <f>IF(tblSales[[#This Row],[Key]]="","",IFERROR(INDEX(ตารางรวม!$E:$E,MATCH(tblSales[[#This Row],[Key]],ตารางรวม!$Z:$Z,0))*tblSales[[#This Row],[จำนวนแก้ว]],0))</f>
        <v/>
      </c>
      <c r="S123" s="10" t="str">
        <f>IF(tblSales[[#This Row],[Key]]="","",IFERROR(INDEX(ตารางรวม!$F:$F,MATCH(tblSales[[#This Row],[Key]],ตารางรวม!$Z:$Z,0))*tblSales[[#This Row],[จำนวนแก้ว]],0))</f>
        <v/>
      </c>
      <c r="T123" s="10" t="str">
        <f>IF(tblSales[[#This Row],[Key]]="","",IFERROR(INDEX(ตารางรวม!$G:$G,MATCH(tblSales[[#This Row],[Key]],ตารางรวม!$Z:$Z,0))*tblSales[[#This Row],[จำนวนแก้ว]],0))</f>
        <v/>
      </c>
      <c r="U123" s="10" t="str">
        <f>IF(tblSales[[#This Row],[Key]]="","",IFERROR(INDEX(ตารางรวม!$H:$H,MATCH(tblSales[[#This Row],[Key]],ตารางรวม!$Z:$Z,0))*tblSales[[#This Row],[จำนวนแก้ว]],0))</f>
        <v/>
      </c>
      <c r="V123" s="10" t="str">
        <f>IF(tblSales[[#This Row],[Key]]="","",IFERROR(INDEX(ตารางรวม!$I:$I,MATCH(tblSales[[#This Row],[Key]],ตารางรวม!$Z:$Z,0))*tblSales[[#This Row],[จำนวนแก้ว]],0))</f>
        <v/>
      </c>
      <c r="W123" s="10" t="str">
        <f>IF(tblSales[[#This Row],[Key]]="","",IFERROR(INDEX(ตารางรวม!$J:$J,MATCH(tblSales[[#This Row],[Key]],ตารางรวม!$Z:$Z,0))*tblSales[[#This Row],[จำนวนแก้ว]],0))</f>
        <v/>
      </c>
      <c r="X123" s="10" t="str">
        <f>IF(tblSales[[#This Row],[Key]]="","",IFERROR(INDEX(ตารางรวม!$K:$K,MATCH(tblSales[[#This Row],[Key]],ตารางรวม!$Z:$Z,0))*tblSales[[#This Row],[จำนวนแก้ว]],0))</f>
        <v/>
      </c>
      <c r="Y123" s="10" t="str">
        <f>IF(tblSales[[#This Row],[Key]]="","",IFERROR(INDEX(ตารางรวม!$L:$L,MATCH(tblSales[[#This Row],[Key]],ตารางรวม!$Z:$Z,0))*tblSales[[#This Row],[จำนวนแก้ว]],0))</f>
        <v/>
      </c>
      <c r="Z12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3" s="10" t="str">
        <f>IF(tblSales[[#This Row],[Key]]="","",IF(tblSales[[#This Row],[ขนาด]]="16 oz",tblSales[[#This Row],[จำนวนแก้ว]],0))</f>
        <v/>
      </c>
      <c r="AI123" s="10" t="str">
        <f>IF(tblSales[[#This Row],[Key]]="","",IF(tblSales[[#This Row],[ขนาด]]="20 oz",tblSales[[#This Row],[จำนวนแก้ว]],0))</f>
        <v/>
      </c>
      <c r="AJ123" s="10" t="str">
        <f>IF(tblSales[[#This Row],[Key]]="","",IF(tblSales[[#This Row],[ขนาด]]="22 oz",tblSales[[#This Row],[จำนวนแก้ว]],0))</f>
        <v/>
      </c>
    </row>
    <row r="124" spans="1:36" x14ac:dyDescent="0.25">
      <c r="A124" s="4" t="str">
        <f>IF(tblSales[[#This Row],[วันที่]]="","","S"&amp;TEXT(tblSales[[#This Row],[วันที่]],"yymmdd")&amp;"-"&amp;TEXT(ROW()-5,"000"))</f>
        <v/>
      </c>
      <c r="B124" s="16"/>
      <c r="C124" s="6"/>
      <c r="D124" s="6"/>
      <c r="E124" s="20"/>
      <c r="F124" s="6"/>
      <c r="G124" s="6"/>
      <c r="H124" s="6"/>
      <c r="I124" s="6"/>
      <c r="J12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4" s="8" t="str">
        <f>IF(tblSales[[#This Row],[Key]]="","",IFERROR(INDEX(ตารางรวม!$W:$W,MATCH(tblSales[[#This Row],[Key]],ตารางรวม!$Z:$Z,0)),"ไม่พบสูตร"))</f>
        <v/>
      </c>
      <c r="L124" s="8" t="str">
        <f>IF(tblSales[[#This Row],[Key]]="","",IFERROR(INDEX(ตารางรวม!$V:$V,MATCH(tblSales[[#This Row],[Key]],ตารางรวม!$Z:$Z,0)),"ไม่พบสูตร"))</f>
        <v/>
      </c>
      <c r="M124" s="8" t="str">
        <f>IF(tblSales[[#This Row],[Key]]="","",IFERROR(tblSales[[#This Row],[ราคาต่อแก้ว]]*tblSales[[#This Row],[จำนวนแก้ว]],""))</f>
        <v/>
      </c>
      <c r="N124" s="8" t="str">
        <f>IF(tblSales[[#This Row],[Key]]="","",IFERROR(tblSales[[#This Row],[ต้นทุนต่อแก้ว]]*tblSales[[#This Row],[จำนวนแก้ว]],""))</f>
        <v/>
      </c>
      <c r="O124" s="8" t="str">
        <f>IF(tblSales[[#This Row],[Key]]="","",IFERROR(tblSales[[#This Row],[ยอดขาย (บาท)]]-tblSales[[#This Row],[ต้นทุนรวม (บาท)]],""))</f>
        <v/>
      </c>
      <c r="P124" s="21" t="str">
        <f>IF(tblSales[[#This Row],[Key]]="","",IFERROR(tblSales[[#This Row],[กำไร (บาท)]]/tblSales[[#This Row],[ยอดขาย (บาท)]],""))</f>
        <v/>
      </c>
      <c r="Q124" s="10" t="str">
        <f>IF(tblSales[[#This Row],[Key]]="","",IFERROR(INDEX(ตารางรวม!$D:$D,MATCH(tblSales[[#This Row],[Key]],ตารางรวม!$Z:$Z,0))*tblSales[[#This Row],[จำนวนแก้ว]],0))</f>
        <v/>
      </c>
      <c r="R124" s="10" t="str">
        <f>IF(tblSales[[#This Row],[Key]]="","",IFERROR(INDEX(ตารางรวม!$E:$E,MATCH(tblSales[[#This Row],[Key]],ตารางรวม!$Z:$Z,0))*tblSales[[#This Row],[จำนวนแก้ว]],0))</f>
        <v/>
      </c>
      <c r="S124" s="10" t="str">
        <f>IF(tblSales[[#This Row],[Key]]="","",IFERROR(INDEX(ตารางรวม!$F:$F,MATCH(tblSales[[#This Row],[Key]],ตารางรวม!$Z:$Z,0))*tblSales[[#This Row],[จำนวนแก้ว]],0))</f>
        <v/>
      </c>
      <c r="T124" s="10" t="str">
        <f>IF(tblSales[[#This Row],[Key]]="","",IFERROR(INDEX(ตารางรวม!$G:$G,MATCH(tblSales[[#This Row],[Key]],ตารางรวม!$Z:$Z,0))*tblSales[[#This Row],[จำนวนแก้ว]],0))</f>
        <v/>
      </c>
      <c r="U124" s="10" t="str">
        <f>IF(tblSales[[#This Row],[Key]]="","",IFERROR(INDEX(ตารางรวม!$H:$H,MATCH(tblSales[[#This Row],[Key]],ตารางรวม!$Z:$Z,0))*tblSales[[#This Row],[จำนวนแก้ว]],0))</f>
        <v/>
      </c>
      <c r="V124" s="10" t="str">
        <f>IF(tblSales[[#This Row],[Key]]="","",IFERROR(INDEX(ตารางรวม!$I:$I,MATCH(tblSales[[#This Row],[Key]],ตารางรวม!$Z:$Z,0))*tblSales[[#This Row],[จำนวนแก้ว]],0))</f>
        <v/>
      </c>
      <c r="W124" s="10" t="str">
        <f>IF(tblSales[[#This Row],[Key]]="","",IFERROR(INDEX(ตารางรวม!$J:$J,MATCH(tblSales[[#This Row],[Key]],ตารางรวม!$Z:$Z,0))*tblSales[[#This Row],[จำนวนแก้ว]],0))</f>
        <v/>
      </c>
      <c r="X124" s="10" t="str">
        <f>IF(tblSales[[#This Row],[Key]]="","",IFERROR(INDEX(ตารางรวม!$K:$K,MATCH(tblSales[[#This Row],[Key]],ตารางรวม!$Z:$Z,0))*tblSales[[#This Row],[จำนวนแก้ว]],0))</f>
        <v/>
      </c>
      <c r="Y124" s="10" t="str">
        <f>IF(tblSales[[#This Row],[Key]]="","",IFERROR(INDEX(ตารางรวม!$L:$L,MATCH(tblSales[[#This Row],[Key]],ตารางรวม!$Z:$Z,0))*tblSales[[#This Row],[จำนวนแก้ว]],0))</f>
        <v/>
      </c>
      <c r="Z12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4" s="10" t="str">
        <f>IF(tblSales[[#This Row],[Key]]="","",IF(tblSales[[#This Row],[ขนาด]]="16 oz",tblSales[[#This Row],[จำนวนแก้ว]],0))</f>
        <v/>
      </c>
      <c r="AI124" s="10" t="str">
        <f>IF(tblSales[[#This Row],[Key]]="","",IF(tblSales[[#This Row],[ขนาด]]="20 oz",tblSales[[#This Row],[จำนวนแก้ว]],0))</f>
        <v/>
      </c>
      <c r="AJ124" s="10" t="str">
        <f>IF(tblSales[[#This Row],[Key]]="","",IF(tblSales[[#This Row],[ขนาด]]="22 oz",tblSales[[#This Row],[จำนวนแก้ว]],0))</f>
        <v/>
      </c>
    </row>
    <row r="125" spans="1:36" x14ac:dyDescent="0.25">
      <c r="A125" s="4" t="str">
        <f>IF(tblSales[[#This Row],[วันที่]]="","","S"&amp;TEXT(tblSales[[#This Row],[วันที่]],"yymmdd")&amp;"-"&amp;TEXT(ROW()-5,"000"))</f>
        <v/>
      </c>
      <c r="B125" s="16"/>
      <c r="C125" s="6"/>
      <c r="D125" s="6"/>
      <c r="E125" s="20"/>
      <c r="F125" s="6"/>
      <c r="G125" s="6"/>
      <c r="H125" s="6"/>
      <c r="I125" s="6"/>
      <c r="J12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5" s="8" t="str">
        <f>IF(tblSales[[#This Row],[Key]]="","",IFERROR(INDEX(ตารางรวม!$W:$W,MATCH(tblSales[[#This Row],[Key]],ตารางรวม!$Z:$Z,0)),"ไม่พบสูตร"))</f>
        <v/>
      </c>
      <c r="L125" s="8" t="str">
        <f>IF(tblSales[[#This Row],[Key]]="","",IFERROR(INDEX(ตารางรวม!$V:$V,MATCH(tblSales[[#This Row],[Key]],ตารางรวม!$Z:$Z,0)),"ไม่พบสูตร"))</f>
        <v/>
      </c>
      <c r="M125" s="8" t="str">
        <f>IF(tblSales[[#This Row],[Key]]="","",IFERROR(tblSales[[#This Row],[ราคาต่อแก้ว]]*tblSales[[#This Row],[จำนวนแก้ว]],""))</f>
        <v/>
      </c>
      <c r="N125" s="8" t="str">
        <f>IF(tblSales[[#This Row],[Key]]="","",IFERROR(tblSales[[#This Row],[ต้นทุนต่อแก้ว]]*tblSales[[#This Row],[จำนวนแก้ว]],""))</f>
        <v/>
      </c>
      <c r="O125" s="8" t="str">
        <f>IF(tblSales[[#This Row],[Key]]="","",IFERROR(tblSales[[#This Row],[ยอดขาย (บาท)]]-tblSales[[#This Row],[ต้นทุนรวม (บาท)]],""))</f>
        <v/>
      </c>
      <c r="P125" s="21" t="str">
        <f>IF(tblSales[[#This Row],[Key]]="","",IFERROR(tblSales[[#This Row],[กำไร (บาท)]]/tblSales[[#This Row],[ยอดขาย (บาท)]],""))</f>
        <v/>
      </c>
      <c r="Q125" s="10" t="str">
        <f>IF(tblSales[[#This Row],[Key]]="","",IFERROR(INDEX(ตารางรวม!$D:$D,MATCH(tblSales[[#This Row],[Key]],ตารางรวม!$Z:$Z,0))*tblSales[[#This Row],[จำนวนแก้ว]],0))</f>
        <v/>
      </c>
      <c r="R125" s="10" t="str">
        <f>IF(tblSales[[#This Row],[Key]]="","",IFERROR(INDEX(ตารางรวม!$E:$E,MATCH(tblSales[[#This Row],[Key]],ตารางรวม!$Z:$Z,0))*tblSales[[#This Row],[จำนวนแก้ว]],0))</f>
        <v/>
      </c>
      <c r="S125" s="10" t="str">
        <f>IF(tblSales[[#This Row],[Key]]="","",IFERROR(INDEX(ตารางรวม!$F:$F,MATCH(tblSales[[#This Row],[Key]],ตารางรวม!$Z:$Z,0))*tblSales[[#This Row],[จำนวนแก้ว]],0))</f>
        <v/>
      </c>
      <c r="T125" s="10" t="str">
        <f>IF(tblSales[[#This Row],[Key]]="","",IFERROR(INDEX(ตารางรวม!$G:$G,MATCH(tblSales[[#This Row],[Key]],ตารางรวม!$Z:$Z,0))*tblSales[[#This Row],[จำนวนแก้ว]],0))</f>
        <v/>
      </c>
      <c r="U125" s="10" t="str">
        <f>IF(tblSales[[#This Row],[Key]]="","",IFERROR(INDEX(ตารางรวม!$H:$H,MATCH(tblSales[[#This Row],[Key]],ตารางรวม!$Z:$Z,0))*tblSales[[#This Row],[จำนวนแก้ว]],0))</f>
        <v/>
      </c>
      <c r="V125" s="10" t="str">
        <f>IF(tblSales[[#This Row],[Key]]="","",IFERROR(INDEX(ตารางรวม!$I:$I,MATCH(tblSales[[#This Row],[Key]],ตารางรวม!$Z:$Z,0))*tblSales[[#This Row],[จำนวนแก้ว]],0))</f>
        <v/>
      </c>
      <c r="W125" s="10" t="str">
        <f>IF(tblSales[[#This Row],[Key]]="","",IFERROR(INDEX(ตารางรวม!$J:$J,MATCH(tblSales[[#This Row],[Key]],ตารางรวม!$Z:$Z,0))*tblSales[[#This Row],[จำนวนแก้ว]],0))</f>
        <v/>
      </c>
      <c r="X125" s="10" t="str">
        <f>IF(tblSales[[#This Row],[Key]]="","",IFERROR(INDEX(ตารางรวม!$K:$K,MATCH(tblSales[[#This Row],[Key]],ตารางรวม!$Z:$Z,0))*tblSales[[#This Row],[จำนวนแก้ว]],0))</f>
        <v/>
      </c>
      <c r="Y125" s="10" t="str">
        <f>IF(tblSales[[#This Row],[Key]]="","",IFERROR(INDEX(ตารางรวม!$L:$L,MATCH(tblSales[[#This Row],[Key]],ตารางรวม!$Z:$Z,0))*tblSales[[#This Row],[จำนวนแก้ว]],0))</f>
        <v/>
      </c>
      <c r="Z12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5" s="10" t="str">
        <f>IF(tblSales[[#This Row],[Key]]="","",IF(tblSales[[#This Row],[ขนาด]]="16 oz",tblSales[[#This Row],[จำนวนแก้ว]],0))</f>
        <v/>
      </c>
      <c r="AI125" s="10" t="str">
        <f>IF(tblSales[[#This Row],[Key]]="","",IF(tblSales[[#This Row],[ขนาด]]="20 oz",tblSales[[#This Row],[จำนวนแก้ว]],0))</f>
        <v/>
      </c>
      <c r="AJ125" s="10" t="str">
        <f>IF(tblSales[[#This Row],[Key]]="","",IF(tblSales[[#This Row],[ขนาด]]="22 oz",tblSales[[#This Row],[จำนวนแก้ว]],0))</f>
        <v/>
      </c>
    </row>
    <row r="126" spans="1:36" x14ac:dyDescent="0.25">
      <c r="A126" s="4" t="str">
        <f>IF(tblSales[[#This Row],[วันที่]]="","","S"&amp;TEXT(tblSales[[#This Row],[วันที่]],"yymmdd")&amp;"-"&amp;TEXT(ROW()-5,"000"))</f>
        <v/>
      </c>
      <c r="B126" s="16"/>
      <c r="C126" s="6"/>
      <c r="D126" s="6"/>
      <c r="E126" s="20"/>
      <c r="F126" s="6"/>
      <c r="G126" s="6"/>
      <c r="H126" s="6"/>
      <c r="I126" s="6"/>
      <c r="J12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6" s="8" t="str">
        <f>IF(tblSales[[#This Row],[Key]]="","",IFERROR(INDEX(ตารางรวม!$W:$W,MATCH(tblSales[[#This Row],[Key]],ตารางรวม!$Z:$Z,0)),"ไม่พบสูตร"))</f>
        <v/>
      </c>
      <c r="L126" s="8" t="str">
        <f>IF(tblSales[[#This Row],[Key]]="","",IFERROR(INDEX(ตารางรวม!$V:$V,MATCH(tblSales[[#This Row],[Key]],ตารางรวม!$Z:$Z,0)),"ไม่พบสูตร"))</f>
        <v/>
      </c>
      <c r="M126" s="8" t="str">
        <f>IF(tblSales[[#This Row],[Key]]="","",IFERROR(tblSales[[#This Row],[ราคาต่อแก้ว]]*tblSales[[#This Row],[จำนวนแก้ว]],""))</f>
        <v/>
      </c>
      <c r="N126" s="8" t="str">
        <f>IF(tblSales[[#This Row],[Key]]="","",IFERROR(tblSales[[#This Row],[ต้นทุนต่อแก้ว]]*tblSales[[#This Row],[จำนวนแก้ว]],""))</f>
        <v/>
      </c>
      <c r="O126" s="8" t="str">
        <f>IF(tblSales[[#This Row],[Key]]="","",IFERROR(tblSales[[#This Row],[ยอดขาย (บาท)]]-tblSales[[#This Row],[ต้นทุนรวม (บาท)]],""))</f>
        <v/>
      </c>
      <c r="P126" s="21" t="str">
        <f>IF(tblSales[[#This Row],[Key]]="","",IFERROR(tblSales[[#This Row],[กำไร (บาท)]]/tblSales[[#This Row],[ยอดขาย (บาท)]],""))</f>
        <v/>
      </c>
      <c r="Q126" s="10" t="str">
        <f>IF(tblSales[[#This Row],[Key]]="","",IFERROR(INDEX(ตารางรวม!$D:$D,MATCH(tblSales[[#This Row],[Key]],ตารางรวม!$Z:$Z,0))*tblSales[[#This Row],[จำนวนแก้ว]],0))</f>
        <v/>
      </c>
      <c r="R126" s="10" t="str">
        <f>IF(tblSales[[#This Row],[Key]]="","",IFERROR(INDEX(ตารางรวม!$E:$E,MATCH(tblSales[[#This Row],[Key]],ตารางรวม!$Z:$Z,0))*tblSales[[#This Row],[จำนวนแก้ว]],0))</f>
        <v/>
      </c>
      <c r="S126" s="10" t="str">
        <f>IF(tblSales[[#This Row],[Key]]="","",IFERROR(INDEX(ตารางรวม!$F:$F,MATCH(tblSales[[#This Row],[Key]],ตารางรวม!$Z:$Z,0))*tblSales[[#This Row],[จำนวนแก้ว]],0))</f>
        <v/>
      </c>
      <c r="T126" s="10" t="str">
        <f>IF(tblSales[[#This Row],[Key]]="","",IFERROR(INDEX(ตารางรวม!$G:$G,MATCH(tblSales[[#This Row],[Key]],ตารางรวม!$Z:$Z,0))*tblSales[[#This Row],[จำนวนแก้ว]],0))</f>
        <v/>
      </c>
      <c r="U126" s="10" t="str">
        <f>IF(tblSales[[#This Row],[Key]]="","",IFERROR(INDEX(ตารางรวม!$H:$H,MATCH(tblSales[[#This Row],[Key]],ตารางรวม!$Z:$Z,0))*tblSales[[#This Row],[จำนวนแก้ว]],0))</f>
        <v/>
      </c>
      <c r="V126" s="10" t="str">
        <f>IF(tblSales[[#This Row],[Key]]="","",IFERROR(INDEX(ตารางรวม!$I:$I,MATCH(tblSales[[#This Row],[Key]],ตารางรวม!$Z:$Z,0))*tblSales[[#This Row],[จำนวนแก้ว]],0))</f>
        <v/>
      </c>
      <c r="W126" s="10" t="str">
        <f>IF(tblSales[[#This Row],[Key]]="","",IFERROR(INDEX(ตารางรวม!$J:$J,MATCH(tblSales[[#This Row],[Key]],ตารางรวม!$Z:$Z,0))*tblSales[[#This Row],[จำนวนแก้ว]],0))</f>
        <v/>
      </c>
      <c r="X126" s="10" t="str">
        <f>IF(tblSales[[#This Row],[Key]]="","",IFERROR(INDEX(ตารางรวม!$K:$K,MATCH(tblSales[[#This Row],[Key]],ตารางรวม!$Z:$Z,0))*tblSales[[#This Row],[จำนวนแก้ว]],0))</f>
        <v/>
      </c>
      <c r="Y126" s="10" t="str">
        <f>IF(tblSales[[#This Row],[Key]]="","",IFERROR(INDEX(ตารางรวม!$L:$L,MATCH(tblSales[[#This Row],[Key]],ตารางรวม!$Z:$Z,0))*tblSales[[#This Row],[จำนวนแก้ว]],0))</f>
        <v/>
      </c>
      <c r="Z12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6" s="10" t="str">
        <f>IF(tblSales[[#This Row],[Key]]="","",IF(tblSales[[#This Row],[ขนาด]]="16 oz",tblSales[[#This Row],[จำนวนแก้ว]],0))</f>
        <v/>
      </c>
      <c r="AI126" s="10" t="str">
        <f>IF(tblSales[[#This Row],[Key]]="","",IF(tblSales[[#This Row],[ขนาด]]="20 oz",tblSales[[#This Row],[จำนวนแก้ว]],0))</f>
        <v/>
      </c>
      <c r="AJ126" s="10" t="str">
        <f>IF(tblSales[[#This Row],[Key]]="","",IF(tblSales[[#This Row],[ขนาด]]="22 oz",tblSales[[#This Row],[จำนวนแก้ว]],0))</f>
        <v/>
      </c>
    </row>
    <row r="127" spans="1:36" x14ac:dyDescent="0.25">
      <c r="A127" s="4" t="str">
        <f>IF(tblSales[[#This Row],[วันที่]]="","","S"&amp;TEXT(tblSales[[#This Row],[วันที่]],"yymmdd")&amp;"-"&amp;TEXT(ROW()-5,"000"))</f>
        <v/>
      </c>
      <c r="B127" s="16"/>
      <c r="C127" s="6"/>
      <c r="D127" s="6"/>
      <c r="E127" s="20"/>
      <c r="F127" s="6"/>
      <c r="G127" s="6"/>
      <c r="H127" s="6"/>
      <c r="I127" s="6"/>
      <c r="J12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7" s="8" t="str">
        <f>IF(tblSales[[#This Row],[Key]]="","",IFERROR(INDEX(ตารางรวม!$W:$W,MATCH(tblSales[[#This Row],[Key]],ตารางรวม!$Z:$Z,0)),"ไม่พบสูตร"))</f>
        <v/>
      </c>
      <c r="L127" s="8" t="str">
        <f>IF(tblSales[[#This Row],[Key]]="","",IFERROR(INDEX(ตารางรวม!$V:$V,MATCH(tblSales[[#This Row],[Key]],ตารางรวม!$Z:$Z,0)),"ไม่พบสูตร"))</f>
        <v/>
      </c>
      <c r="M127" s="8" t="str">
        <f>IF(tblSales[[#This Row],[Key]]="","",IFERROR(tblSales[[#This Row],[ราคาต่อแก้ว]]*tblSales[[#This Row],[จำนวนแก้ว]],""))</f>
        <v/>
      </c>
      <c r="N127" s="8" t="str">
        <f>IF(tblSales[[#This Row],[Key]]="","",IFERROR(tblSales[[#This Row],[ต้นทุนต่อแก้ว]]*tblSales[[#This Row],[จำนวนแก้ว]],""))</f>
        <v/>
      </c>
      <c r="O127" s="8" t="str">
        <f>IF(tblSales[[#This Row],[Key]]="","",IFERROR(tblSales[[#This Row],[ยอดขาย (บาท)]]-tblSales[[#This Row],[ต้นทุนรวม (บาท)]],""))</f>
        <v/>
      </c>
      <c r="P127" s="21" t="str">
        <f>IF(tblSales[[#This Row],[Key]]="","",IFERROR(tblSales[[#This Row],[กำไร (บาท)]]/tblSales[[#This Row],[ยอดขาย (บาท)]],""))</f>
        <v/>
      </c>
      <c r="Q127" s="10" t="str">
        <f>IF(tblSales[[#This Row],[Key]]="","",IFERROR(INDEX(ตารางรวม!$D:$D,MATCH(tblSales[[#This Row],[Key]],ตารางรวม!$Z:$Z,0))*tblSales[[#This Row],[จำนวนแก้ว]],0))</f>
        <v/>
      </c>
      <c r="R127" s="10" t="str">
        <f>IF(tblSales[[#This Row],[Key]]="","",IFERROR(INDEX(ตารางรวม!$E:$E,MATCH(tblSales[[#This Row],[Key]],ตารางรวม!$Z:$Z,0))*tblSales[[#This Row],[จำนวนแก้ว]],0))</f>
        <v/>
      </c>
      <c r="S127" s="10" t="str">
        <f>IF(tblSales[[#This Row],[Key]]="","",IFERROR(INDEX(ตารางรวม!$F:$F,MATCH(tblSales[[#This Row],[Key]],ตารางรวม!$Z:$Z,0))*tblSales[[#This Row],[จำนวนแก้ว]],0))</f>
        <v/>
      </c>
      <c r="T127" s="10" t="str">
        <f>IF(tblSales[[#This Row],[Key]]="","",IFERROR(INDEX(ตารางรวม!$G:$G,MATCH(tblSales[[#This Row],[Key]],ตารางรวม!$Z:$Z,0))*tblSales[[#This Row],[จำนวนแก้ว]],0))</f>
        <v/>
      </c>
      <c r="U127" s="10" t="str">
        <f>IF(tblSales[[#This Row],[Key]]="","",IFERROR(INDEX(ตารางรวม!$H:$H,MATCH(tblSales[[#This Row],[Key]],ตารางรวม!$Z:$Z,0))*tblSales[[#This Row],[จำนวนแก้ว]],0))</f>
        <v/>
      </c>
      <c r="V127" s="10" t="str">
        <f>IF(tblSales[[#This Row],[Key]]="","",IFERROR(INDEX(ตารางรวม!$I:$I,MATCH(tblSales[[#This Row],[Key]],ตารางรวม!$Z:$Z,0))*tblSales[[#This Row],[จำนวนแก้ว]],0))</f>
        <v/>
      </c>
      <c r="W127" s="10" t="str">
        <f>IF(tblSales[[#This Row],[Key]]="","",IFERROR(INDEX(ตารางรวม!$J:$J,MATCH(tblSales[[#This Row],[Key]],ตารางรวม!$Z:$Z,0))*tblSales[[#This Row],[จำนวนแก้ว]],0))</f>
        <v/>
      </c>
      <c r="X127" s="10" t="str">
        <f>IF(tblSales[[#This Row],[Key]]="","",IFERROR(INDEX(ตารางรวม!$K:$K,MATCH(tblSales[[#This Row],[Key]],ตารางรวม!$Z:$Z,0))*tblSales[[#This Row],[จำนวนแก้ว]],0))</f>
        <v/>
      </c>
      <c r="Y127" s="10" t="str">
        <f>IF(tblSales[[#This Row],[Key]]="","",IFERROR(INDEX(ตารางรวม!$L:$L,MATCH(tblSales[[#This Row],[Key]],ตารางรวม!$Z:$Z,0))*tblSales[[#This Row],[จำนวนแก้ว]],0))</f>
        <v/>
      </c>
      <c r="Z12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7" s="10" t="str">
        <f>IF(tblSales[[#This Row],[Key]]="","",IF(tblSales[[#This Row],[ขนาด]]="16 oz",tblSales[[#This Row],[จำนวนแก้ว]],0))</f>
        <v/>
      </c>
      <c r="AI127" s="10" t="str">
        <f>IF(tblSales[[#This Row],[Key]]="","",IF(tblSales[[#This Row],[ขนาด]]="20 oz",tblSales[[#This Row],[จำนวนแก้ว]],0))</f>
        <v/>
      </c>
      <c r="AJ127" s="10" t="str">
        <f>IF(tblSales[[#This Row],[Key]]="","",IF(tblSales[[#This Row],[ขนาด]]="22 oz",tblSales[[#This Row],[จำนวนแก้ว]],0))</f>
        <v/>
      </c>
    </row>
    <row r="128" spans="1:36" x14ac:dyDescent="0.25">
      <c r="A128" s="4" t="str">
        <f>IF(tblSales[[#This Row],[วันที่]]="","","S"&amp;TEXT(tblSales[[#This Row],[วันที่]],"yymmdd")&amp;"-"&amp;TEXT(ROW()-5,"000"))</f>
        <v/>
      </c>
      <c r="B128" s="16"/>
      <c r="C128" s="6"/>
      <c r="D128" s="6"/>
      <c r="E128" s="20"/>
      <c r="F128" s="6"/>
      <c r="G128" s="6"/>
      <c r="H128" s="6"/>
      <c r="I128" s="6"/>
      <c r="J12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8" s="8" t="str">
        <f>IF(tblSales[[#This Row],[Key]]="","",IFERROR(INDEX(ตารางรวม!$W:$W,MATCH(tblSales[[#This Row],[Key]],ตารางรวม!$Z:$Z,0)),"ไม่พบสูตร"))</f>
        <v/>
      </c>
      <c r="L128" s="8" t="str">
        <f>IF(tblSales[[#This Row],[Key]]="","",IFERROR(INDEX(ตารางรวม!$V:$V,MATCH(tblSales[[#This Row],[Key]],ตารางรวม!$Z:$Z,0)),"ไม่พบสูตร"))</f>
        <v/>
      </c>
      <c r="M128" s="8" t="str">
        <f>IF(tblSales[[#This Row],[Key]]="","",IFERROR(tblSales[[#This Row],[ราคาต่อแก้ว]]*tblSales[[#This Row],[จำนวนแก้ว]],""))</f>
        <v/>
      </c>
      <c r="N128" s="8" t="str">
        <f>IF(tblSales[[#This Row],[Key]]="","",IFERROR(tblSales[[#This Row],[ต้นทุนต่อแก้ว]]*tblSales[[#This Row],[จำนวนแก้ว]],""))</f>
        <v/>
      </c>
      <c r="O128" s="8" t="str">
        <f>IF(tblSales[[#This Row],[Key]]="","",IFERROR(tblSales[[#This Row],[ยอดขาย (บาท)]]-tblSales[[#This Row],[ต้นทุนรวม (บาท)]],""))</f>
        <v/>
      </c>
      <c r="P128" s="21" t="str">
        <f>IF(tblSales[[#This Row],[Key]]="","",IFERROR(tblSales[[#This Row],[กำไร (บาท)]]/tblSales[[#This Row],[ยอดขาย (บาท)]],""))</f>
        <v/>
      </c>
      <c r="Q128" s="10" t="str">
        <f>IF(tblSales[[#This Row],[Key]]="","",IFERROR(INDEX(ตารางรวม!$D:$D,MATCH(tblSales[[#This Row],[Key]],ตารางรวม!$Z:$Z,0))*tblSales[[#This Row],[จำนวนแก้ว]],0))</f>
        <v/>
      </c>
      <c r="R128" s="10" t="str">
        <f>IF(tblSales[[#This Row],[Key]]="","",IFERROR(INDEX(ตารางรวม!$E:$E,MATCH(tblSales[[#This Row],[Key]],ตารางรวม!$Z:$Z,0))*tblSales[[#This Row],[จำนวนแก้ว]],0))</f>
        <v/>
      </c>
      <c r="S128" s="10" t="str">
        <f>IF(tblSales[[#This Row],[Key]]="","",IFERROR(INDEX(ตารางรวม!$F:$F,MATCH(tblSales[[#This Row],[Key]],ตารางรวม!$Z:$Z,0))*tblSales[[#This Row],[จำนวนแก้ว]],0))</f>
        <v/>
      </c>
      <c r="T128" s="10" t="str">
        <f>IF(tblSales[[#This Row],[Key]]="","",IFERROR(INDEX(ตารางรวม!$G:$G,MATCH(tblSales[[#This Row],[Key]],ตารางรวม!$Z:$Z,0))*tblSales[[#This Row],[จำนวนแก้ว]],0))</f>
        <v/>
      </c>
      <c r="U128" s="10" t="str">
        <f>IF(tblSales[[#This Row],[Key]]="","",IFERROR(INDEX(ตารางรวม!$H:$H,MATCH(tblSales[[#This Row],[Key]],ตารางรวม!$Z:$Z,0))*tblSales[[#This Row],[จำนวนแก้ว]],0))</f>
        <v/>
      </c>
      <c r="V128" s="10" t="str">
        <f>IF(tblSales[[#This Row],[Key]]="","",IFERROR(INDEX(ตารางรวม!$I:$I,MATCH(tblSales[[#This Row],[Key]],ตารางรวม!$Z:$Z,0))*tblSales[[#This Row],[จำนวนแก้ว]],0))</f>
        <v/>
      </c>
      <c r="W128" s="10" t="str">
        <f>IF(tblSales[[#This Row],[Key]]="","",IFERROR(INDEX(ตารางรวม!$J:$J,MATCH(tblSales[[#This Row],[Key]],ตารางรวม!$Z:$Z,0))*tblSales[[#This Row],[จำนวนแก้ว]],0))</f>
        <v/>
      </c>
      <c r="X128" s="10" t="str">
        <f>IF(tblSales[[#This Row],[Key]]="","",IFERROR(INDEX(ตารางรวม!$K:$K,MATCH(tblSales[[#This Row],[Key]],ตารางรวม!$Z:$Z,0))*tblSales[[#This Row],[จำนวนแก้ว]],0))</f>
        <v/>
      </c>
      <c r="Y128" s="10" t="str">
        <f>IF(tblSales[[#This Row],[Key]]="","",IFERROR(INDEX(ตารางรวม!$L:$L,MATCH(tblSales[[#This Row],[Key]],ตารางรวม!$Z:$Z,0))*tblSales[[#This Row],[จำนวนแก้ว]],0))</f>
        <v/>
      </c>
      <c r="Z12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8" s="10" t="str">
        <f>IF(tblSales[[#This Row],[Key]]="","",IF(tblSales[[#This Row],[ขนาด]]="16 oz",tblSales[[#This Row],[จำนวนแก้ว]],0))</f>
        <v/>
      </c>
      <c r="AI128" s="10" t="str">
        <f>IF(tblSales[[#This Row],[Key]]="","",IF(tblSales[[#This Row],[ขนาด]]="20 oz",tblSales[[#This Row],[จำนวนแก้ว]],0))</f>
        <v/>
      </c>
      <c r="AJ128" s="10" t="str">
        <f>IF(tblSales[[#This Row],[Key]]="","",IF(tblSales[[#This Row],[ขนาด]]="22 oz",tblSales[[#This Row],[จำนวนแก้ว]],0))</f>
        <v/>
      </c>
    </row>
    <row r="129" spans="1:36" x14ac:dyDescent="0.25">
      <c r="A129" s="4" t="str">
        <f>IF(tblSales[[#This Row],[วันที่]]="","","S"&amp;TEXT(tblSales[[#This Row],[วันที่]],"yymmdd")&amp;"-"&amp;TEXT(ROW()-5,"000"))</f>
        <v/>
      </c>
      <c r="B129" s="16"/>
      <c r="C129" s="6"/>
      <c r="D129" s="6"/>
      <c r="E129" s="20"/>
      <c r="F129" s="6"/>
      <c r="G129" s="6"/>
      <c r="H129" s="6"/>
      <c r="I129" s="6"/>
      <c r="J12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29" s="8" t="str">
        <f>IF(tblSales[[#This Row],[Key]]="","",IFERROR(INDEX(ตารางรวม!$W:$W,MATCH(tblSales[[#This Row],[Key]],ตารางรวม!$Z:$Z,0)),"ไม่พบสูตร"))</f>
        <v/>
      </c>
      <c r="L129" s="8" t="str">
        <f>IF(tblSales[[#This Row],[Key]]="","",IFERROR(INDEX(ตารางรวม!$V:$V,MATCH(tblSales[[#This Row],[Key]],ตารางรวม!$Z:$Z,0)),"ไม่พบสูตร"))</f>
        <v/>
      </c>
      <c r="M129" s="8" t="str">
        <f>IF(tblSales[[#This Row],[Key]]="","",IFERROR(tblSales[[#This Row],[ราคาต่อแก้ว]]*tblSales[[#This Row],[จำนวนแก้ว]],""))</f>
        <v/>
      </c>
      <c r="N129" s="8" t="str">
        <f>IF(tblSales[[#This Row],[Key]]="","",IFERROR(tblSales[[#This Row],[ต้นทุนต่อแก้ว]]*tblSales[[#This Row],[จำนวนแก้ว]],""))</f>
        <v/>
      </c>
      <c r="O129" s="8" t="str">
        <f>IF(tblSales[[#This Row],[Key]]="","",IFERROR(tblSales[[#This Row],[ยอดขาย (บาท)]]-tblSales[[#This Row],[ต้นทุนรวม (บาท)]],""))</f>
        <v/>
      </c>
      <c r="P129" s="21" t="str">
        <f>IF(tblSales[[#This Row],[Key]]="","",IFERROR(tblSales[[#This Row],[กำไร (บาท)]]/tblSales[[#This Row],[ยอดขาย (บาท)]],""))</f>
        <v/>
      </c>
      <c r="Q129" s="10" t="str">
        <f>IF(tblSales[[#This Row],[Key]]="","",IFERROR(INDEX(ตารางรวม!$D:$D,MATCH(tblSales[[#This Row],[Key]],ตารางรวม!$Z:$Z,0))*tblSales[[#This Row],[จำนวนแก้ว]],0))</f>
        <v/>
      </c>
      <c r="R129" s="10" t="str">
        <f>IF(tblSales[[#This Row],[Key]]="","",IFERROR(INDEX(ตารางรวม!$E:$E,MATCH(tblSales[[#This Row],[Key]],ตารางรวม!$Z:$Z,0))*tblSales[[#This Row],[จำนวนแก้ว]],0))</f>
        <v/>
      </c>
      <c r="S129" s="10" t="str">
        <f>IF(tblSales[[#This Row],[Key]]="","",IFERROR(INDEX(ตารางรวม!$F:$F,MATCH(tblSales[[#This Row],[Key]],ตารางรวม!$Z:$Z,0))*tblSales[[#This Row],[จำนวนแก้ว]],0))</f>
        <v/>
      </c>
      <c r="T129" s="10" t="str">
        <f>IF(tblSales[[#This Row],[Key]]="","",IFERROR(INDEX(ตารางรวม!$G:$G,MATCH(tblSales[[#This Row],[Key]],ตารางรวม!$Z:$Z,0))*tblSales[[#This Row],[จำนวนแก้ว]],0))</f>
        <v/>
      </c>
      <c r="U129" s="10" t="str">
        <f>IF(tblSales[[#This Row],[Key]]="","",IFERROR(INDEX(ตารางรวม!$H:$H,MATCH(tblSales[[#This Row],[Key]],ตารางรวม!$Z:$Z,0))*tblSales[[#This Row],[จำนวนแก้ว]],0))</f>
        <v/>
      </c>
      <c r="V129" s="10" t="str">
        <f>IF(tblSales[[#This Row],[Key]]="","",IFERROR(INDEX(ตารางรวม!$I:$I,MATCH(tblSales[[#This Row],[Key]],ตารางรวม!$Z:$Z,0))*tblSales[[#This Row],[จำนวนแก้ว]],0))</f>
        <v/>
      </c>
      <c r="W129" s="10" t="str">
        <f>IF(tblSales[[#This Row],[Key]]="","",IFERROR(INDEX(ตารางรวม!$J:$J,MATCH(tblSales[[#This Row],[Key]],ตารางรวม!$Z:$Z,0))*tblSales[[#This Row],[จำนวนแก้ว]],0))</f>
        <v/>
      </c>
      <c r="X129" s="10" t="str">
        <f>IF(tblSales[[#This Row],[Key]]="","",IFERROR(INDEX(ตารางรวม!$K:$K,MATCH(tblSales[[#This Row],[Key]],ตารางรวม!$Z:$Z,0))*tblSales[[#This Row],[จำนวนแก้ว]],0))</f>
        <v/>
      </c>
      <c r="Y129" s="10" t="str">
        <f>IF(tblSales[[#This Row],[Key]]="","",IFERROR(INDEX(ตารางรวม!$L:$L,MATCH(tblSales[[#This Row],[Key]],ตารางรวม!$Z:$Z,0))*tblSales[[#This Row],[จำนวนแก้ว]],0))</f>
        <v/>
      </c>
      <c r="Z12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2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2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2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2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2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2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2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29" s="10" t="str">
        <f>IF(tblSales[[#This Row],[Key]]="","",IF(tblSales[[#This Row],[ขนาด]]="16 oz",tblSales[[#This Row],[จำนวนแก้ว]],0))</f>
        <v/>
      </c>
      <c r="AI129" s="10" t="str">
        <f>IF(tblSales[[#This Row],[Key]]="","",IF(tblSales[[#This Row],[ขนาด]]="20 oz",tblSales[[#This Row],[จำนวนแก้ว]],0))</f>
        <v/>
      </c>
      <c r="AJ129" s="10" t="str">
        <f>IF(tblSales[[#This Row],[Key]]="","",IF(tblSales[[#This Row],[ขนาด]]="22 oz",tblSales[[#This Row],[จำนวนแก้ว]],0))</f>
        <v/>
      </c>
    </row>
    <row r="130" spans="1:36" x14ac:dyDescent="0.25">
      <c r="A130" s="4" t="str">
        <f>IF(tblSales[[#This Row],[วันที่]]="","","S"&amp;TEXT(tblSales[[#This Row],[วันที่]],"yymmdd")&amp;"-"&amp;TEXT(ROW()-5,"000"))</f>
        <v/>
      </c>
      <c r="B130" s="16"/>
      <c r="C130" s="6"/>
      <c r="D130" s="6"/>
      <c r="E130" s="20"/>
      <c r="F130" s="6"/>
      <c r="G130" s="6"/>
      <c r="H130" s="6"/>
      <c r="I130" s="6"/>
      <c r="J13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0" s="8" t="str">
        <f>IF(tblSales[[#This Row],[Key]]="","",IFERROR(INDEX(ตารางรวม!$W:$W,MATCH(tblSales[[#This Row],[Key]],ตารางรวม!$Z:$Z,0)),"ไม่พบสูตร"))</f>
        <v/>
      </c>
      <c r="L130" s="8" t="str">
        <f>IF(tblSales[[#This Row],[Key]]="","",IFERROR(INDEX(ตารางรวม!$V:$V,MATCH(tblSales[[#This Row],[Key]],ตารางรวม!$Z:$Z,0)),"ไม่พบสูตร"))</f>
        <v/>
      </c>
      <c r="M130" s="8" t="str">
        <f>IF(tblSales[[#This Row],[Key]]="","",IFERROR(tblSales[[#This Row],[ราคาต่อแก้ว]]*tblSales[[#This Row],[จำนวนแก้ว]],""))</f>
        <v/>
      </c>
      <c r="N130" s="8" t="str">
        <f>IF(tblSales[[#This Row],[Key]]="","",IFERROR(tblSales[[#This Row],[ต้นทุนต่อแก้ว]]*tblSales[[#This Row],[จำนวนแก้ว]],""))</f>
        <v/>
      </c>
      <c r="O130" s="8" t="str">
        <f>IF(tblSales[[#This Row],[Key]]="","",IFERROR(tblSales[[#This Row],[ยอดขาย (บาท)]]-tblSales[[#This Row],[ต้นทุนรวม (บาท)]],""))</f>
        <v/>
      </c>
      <c r="P130" s="21" t="str">
        <f>IF(tblSales[[#This Row],[Key]]="","",IFERROR(tblSales[[#This Row],[กำไร (บาท)]]/tblSales[[#This Row],[ยอดขาย (บาท)]],""))</f>
        <v/>
      </c>
      <c r="Q130" s="10" t="str">
        <f>IF(tblSales[[#This Row],[Key]]="","",IFERROR(INDEX(ตารางรวม!$D:$D,MATCH(tblSales[[#This Row],[Key]],ตารางรวม!$Z:$Z,0))*tblSales[[#This Row],[จำนวนแก้ว]],0))</f>
        <v/>
      </c>
      <c r="R130" s="10" t="str">
        <f>IF(tblSales[[#This Row],[Key]]="","",IFERROR(INDEX(ตารางรวม!$E:$E,MATCH(tblSales[[#This Row],[Key]],ตารางรวม!$Z:$Z,0))*tblSales[[#This Row],[จำนวนแก้ว]],0))</f>
        <v/>
      </c>
      <c r="S130" s="10" t="str">
        <f>IF(tblSales[[#This Row],[Key]]="","",IFERROR(INDEX(ตารางรวม!$F:$F,MATCH(tblSales[[#This Row],[Key]],ตารางรวม!$Z:$Z,0))*tblSales[[#This Row],[จำนวนแก้ว]],0))</f>
        <v/>
      </c>
      <c r="T130" s="10" t="str">
        <f>IF(tblSales[[#This Row],[Key]]="","",IFERROR(INDEX(ตารางรวม!$G:$G,MATCH(tblSales[[#This Row],[Key]],ตารางรวม!$Z:$Z,0))*tblSales[[#This Row],[จำนวนแก้ว]],0))</f>
        <v/>
      </c>
      <c r="U130" s="10" t="str">
        <f>IF(tblSales[[#This Row],[Key]]="","",IFERROR(INDEX(ตารางรวม!$H:$H,MATCH(tblSales[[#This Row],[Key]],ตารางรวม!$Z:$Z,0))*tblSales[[#This Row],[จำนวนแก้ว]],0))</f>
        <v/>
      </c>
      <c r="V130" s="10" t="str">
        <f>IF(tblSales[[#This Row],[Key]]="","",IFERROR(INDEX(ตารางรวม!$I:$I,MATCH(tblSales[[#This Row],[Key]],ตารางรวม!$Z:$Z,0))*tblSales[[#This Row],[จำนวนแก้ว]],0))</f>
        <v/>
      </c>
      <c r="W130" s="10" t="str">
        <f>IF(tblSales[[#This Row],[Key]]="","",IFERROR(INDEX(ตารางรวม!$J:$J,MATCH(tblSales[[#This Row],[Key]],ตารางรวม!$Z:$Z,0))*tblSales[[#This Row],[จำนวนแก้ว]],0))</f>
        <v/>
      </c>
      <c r="X130" s="10" t="str">
        <f>IF(tblSales[[#This Row],[Key]]="","",IFERROR(INDEX(ตารางรวม!$K:$K,MATCH(tblSales[[#This Row],[Key]],ตารางรวม!$Z:$Z,0))*tblSales[[#This Row],[จำนวนแก้ว]],0))</f>
        <v/>
      </c>
      <c r="Y130" s="10" t="str">
        <f>IF(tblSales[[#This Row],[Key]]="","",IFERROR(INDEX(ตารางรวม!$L:$L,MATCH(tblSales[[#This Row],[Key]],ตารางรวม!$Z:$Z,0))*tblSales[[#This Row],[จำนวนแก้ว]],0))</f>
        <v/>
      </c>
      <c r="Z13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0" s="10" t="str">
        <f>IF(tblSales[[#This Row],[Key]]="","",IF(tblSales[[#This Row],[ขนาด]]="16 oz",tblSales[[#This Row],[จำนวนแก้ว]],0))</f>
        <v/>
      </c>
      <c r="AI130" s="10" t="str">
        <f>IF(tblSales[[#This Row],[Key]]="","",IF(tblSales[[#This Row],[ขนาด]]="20 oz",tblSales[[#This Row],[จำนวนแก้ว]],0))</f>
        <v/>
      </c>
      <c r="AJ130" s="10" t="str">
        <f>IF(tblSales[[#This Row],[Key]]="","",IF(tblSales[[#This Row],[ขนาด]]="22 oz",tblSales[[#This Row],[จำนวนแก้ว]],0))</f>
        <v/>
      </c>
    </row>
    <row r="131" spans="1:36" x14ac:dyDescent="0.25">
      <c r="A131" s="4" t="str">
        <f>IF(tblSales[[#This Row],[วันที่]]="","","S"&amp;TEXT(tblSales[[#This Row],[วันที่]],"yymmdd")&amp;"-"&amp;TEXT(ROW()-5,"000"))</f>
        <v/>
      </c>
      <c r="B131" s="16"/>
      <c r="C131" s="6"/>
      <c r="D131" s="6"/>
      <c r="E131" s="20"/>
      <c r="F131" s="6"/>
      <c r="G131" s="6"/>
      <c r="H131" s="6"/>
      <c r="I131" s="6"/>
      <c r="J13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1" s="8" t="str">
        <f>IF(tblSales[[#This Row],[Key]]="","",IFERROR(INDEX(ตารางรวม!$W:$W,MATCH(tblSales[[#This Row],[Key]],ตารางรวม!$Z:$Z,0)),"ไม่พบสูตร"))</f>
        <v/>
      </c>
      <c r="L131" s="8" t="str">
        <f>IF(tblSales[[#This Row],[Key]]="","",IFERROR(INDEX(ตารางรวม!$V:$V,MATCH(tblSales[[#This Row],[Key]],ตารางรวม!$Z:$Z,0)),"ไม่พบสูตร"))</f>
        <v/>
      </c>
      <c r="M131" s="8" t="str">
        <f>IF(tblSales[[#This Row],[Key]]="","",IFERROR(tblSales[[#This Row],[ราคาต่อแก้ว]]*tblSales[[#This Row],[จำนวนแก้ว]],""))</f>
        <v/>
      </c>
      <c r="N131" s="8" t="str">
        <f>IF(tblSales[[#This Row],[Key]]="","",IFERROR(tblSales[[#This Row],[ต้นทุนต่อแก้ว]]*tblSales[[#This Row],[จำนวนแก้ว]],""))</f>
        <v/>
      </c>
      <c r="O131" s="8" t="str">
        <f>IF(tblSales[[#This Row],[Key]]="","",IFERROR(tblSales[[#This Row],[ยอดขาย (บาท)]]-tblSales[[#This Row],[ต้นทุนรวม (บาท)]],""))</f>
        <v/>
      </c>
      <c r="P131" s="21" t="str">
        <f>IF(tblSales[[#This Row],[Key]]="","",IFERROR(tblSales[[#This Row],[กำไร (บาท)]]/tblSales[[#This Row],[ยอดขาย (บาท)]],""))</f>
        <v/>
      </c>
      <c r="Q131" s="10" t="str">
        <f>IF(tblSales[[#This Row],[Key]]="","",IFERROR(INDEX(ตารางรวม!$D:$D,MATCH(tblSales[[#This Row],[Key]],ตารางรวม!$Z:$Z,0))*tblSales[[#This Row],[จำนวนแก้ว]],0))</f>
        <v/>
      </c>
      <c r="R131" s="10" t="str">
        <f>IF(tblSales[[#This Row],[Key]]="","",IFERROR(INDEX(ตารางรวม!$E:$E,MATCH(tblSales[[#This Row],[Key]],ตารางรวม!$Z:$Z,0))*tblSales[[#This Row],[จำนวนแก้ว]],0))</f>
        <v/>
      </c>
      <c r="S131" s="10" t="str">
        <f>IF(tblSales[[#This Row],[Key]]="","",IFERROR(INDEX(ตารางรวม!$F:$F,MATCH(tblSales[[#This Row],[Key]],ตารางรวม!$Z:$Z,0))*tblSales[[#This Row],[จำนวนแก้ว]],0))</f>
        <v/>
      </c>
      <c r="T131" s="10" t="str">
        <f>IF(tblSales[[#This Row],[Key]]="","",IFERROR(INDEX(ตารางรวม!$G:$G,MATCH(tblSales[[#This Row],[Key]],ตารางรวม!$Z:$Z,0))*tblSales[[#This Row],[จำนวนแก้ว]],0))</f>
        <v/>
      </c>
      <c r="U131" s="10" t="str">
        <f>IF(tblSales[[#This Row],[Key]]="","",IFERROR(INDEX(ตารางรวม!$H:$H,MATCH(tblSales[[#This Row],[Key]],ตารางรวม!$Z:$Z,0))*tblSales[[#This Row],[จำนวนแก้ว]],0))</f>
        <v/>
      </c>
      <c r="V131" s="10" t="str">
        <f>IF(tblSales[[#This Row],[Key]]="","",IFERROR(INDEX(ตารางรวม!$I:$I,MATCH(tblSales[[#This Row],[Key]],ตารางรวม!$Z:$Z,0))*tblSales[[#This Row],[จำนวนแก้ว]],0))</f>
        <v/>
      </c>
      <c r="W131" s="10" t="str">
        <f>IF(tblSales[[#This Row],[Key]]="","",IFERROR(INDEX(ตารางรวม!$J:$J,MATCH(tblSales[[#This Row],[Key]],ตารางรวม!$Z:$Z,0))*tblSales[[#This Row],[จำนวนแก้ว]],0))</f>
        <v/>
      </c>
      <c r="X131" s="10" t="str">
        <f>IF(tblSales[[#This Row],[Key]]="","",IFERROR(INDEX(ตารางรวม!$K:$K,MATCH(tblSales[[#This Row],[Key]],ตารางรวม!$Z:$Z,0))*tblSales[[#This Row],[จำนวนแก้ว]],0))</f>
        <v/>
      </c>
      <c r="Y131" s="10" t="str">
        <f>IF(tblSales[[#This Row],[Key]]="","",IFERROR(INDEX(ตารางรวม!$L:$L,MATCH(tblSales[[#This Row],[Key]],ตารางรวม!$Z:$Z,0))*tblSales[[#This Row],[จำนวนแก้ว]],0))</f>
        <v/>
      </c>
      <c r="Z13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1" s="10" t="str">
        <f>IF(tblSales[[#This Row],[Key]]="","",IF(tblSales[[#This Row],[ขนาด]]="16 oz",tblSales[[#This Row],[จำนวนแก้ว]],0))</f>
        <v/>
      </c>
      <c r="AI131" s="10" t="str">
        <f>IF(tblSales[[#This Row],[Key]]="","",IF(tblSales[[#This Row],[ขนาด]]="20 oz",tblSales[[#This Row],[จำนวนแก้ว]],0))</f>
        <v/>
      </c>
      <c r="AJ131" s="10" t="str">
        <f>IF(tblSales[[#This Row],[Key]]="","",IF(tblSales[[#This Row],[ขนาด]]="22 oz",tblSales[[#This Row],[จำนวนแก้ว]],0))</f>
        <v/>
      </c>
    </row>
    <row r="132" spans="1:36" x14ac:dyDescent="0.25">
      <c r="A132" s="4" t="str">
        <f>IF(tblSales[[#This Row],[วันที่]]="","","S"&amp;TEXT(tblSales[[#This Row],[วันที่]],"yymmdd")&amp;"-"&amp;TEXT(ROW()-5,"000"))</f>
        <v/>
      </c>
      <c r="B132" s="16"/>
      <c r="C132" s="6"/>
      <c r="D132" s="6"/>
      <c r="E132" s="20"/>
      <c r="F132" s="6"/>
      <c r="G132" s="6"/>
      <c r="H132" s="6"/>
      <c r="I132" s="6"/>
      <c r="J13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2" s="8" t="str">
        <f>IF(tblSales[[#This Row],[Key]]="","",IFERROR(INDEX(ตารางรวม!$W:$W,MATCH(tblSales[[#This Row],[Key]],ตารางรวม!$Z:$Z,0)),"ไม่พบสูตร"))</f>
        <v/>
      </c>
      <c r="L132" s="8" t="str">
        <f>IF(tblSales[[#This Row],[Key]]="","",IFERROR(INDEX(ตารางรวม!$V:$V,MATCH(tblSales[[#This Row],[Key]],ตารางรวม!$Z:$Z,0)),"ไม่พบสูตร"))</f>
        <v/>
      </c>
      <c r="M132" s="8" t="str">
        <f>IF(tblSales[[#This Row],[Key]]="","",IFERROR(tblSales[[#This Row],[ราคาต่อแก้ว]]*tblSales[[#This Row],[จำนวนแก้ว]],""))</f>
        <v/>
      </c>
      <c r="N132" s="8" t="str">
        <f>IF(tblSales[[#This Row],[Key]]="","",IFERROR(tblSales[[#This Row],[ต้นทุนต่อแก้ว]]*tblSales[[#This Row],[จำนวนแก้ว]],""))</f>
        <v/>
      </c>
      <c r="O132" s="8" t="str">
        <f>IF(tblSales[[#This Row],[Key]]="","",IFERROR(tblSales[[#This Row],[ยอดขาย (บาท)]]-tblSales[[#This Row],[ต้นทุนรวม (บาท)]],""))</f>
        <v/>
      </c>
      <c r="P132" s="21" t="str">
        <f>IF(tblSales[[#This Row],[Key]]="","",IFERROR(tblSales[[#This Row],[กำไร (บาท)]]/tblSales[[#This Row],[ยอดขาย (บาท)]],""))</f>
        <v/>
      </c>
      <c r="Q132" s="10" t="str">
        <f>IF(tblSales[[#This Row],[Key]]="","",IFERROR(INDEX(ตารางรวม!$D:$D,MATCH(tblSales[[#This Row],[Key]],ตารางรวม!$Z:$Z,0))*tblSales[[#This Row],[จำนวนแก้ว]],0))</f>
        <v/>
      </c>
      <c r="R132" s="10" t="str">
        <f>IF(tblSales[[#This Row],[Key]]="","",IFERROR(INDEX(ตารางรวม!$E:$E,MATCH(tblSales[[#This Row],[Key]],ตารางรวม!$Z:$Z,0))*tblSales[[#This Row],[จำนวนแก้ว]],0))</f>
        <v/>
      </c>
      <c r="S132" s="10" t="str">
        <f>IF(tblSales[[#This Row],[Key]]="","",IFERROR(INDEX(ตารางรวม!$F:$F,MATCH(tblSales[[#This Row],[Key]],ตารางรวม!$Z:$Z,0))*tblSales[[#This Row],[จำนวนแก้ว]],0))</f>
        <v/>
      </c>
      <c r="T132" s="10" t="str">
        <f>IF(tblSales[[#This Row],[Key]]="","",IFERROR(INDEX(ตารางรวม!$G:$G,MATCH(tblSales[[#This Row],[Key]],ตารางรวม!$Z:$Z,0))*tblSales[[#This Row],[จำนวนแก้ว]],0))</f>
        <v/>
      </c>
      <c r="U132" s="10" t="str">
        <f>IF(tblSales[[#This Row],[Key]]="","",IFERROR(INDEX(ตารางรวม!$H:$H,MATCH(tblSales[[#This Row],[Key]],ตารางรวม!$Z:$Z,0))*tblSales[[#This Row],[จำนวนแก้ว]],0))</f>
        <v/>
      </c>
      <c r="V132" s="10" t="str">
        <f>IF(tblSales[[#This Row],[Key]]="","",IFERROR(INDEX(ตารางรวม!$I:$I,MATCH(tblSales[[#This Row],[Key]],ตารางรวม!$Z:$Z,0))*tblSales[[#This Row],[จำนวนแก้ว]],0))</f>
        <v/>
      </c>
      <c r="W132" s="10" t="str">
        <f>IF(tblSales[[#This Row],[Key]]="","",IFERROR(INDEX(ตารางรวม!$J:$J,MATCH(tblSales[[#This Row],[Key]],ตารางรวม!$Z:$Z,0))*tblSales[[#This Row],[จำนวนแก้ว]],0))</f>
        <v/>
      </c>
      <c r="X132" s="10" t="str">
        <f>IF(tblSales[[#This Row],[Key]]="","",IFERROR(INDEX(ตารางรวม!$K:$K,MATCH(tblSales[[#This Row],[Key]],ตารางรวม!$Z:$Z,0))*tblSales[[#This Row],[จำนวนแก้ว]],0))</f>
        <v/>
      </c>
      <c r="Y132" s="10" t="str">
        <f>IF(tblSales[[#This Row],[Key]]="","",IFERROR(INDEX(ตารางรวม!$L:$L,MATCH(tblSales[[#This Row],[Key]],ตารางรวม!$Z:$Z,0))*tblSales[[#This Row],[จำนวนแก้ว]],0))</f>
        <v/>
      </c>
      <c r="Z13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2" s="10" t="str">
        <f>IF(tblSales[[#This Row],[Key]]="","",IF(tblSales[[#This Row],[ขนาด]]="16 oz",tblSales[[#This Row],[จำนวนแก้ว]],0))</f>
        <v/>
      </c>
      <c r="AI132" s="10" t="str">
        <f>IF(tblSales[[#This Row],[Key]]="","",IF(tblSales[[#This Row],[ขนาด]]="20 oz",tblSales[[#This Row],[จำนวนแก้ว]],0))</f>
        <v/>
      </c>
      <c r="AJ132" s="10" t="str">
        <f>IF(tblSales[[#This Row],[Key]]="","",IF(tblSales[[#This Row],[ขนาด]]="22 oz",tblSales[[#This Row],[จำนวนแก้ว]],0))</f>
        <v/>
      </c>
    </row>
    <row r="133" spans="1:36" x14ac:dyDescent="0.25">
      <c r="A133" s="4" t="str">
        <f>IF(tblSales[[#This Row],[วันที่]]="","","S"&amp;TEXT(tblSales[[#This Row],[วันที่]],"yymmdd")&amp;"-"&amp;TEXT(ROW()-5,"000"))</f>
        <v/>
      </c>
      <c r="B133" s="16"/>
      <c r="C133" s="6"/>
      <c r="D133" s="6"/>
      <c r="E133" s="20"/>
      <c r="F133" s="6"/>
      <c r="G133" s="6"/>
      <c r="H133" s="6"/>
      <c r="I133" s="6"/>
      <c r="J13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3" s="8" t="str">
        <f>IF(tblSales[[#This Row],[Key]]="","",IFERROR(INDEX(ตารางรวม!$W:$W,MATCH(tblSales[[#This Row],[Key]],ตารางรวม!$Z:$Z,0)),"ไม่พบสูตร"))</f>
        <v/>
      </c>
      <c r="L133" s="8" t="str">
        <f>IF(tblSales[[#This Row],[Key]]="","",IFERROR(INDEX(ตารางรวม!$V:$V,MATCH(tblSales[[#This Row],[Key]],ตารางรวม!$Z:$Z,0)),"ไม่พบสูตร"))</f>
        <v/>
      </c>
      <c r="M133" s="8" t="str">
        <f>IF(tblSales[[#This Row],[Key]]="","",IFERROR(tblSales[[#This Row],[ราคาต่อแก้ว]]*tblSales[[#This Row],[จำนวนแก้ว]],""))</f>
        <v/>
      </c>
      <c r="N133" s="8" t="str">
        <f>IF(tblSales[[#This Row],[Key]]="","",IFERROR(tblSales[[#This Row],[ต้นทุนต่อแก้ว]]*tblSales[[#This Row],[จำนวนแก้ว]],""))</f>
        <v/>
      </c>
      <c r="O133" s="8" t="str">
        <f>IF(tblSales[[#This Row],[Key]]="","",IFERROR(tblSales[[#This Row],[ยอดขาย (บาท)]]-tblSales[[#This Row],[ต้นทุนรวม (บาท)]],""))</f>
        <v/>
      </c>
      <c r="P133" s="21" t="str">
        <f>IF(tblSales[[#This Row],[Key]]="","",IFERROR(tblSales[[#This Row],[กำไร (บาท)]]/tblSales[[#This Row],[ยอดขาย (บาท)]],""))</f>
        <v/>
      </c>
      <c r="Q133" s="10" t="str">
        <f>IF(tblSales[[#This Row],[Key]]="","",IFERROR(INDEX(ตารางรวม!$D:$D,MATCH(tblSales[[#This Row],[Key]],ตารางรวม!$Z:$Z,0))*tblSales[[#This Row],[จำนวนแก้ว]],0))</f>
        <v/>
      </c>
      <c r="R133" s="10" t="str">
        <f>IF(tblSales[[#This Row],[Key]]="","",IFERROR(INDEX(ตารางรวม!$E:$E,MATCH(tblSales[[#This Row],[Key]],ตารางรวม!$Z:$Z,0))*tblSales[[#This Row],[จำนวนแก้ว]],0))</f>
        <v/>
      </c>
      <c r="S133" s="10" t="str">
        <f>IF(tblSales[[#This Row],[Key]]="","",IFERROR(INDEX(ตารางรวม!$F:$F,MATCH(tblSales[[#This Row],[Key]],ตารางรวม!$Z:$Z,0))*tblSales[[#This Row],[จำนวนแก้ว]],0))</f>
        <v/>
      </c>
      <c r="T133" s="10" t="str">
        <f>IF(tblSales[[#This Row],[Key]]="","",IFERROR(INDEX(ตารางรวม!$G:$G,MATCH(tblSales[[#This Row],[Key]],ตารางรวม!$Z:$Z,0))*tblSales[[#This Row],[จำนวนแก้ว]],0))</f>
        <v/>
      </c>
      <c r="U133" s="10" t="str">
        <f>IF(tblSales[[#This Row],[Key]]="","",IFERROR(INDEX(ตารางรวม!$H:$H,MATCH(tblSales[[#This Row],[Key]],ตารางรวม!$Z:$Z,0))*tblSales[[#This Row],[จำนวนแก้ว]],0))</f>
        <v/>
      </c>
      <c r="V133" s="10" t="str">
        <f>IF(tblSales[[#This Row],[Key]]="","",IFERROR(INDEX(ตารางรวม!$I:$I,MATCH(tblSales[[#This Row],[Key]],ตารางรวม!$Z:$Z,0))*tblSales[[#This Row],[จำนวนแก้ว]],0))</f>
        <v/>
      </c>
      <c r="W133" s="10" t="str">
        <f>IF(tblSales[[#This Row],[Key]]="","",IFERROR(INDEX(ตารางรวม!$J:$J,MATCH(tblSales[[#This Row],[Key]],ตารางรวม!$Z:$Z,0))*tblSales[[#This Row],[จำนวนแก้ว]],0))</f>
        <v/>
      </c>
      <c r="X133" s="10" t="str">
        <f>IF(tblSales[[#This Row],[Key]]="","",IFERROR(INDEX(ตารางรวม!$K:$K,MATCH(tblSales[[#This Row],[Key]],ตารางรวม!$Z:$Z,0))*tblSales[[#This Row],[จำนวนแก้ว]],0))</f>
        <v/>
      </c>
      <c r="Y133" s="10" t="str">
        <f>IF(tblSales[[#This Row],[Key]]="","",IFERROR(INDEX(ตารางรวม!$L:$L,MATCH(tblSales[[#This Row],[Key]],ตารางรวม!$Z:$Z,0))*tblSales[[#This Row],[จำนวนแก้ว]],0))</f>
        <v/>
      </c>
      <c r="Z13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3" s="10" t="str">
        <f>IF(tblSales[[#This Row],[Key]]="","",IF(tblSales[[#This Row],[ขนาด]]="16 oz",tblSales[[#This Row],[จำนวนแก้ว]],0))</f>
        <v/>
      </c>
      <c r="AI133" s="10" t="str">
        <f>IF(tblSales[[#This Row],[Key]]="","",IF(tblSales[[#This Row],[ขนาด]]="20 oz",tblSales[[#This Row],[จำนวนแก้ว]],0))</f>
        <v/>
      </c>
      <c r="AJ133" s="10" t="str">
        <f>IF(tblSales[[#This Row],[Key]]="","",IF(tblSales[[#This Row],[ขนาด]]="22 oz",tblSales[[#This Row],[จำนวนแก้ว]],0))</f>
        <v/>
      </c>
    </row>
    <row r="134" spans="1:36" x14ac:dyDescent="0.25">
      <c r="A134" s="4" t="str">
        <f>IF(tblSales[[#This Row],[วันที่]]="","","S"&amp;TEXT(tblSales[[#This Row],[วันที่]],"yymmdd")&amp;"-"&amp;TEXT(ROW()-5,"000"))</f>
        <v/>
      </c>
      <c r="B134" s="16"/>
      <c r="C134" s="6"/>
      <c r="D134" s="6"/>
      <c r="E134" s="20"/>
      <c r="F134" s="6"/>
      <c r="G134" s="6"/>
      <c r="H134" s="6"/>
      <c r="I134" s="6"/>
      <c r="J13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4" s="8" t="str">
        <f>IF(tblSales[[#This Row],[Key]]="","",IFERROR(INDEX(ตารางรวม!$W:$W,MATCH(tblSales[[#This Row],[Key]],ตารางรวม!$Z:$Z,0)),"ไม่พบสูตร"))</f>
        <v/>
      </c>
      <c r="L134" s="8" t="str">
        <f>IF(tblSales[[#This Row],[Key]]="","",IFERROR(INDEX(ตารางรวม!$V:$V,MATCH(tblSales[[#This Row],[Key]],ตารางรวม!$Z:$Z,0)),"ไม่พบสูตร"))</f>
        <v/>
      </c>
      <c r="M134" s="8" t="str">
        <f>IF(tblSales[[#This Row],[Key]]="","",IFERROR(tblSales[[#This Row],[ราคาต่อแก้ว]]*tblSales[[#This Row],[จำนวนแก้ว]],""))</f>
        <v/>
      </c>
      <c r="N134" s="8" t="str">
        <f>IF(tblSales[[#This Row],[Key]]="","",IFERROR(tblSales[[#This Row],[ต้นทุนต่อแก้ว]]*tblSales[[#This Row],[จำนวนแก้ว]],""))</f>
        <v/>
      </c>
      <c r="O134" s="8" t="str">
        <f>IF(tblSales[[#This Row],[Key]]="","",IFERROR(tblSales[[#This Row],[ยอดขาย (บาท)]]-tblSales[[#This Row],[ต้นทุนรวม (บาท)]],""))</f>
        <v/>
      </c>
      <c r="P134" s="21" t="str">
        <f>IF(tblSales[[#This Row],[Key]]="","",IFERROR(tblSales[[#This Row],[กำไร (บาท)]]/tblSales[[#This Row],[ยอดขาย (บาท)]],""))</f>
        <v/>
      </c>
      <c r="Q134" s="10" t="str">
        <f>IF(tblSales[[#This Row],[Key]]="","",IFERROR(INDEX(ตารางรวม!$D:$D,MATCH(tblSales[[#This Row],[Key]],ตารางรวม!$Z:$Z,0))*tblSales[[#This Row],[จำนวนแก้ว]],0))</f>
        <v/>
      </c>
      <c r="R134" s="10" t="str">
        <f>IF(tblSales[[#This Row],[Key]]="","",IFERROR(INDEX(ตารางรวม!$E:$E,MATCH(tblSales[[#This Row],[Key]],ตารางรวม!$Z:$Z,0))*tblSales[[#This Row],[จำนวนแก้ว]],0))</f>
        <v/>
      </c>
      <c r="S134" s="10" t="str">
        <f>IF(tblSales[[#This Row],[Key]]="","",IFERROR(INDEX(ตารางรวม!$F:$F,MATCH(tblSales[[#This Row],[Key]],ตารางรวม!$Z:$Z,0))*tblSales[[#This Row],[จำนวนแก้ว]],0))</f>
        <v/>
      </c>
      <c r="T134" s="10" t="str">
        <f>IF(tblSales[[#This Row],[Key]]="","",IFERROR(INDEX(ตารางรวม!$G:$G,MATCH(tblSales[[#This Row],[Key]],ตารางรวม!$Z:$Z,0))*tblSales[[#This Row],[จำนวนแก้ว]],0))</f>
        <v/>
      </c>
      <c r="U134" s="10" t="str">
        <f>IF(tblSales[[#This Row],[Key]]="","",IFERROR(INDEX(ตารางรวม!$H:$H,MATCH(tblSales[[#This Row],[Key]],ตารางรวม!$Z:$Z,0))*tblSales[[#This Row],[จำนวนแก้ว]],0))</f>
        <v/>
      </c>
      <c r="V134" s="10" t="str">
        <f>IF(tblSales[[#This Row],[Key]]="","",IFERROR(INDEX(ตารางรวม!$I:$I,MATCH(tblSales[[#This Row],[Key]],ตารางรวม!$Z:$Z,0))*tblSales[[#This Row],[จำนวนแก้ว]],0))</f>
        <v/>
      </c>
      <c r="W134" s="10" t="str">
        <f>IF(tblSales[[#This Row],[Key]]="","",IFERROR(INDEX(ตารางรวม!$J:$J,MATCH(tblSales[[#This Row],[Key]],ตารางรวม!$Z:$Z,0))*tblSales[[#This Row],[จำนวนแก้ว]],0))</f>
        <v/>
      </c>
      <c r="X134" s="10" t="str">
        <f>IF(tblSales[[#This Row],[Key]]="","",IFERROR(INDEX(ตารางรวม!$K:$K,MATCH(tblSales[[#This Row],[Key]],ตารางรวม!$Z:$Z,0))*tblSales[[#This Row],[จำนวนแก้ว]],0))</f>
        <v/>
      </c>
      <c r="Y134" s="10" t="str">
        <f>IF(tblSales[[#This Row],[Key]]="","",IFERROR(INDEX(ตารางรวม!$L:$L,MATCH(tblSales[[#This Row],[Key]],ตารางรวม!$Z:$Z,0))*tblSales[[#This Row],[จำนวนแก้ว]],0))</f>
        <v/>
      </c>
      <c r="Z13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4" s="10" t="str">
        <f>IF(tblSales[[#This Row],[Key]]="","",IF(tblSales[[#This Row],[ขนาด]]="16 oz",tblSales[[#This Row],[จำนวนแก้ว]],0))</f>
        <v/>
      </c>
      <c r="AI134" s="10" t="str">
        <f>IF(tblSales[[#This Row],[Key]]="","",IF(tblSales[[#This Row],[ขนาด]]="20 oz",tblSales[[#This Row],[จำนวนแก้ว]],0))</f>
        <v/>
      </c>
      <c r="AJ134" s="10" t="str">
        <f>IF(tblSales[[#This Row],[Key]]="","",IF(tblSales[[#This Row],[ขนาด]]="22 oz",tblSales[[#This Row],[จำนวนแก้ว]],0))</f>
        <v/>
      </c>
    </row>
    <row r="135" spans="1:36" x14ac:dyDescent="0.25">
      <c r="A135" s="4" t="str">
        <f>IF(tblSales[[#This Row],[วันที่]]="","","S"&amp;TEXT(tblSales[[#This Row],[วันที่]],"yymmdd")&amp;"-"&amp;TEXT(ROW()-5,"000"))</f>
        <v/>
      </c>
      <c r="B135" s="16"/>
      <c r="C135" s="6"/>
      <c r="D135" s="6"/>
      <c r="E135" s="20"/>
      <c r="F135" s="6"/>
      <c r="G135" s="6"/>
      <c r="H135" s="6"/>
      <c r="I135" s="6"/>
      <c r="J13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5" s="8" t="str">
        <f>IF(tblSales[[#This Row],[Key]]="","",IFERROR(INDEX(ตารางรวม!$W:$W,MATCH(tblSales[[#This Row],[Key]],ตารางรวม!$Z:$Z,0)),"ไม่พบสูตร"))</f>
        <v/>
      </c>
      <c r="L135" s="8" t="str">
        <f>IF(tblSales[[#This Row],[Key]]="","",IFERROR(INDEX(ตารางรวม!$V:$V,MATCH(tblSales[[#This Row],[Key]],ตารางรวม!$Z:$Z,0)),"ไม่พบสูตร"))</f>
        <v/>
      </c>
      <c r="M135" s="8" t="str">
        <f>IF(tblSales[[#This Row],[Key]]="","",IFERROR(tblSales[[#This Row],[ราคาต่อแก้ว]]*tblSales[[#This Row],[จำนวนแก้ว]],""))</f>
        <v/>
      </c>
      <c r="N135" s="8" t="str">
        <f>IF(tblSales[[#This Row],[Key]]="","",IFERROR(tblSales[[#This Row],[ต้นทุนต่อแก้ว]]*tblSales[[#This Row],[จำนวนแก้ว]],""))</f>
        <v/>
      </c>
      <c r="O135" s="8" t="str">
        <f>IF(tblSales[[#This Row],[Key]]="","",IFERROR(tblSales[[#This Row],[ยอดขาย (บาท)]]-tblSales[[#This Row],[ต้นทุนรวม (บาท)]],""))</f>
        <v/>
      </c>
      <c r="P135" s="21" t="str">
        <f>IF(tblSales[[#This Row],[Key]]="","",IFERROR(tblSales[[#This Row],[กำไร (บาท)]]/tblSales[[#This Row],[ยอดขาย (บาท)]],""))</f>
        <v/>
      </c>
      <c r="Q135" s="10" t="str">
        <f>IF(tblSales[[#This Row],[Key]]="","",IFERROR(INDEX(ตารางรวม!$D:$D,MATCH(tblSales[[#This Row],[Key]],ตารางรวม!$Z:$Z,0))*tblSales[[#This Row],[จำนวนแก้ว]],0))</f>
        <v/>
      </c>
      <c r="R135" s="10" t="str">
        <f>IF(tblSales[[#This Row],[Key]]="","",IFERROR(INDEX(ตารางรวม!$E:$E,MATCH(tblSales[[#This Row],[Key]],ตารางรวม!$Z:$Z,0))*tblSales[[#This Row],[จำนวนแก้ว]],0))</f>
        <v/>
      </c>
      <c r="S135" s="10" t="str">
        <f>IF(tblSales[[#This Row],[Key]]="","",IFERROR(INDEX(ตารางรวม!$F:$F,MATCH(tblSales[[#This Row],[Key]],ตารางรวม!$Z:$Z,0))*tblSales[[#This Row],[จำนวนแก้ว]],0))</f>
        <v/>
      </c>
      <c r="T135" s="10" t="str">
        <f>IF(tblSales[[#This Row],[Key]]="","",IFERROR(INDEX(ตารางรวม!$G:$G,MATCH(tblSales[[#This Row],[Key]],ตารางรวม!$Z:$Z,0))*tblSales[[#This Row],[จำนวนแก้ว]],0))</f>
        <v/>
      </c>
      <c r="U135" s="10" t="str">
        <f>IF(tblSales[[#This Row],[Key]]="","",IFERROR(INDEX(ตารางรวม!$H:$H,MATCH(tblSales[[#This Row],[Key]],ตารางรวม!$Z:$Z,0))*tblSales[[#This Row],[จำนวนแก้ว]],0))</f>
        <v/>
      </c>
      <c r="V135" s="10" t="str">
        <f>IF(tblSales[[#This Row],[Key]]="","",IFERROR(INDEX(ตารางรวม!$I:$I,MATCH(tblSales[[#This Row],[Key]],ตารางรวม!$Z:$Z,0))*tblSales[[#This Row],[จำนวนแก้ว]],0))</f>
        <v/>
      </c>
      <c r="W135" s="10" t="str">
        <f>IF(tblSales[[#This Row],[Key]]="","",IFERROR(INDEX(ตารางรวม!$J:$J,MATCH(tblSales[[#This Row],[Key]],ตารางรวม!$Z:$Z,0))*tblSales[[#This Row],[จำนวนแก้ว]],0))</f>
        <v/>
      </c>
      <c r="X135" s="10" t="str">
        <f>IF(tblSales[[#This Row],[Key]]="","",IFERROR(INDEX(ตารางรวม!$K:$K,MATCH(tblSales[[#This Row],[Key]],ตารางรวม!$Z:$Z,0))*tblSales[[#This Row],[จำนวนแก้ว]],0))</f>
        <v/>
      </c>
      <c r="Y135" s="10" t="str">
        <f>IF(tblSales[[#This Row],[Key]]="","",IFERROR(INDEX(ตารางรวม!$L:$L,MATCH(tblSales[[#This Row],[Key]],ตารางรวม!$Z:$Z,0))*tblSales[[#This Row],[จำนวนแก้ว]],0))</f>
        <v/>
      </c>
      <c r="Z13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5" s="10" t="str">
        <f>IF(tblSales[[#This Row],[Key]]="","",IF(tblSales[[#This Row],[ขนาด]]="16 oz",tblSales[[#This Row],[จำนวนแก้ว]],0))</f>
        <v/>
      </c>
      <c r="AI135" s="10" t="str">
        <f>IF(tblSales[[#This Row],[Key]]="","",IF(tblSales[[#This Row],[ขนาด]]="20 oz",tblSales[[#This Row],[จำนวนแก้ว]],0))</f>
        <v/>
      </c>
      <c r="AJ135" s="10" t="str">
        <f>IF(tblSales[[#This Row],[Key]]="","",IF(tblSales[[#This Row],[ขนาด]]="22 oz",tblSales[[#This Row],[จำนวนแก้ว]],0))</f>
        <v/>
      </c>
    </row>
    <row r="136" spans="1:36" x14ac:dyDescent="0.25">
      <c r="A136" s="4" t="str">
        <f>IF(tblSales[[#This Row],[วันที่]]="","","S"&amp;TEXT(tblSales[[#This Row],[วันที่]],"yymmdd")&amp;"-"&amp;TEXT(ROW()-5,"000"))</f>
        <v/>
      </c>
      <c r="B136" s="16"/>
      <c r="C136" s="6"/>
      <c r="D136" s="6"/>
      <c r="E136" s="20"/>
      <c r="F136" s="6"/>
      <c r="G136" s="6"/>
      <c r="H136" s="6"/>
      <c r="I136" s="6"/>
      <c r="J13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6" s="8" t="str">
        <f>IF(tblSales[[#This Row],[Key]]="","",IFERROR(INDEX(ตารางรวม!$W:$W,MATCH(tblSales[[#This Row],[Key]],ตารางรวม!$Z:$Z,0)),"ไม่พบสูตร"))</f>
        <v/>
      </c>
      <c r="L136" s="8" t="str">
        <f>IF(tblSales[[#This Row],[Key]]="","",IFERROR(INDEX(ตารางรวม!$V:$V,MATCH(tblSales[[#This Row],[Key]],ตารางรวม!$Z:$Z,0)),"ไม่พบสูตร"))</f>
        <v/>
      </c>
      <c r="M136" s="8" t="str">
        <f>IF(tblSales[[#This Row],[Key]]="","",IFERROR(tblSales[[#This Row],[ราคาต่อแก้ว]]*tblSales[[#This Row],[จำนวนแก้ว]],""))</f>
        <v/>
      </c>
      <c r="N136" s="8" t="str">
        <f>IF(tblSales[[#This Row],[Key]]="","",IFERROR(tblSales[[#This Row],[ต้นทุนต่อแก้ว]]*tblSales[[#This Row],[จำนวนแก้ว]],""))</f>
        <v/>
      </c>
      <c r="O136" s="8" t="str">
        <f>IF(tblSales[[#This Row],[Key]]="","",IFERROR(tblSales[[#This Row],[ยอดขาย (บาท)]]-tblSales[[#This Row],[ต้นทุนรวม (บาท)]],""))</f>
        <v/>
      </c>
      <c r="P136" s="21" t="str">
        <f>IF(tblSales[[#This Row],[Key]]="","",IFERROR(tblSales[[#This Row],[กำไร (บาท)]]/tblSales[[#This Row],[ยอดขาย (บาท)]],""))</f>
        <v/>
      </c>
      <c r="Q136" s="10" t="str">
        <f>IF(tblSales[[#This Row],[Key]]="","",IFERROR(INDEX(ตารางรวม!$D:$D,MATCH(tblSales[[#This Row],[Key]],ตารางรวม!$Z:$Z,0))*tblSales[[#This Row],[จำนวนแก้ว]],0))</f>
        <v/>
      </c>
      <c r="R136" s="10" t="str">
        <f>IF(tblSales[[#This Row],[Key]]="","",IFERROR(INDEX(ตารางรวม!$E:$E,MATCH(tblSales[[#This Row],[Key]],ตารางรวม!$Z:$Z,0))*tblSales[[#This Row],[จำนวนแก้ว]],0))</f>
        <v/>
      </c>
      <c r="S136" s="10" t="str">
        <f>IF(tblSales[[#This Row],[Key]]="","",IFERROR(INDEX(ตารางรวม!$F:$F,MATCH(tblSales[[#This Row],[Key]],ตารางรวม!$Z:$Z,0))*tblSales[[#This Row],[จำนวนแก้ว]],0))</f>
        <v/>
      </c>
      <c r="T136" s="10" t="str">
        <f>IF(tblSales[[#This Row],[Key]]="","",IFERROR(INDEX(ตารางรวม!$G:$G,MATCH(tblSales[[#This Row],[Key]],ตารางรวม!$Z:$Z,0))*tblSales[[#This Row],[จำนวนแก้ว]],0))</f>
        <v/>
      </c>
      <c r="U136" s="10" t="str">
        <f>IF(tblSales[[#This Row],[Key]]="","",IFERROR(INDEX(ตารางรวม!$H:$H,MATCH(tblSales[[#This Row],[Key]],ตารางรวม!$Z:$Z,0))*tblSales[[#This Row],[จำนวนแก้ว]],0))</f>
        <v/>
      </c>
      <c r="V136" s="10" t="str">
        <f>IF(tblSales[[#This Row],[Key]]="","",IFERROR(INDEX(ตารางรวม!$I:$I,MATCH(tblSales[[#This Row],[Key]],ตารางรวม!$Z:$Z,0))*tblSales[[#This Row],[จำนวนแก้ว]],0))</f>
        <v/>
      </c>
      <c r="W136" s="10" t="str">
        <f>IF(tblSales[[#This Row],[Key]]="","",IFERROR(INDEX(ตารางรวม!$J:$J,MATCH(tblSales[[#This Row],[Key]],ตารางรวม!$Z:$Z,0))*tblSales[[#This Row],[จำนวนแก้ว]],0))</f>
        <v/>
      </c>
      <c r="X136" s="10" t="str">
        <f>IF(tblSales[[#This Row],[Key]]="","",IFERROR(INDEX(ตารางรวม!$K:$K,MATCH(tblSales[[#This Row],[Key]],ตารางรวม!$Z:$Z,0))*tblSales[[#This Row],[จำนวนแก้ว]],0))</f>
        <v/>
      </c>
      <c r="Y136" s="10" t="str">
        <f>IF(tblSales[[#This Row],[Key]]="","",IFERROR(INDEX(ตารางรวม!$L:$L,MATCH(tblSales[[#This Row],[Key]],ตารางรวม!$Z:$Z,0))*tblSales[[#This Row],[จำนวนแก้ว]],0))</f>
        <v/>
      </c>
      <c r="Z13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6" s="10" t="str">
        <f>IF(tblSales[[#This Row],[Key]]="","",IF(tblSales[[#This Row],[ขนาด]]="16 oz",tblSales[[#This Row],[จำนวนแก้ว]],0))</f>
        <v/>
      </c>
      <c r="AI136" s="10" t="str">
        <f>IF(tblSales[[#This Row],[Key]]="","",IF(tblSales[[#This Row],[ขนาด]]="20 oz",tblSales[[#This Row],[จำนวนแก้ว]],0))</f>
        <v/>
      </c>
      <c r="AJ136" s="10" t="str">
        <f>IF(tblSales[[#This Row],[Key]]="","",IF(tblSales[[#This Row],[ขนาด]]="22 oz",tblSales[[#This Row],[จำนวนแก้ว]],0))</f>
        <v/>
      </c>
    </row>
    <row r="137" spans="1:36" x14ac:dyDescent="0.25">
      <c r="A137" s="4" t="str">
        <f>IF(tblSales[[#This Row],[วันที่]]="","","S"&amp;TEXT(tblSales[[#This Row],[วันที่]],"yymmdd")&amp;"-"&amp;TEXT(ROW()-5,"000"))</f>
        <v/>
      </c>
      <c r="B137" s="16"/>
      <c r="C137" s="6"/>
      <c r="D137" s="6"/>
      <c r="E137" s="20"/>
      <c r="F137" s="6"/>
      <c r="G137" s="6"/>
      <c r="H137" s="6"/>
      <c r="I137" s="6"/>
      <c r="J13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7" s="8" t="str">
        <f>IF(tblSales[[#This Row],[Key]]="","",IFERROR(INDEX(ตารางรวม!$W:$W,MATCH(tblSales[[#This Row],[Key]],ตารางรวม!$Z:$Z,0)),"ไม่พบสูตร"))</f>
        <v/>
      </c>
      <c r="L137" s="8" t="str">
        <f>IF(tblSales[[#This Row],[Key]]="","",IFERROR(INDEX(ตารางรวม!$V:$V,MATCH(tblSales[[#This Row],[Key]],ตารางรวม!$Z:$Z,0)),"ไม่พบสูตร"))</f>
        <v/>
      </c>
      <c r="M137" s="8" t="str">
        <f>IF(tblSales[[#This Row],[Key]]="","",IFERROR(tblSales[[#This Row],[ราคาต่อแก้ว]]*tblSales[[#This Row],[จำนวนแก้ว]],""))</f>
        <v/>
      </c>
      <c r="N137" s="8" t="str">
        <f>IF(tblSales[[#This Row],[Key]]="","",IFERROR(tblSales[[#This Row],[ต้นทุนต่อแก้ว]]*tblSales[[#This Row],[จำนวนแก้ว]],""))</f>
        <v/>
      </c>
      <c r="O137" s="8" t="str">
        <f>IF(tblSales[[#This Row],[Key]]="","",IFERROR(tblSales[[#This Row],[ยอดขาย (บาท)]]-tblSales[[#This Row],[ต้นทุนรวม (บาท)]],""))</f>
        <v/>
      </c>
      <c r="P137" s="21" t="str">
        <f>IF(tblSales[[#This Row],[Key]]="","",IFERROR(tblSales[[#This Row],[กำไร (บาท)]]/tblSales[[#This Row],[ยอดขาย (บาท)]],""))</f>
        <v/>
      </c>
      <c r="Q137" s="10" t="str">
        <f>IF(tblSales[[#This Row],[Key]]="","",IFERROR(INDEX(ตารางรวม!$D:$D,MATCH(tblSales[[#This Row],[Key]],ตารางรวม!$Z:$Z,0))*tblSales[[#This Row],[จำนวนแก้ว]],0))</f>
        <v/>
      </c>
      <c r="R137" s="10" t="str">
        <f>IF(tblSales[[#This Row],[Key]]="","",IFERROR(INDEX(ตารางรวม!$E:$E,MATCH(tblSales[[#This Row],[Key]],ตารางรวม!$Z:$Z,0))*tblSales[[#This Row],[จำนวนแก้ว]],0))</f>
        <v/>
      </c>
      <c r="S137" s="10" t="str">
        <f>IF(tblSales[[#This Row],[Key]]="","",IFERROR(INDEX(ตารางรวม!$F:$F,MATCH(tblSales[[#This Row],[Key]],ตารางรวม!$Z:$Z,0))*tblSales[[#This Row],[จำนวนแก้ว]],0))</f>
        <v/>
      </c>
      <c r="T137" s="10" t="str">
        <f>IF(tblSales[[#This Row],[Key]]="","",IFERROR(INDEX(ตารางรวม!$G:$G,MATCH(tblSales[[#This Row],[Key]],ตารางรวม!$Z:$Z,0))*tblSales[[#This Row],[จำนวนแก้ว]],0))</f>
        <v/>
      </c>
      <c r="U137" s="10" t="str">
        <f>IF(tblSales[[#This Row],[Key]]="","",IFERROR(INDEX(ตารางรวม!$H:$H,MATCH(tblSales[[#This Row],[Key]],ตารางรวม!$Z:$Z,0))*tblSales[[#This Row],[จำนวนแก้ว]],0))</f>
        <v/>
      </c>
      <c r="V137" s="10" t="str">
        <f>IF(tblSales[[#This Row],[Key]]="","",IFERROR(INDEX(ตารางรวม!$I:$I,MATCH(tblSales[[#This Row],[Key]],ตารางรวม!$Z:$Z,0))*tblSales[[#This Row],[จำนวนแก้ว]],0))</f>
        <v/>
      </c>
      <c r="W137" s="10" t="str">
        <f>IF(tblSales[[#This Row],[Key]]="","",IFERROR(INDEX(ตารางรวม!$J:$J,MATCH(tblSales[[#This Row],[Key]],ตารางรวม!$Z:$Z,0))*tblSales[[#This Row],[จำนวนแก้ว]],0))</f>
        <v/>
      </c>
      <c r="X137" s="10" t="str">
        <f>IF(tblSales[[#This Row],[Key]]="","",IFERROR(INDEX(ตารางรวม!$K:$K,MATCH(tblSales[[#This Row],[Key]],ตารางรวม!$Z:$Z,0))*tblSales[[#This Row],[จำนวนแก้ว]],0))</f>
        <v/>
      </c>
      <c r="Y137" s="10" t="str">
        <f>IF(tblSales[[#This Row],[Key]]="","",IFERROR(INDEX(ตารางรวม!$L:$L,MATCH(tblSales[[#This Row],[Key]],ตารางรวม!$Z:$Z,0))*tblSales[[#This Row],[จำนวนแก้ว]],0))</f>
        <v/>
      </c>
      <c r="Z13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7" s="10" t="str">
        <f>IF(tblSales[[#This Row],[Key]]="","",IF(tblSales[[#This Row],[ขนาด]]="16 oz",tblSales[[#This Row],[จำนวนแก้ว]],0))</f>
        <v/>
      </c>
      <c r="AI137" s="10" t="str">
        <f>IF(tblSales[[#This Row],[Key]]="","",IF(tblSales[[#This Row],[ขนาด]]="20 oz",tblSales[[#This Row],[จำนวนแก้ว]],0))</f>
        <v/>
      </c>
      <c r="AJ137" s="10" t="str">
        <f>IF(tblSales[[#This Row],[Key]]="","",IF(tblSales[[#This Row],[ขนาด]]="22 oz",tblSales[[#This Row],[จำนวนแก้ว]],0))</f>
        <v/>
      </c>
    </row>
    <row r="138" spans="1:36" x14ac:dyDescent="0.25">
      <c r="A138" s="4" t="str">
        <f>IF(tblSales[[#This Row],[วันที่]]="","","S"&amp;TEXT(tblSales[[#This Row],[วันที่]],"yymmdd")&amp;"-"&amp;TEXT(ROW()-5,"000"))</f>
        <v/>
      </c>
      <c r="B138" s="16"/>
      <c r="C138" s="6"/>
      <c r="D138" s="6"/>
      <c r="E138" s="20"/>
      <c r="F138" s="6"/>
      <c r="G138" s="6"/>
      <c r="H138" s="6"/>
      <c r="I138" s="6"/>
      <c r="J13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8" s="8" t="str">
        <f>IF(tblSales[[#This Row],[Key]]="","",IFERROR(INDEX(ตารางรวม!$W:$W,MATCH(tblSales[[#This Row],[Key]],ตารางรวม!$Z:$Z,0)),"ไม่พบสูตร"))</f>
        <v/>
      </c>
      <c r="L138" s="8" t="str">
        <f>IF(tblSales[[#This Row],[Key]]="","",IFERROR(INDEX(ตารางรวม!$V:$V,MATCH(tblSales[[#This Row],[Key]],ตารางรวม!$Z:$Z,0)),"ไม่พบสูตร"))</f>
        <v/>
      </c>
      <c r="M138" s="8" t="str">
        <f>IF(tblSales[[#This Row],[Key]]="","",IFERROR(tblSales[[#This Row],[ราคาต่อแก้ว]]*tblSales[[#This Row],[จำนวนแก้ว]],""))</f>
        <v/>
      </c>
      <c r="N138" s="8" t="str">
        <f>IF(tblSales[[#This Row],[Key]]="","",IFERROR(tblSales[[#This Row],[ต้นทุนต่อแก้ว]]*tblSales[[#This Row],[จำนวนแก้ว]],""))</f>
        <v/>
      </c>
      <c r="O138" s="8" t="str">
        <f>IF(tblSales[[#This Row],[Key]]="","",IFERROR(tblSales[[#This Row],[ยอดขาย (บาท)]]-tblSales[[#This Row],[ต้นทุนรวม (บาท)]],""))</f>
        <v/>
      </c>
      <c r="P138" s="21" t="str">
        <f>IF(tblSales[[#This Row],[Key]]="","",IFERROR(tblSales[[#This Row],[กำไร (บาท)]]/tblSales[[#This Row],[ยอดขาย (บาท)]],""))</f>
        <v/>
      </c>
      <c r="Q138" s="10" t="str">
        <f>IF(tblSales[[#This Row],[Key]]="","",IFERROR(INDEX(ตารางรวม!$D:$D,MATCH(tblSales[[#This Row],[Key]],ตารางรวม!$Z:$Z,0))*tblSales[[#This Row],[จำนวนแก้ว]],0))</f>
        <v/>
      </c>
      <c r="R138" s="10" t="str">
        <f>IF(tblSales[[#This Row],[Key]]="","",IFERROR(INDEX(ตารางรวม!$E:$E,MATCH(tblSales[[#This Row],[Key]],ตารางรวม!$Z:$Z,0))*tblSales[[#This Row],[จำนวนแก้ว]],0))</f>
        <v/>
      </c>
      <c r="S138" s="10" t="str">
        <f>IF(tblSales[[#This Row],[Key]]="","",IFERROR(INDEX(ตารางรวม!$F:$F,MATCH(tblSales[[#This Row],[Key]],ตารางรวม!$Z:$Z,0))*tblSales[[#This Row],[จำนวนแก้ว]],0))</f>
        <v/>
      </c>
      <c r="T138" s="10" t="str">
        <f>IF(tblSales[[#This Row],[Key]]="","",IFERROR(INDEX(ตารางรวม!$G:$G,MATCH(tblSales[[#This Row],[Key]],ตารางรวม!$Z:$Z,0))*tblSales[[#This Row],[จำนวนแก้ว]],0))</f>
        <v/>
      </c>
      <c r="U138" s="10" t="str">
        <f>IF(tblSales[[#This Row],[Key]]="","",IFERROR(INDEX(ตารางรวม!$H:$H,MATCH(tblSales[[#This Row],[Key]],ตารางรวม!$Z:$Z,0))*tblSales[[#This Row],[จำนวนแก้ว]],0))</f>
        <v/>
      </c>
      <c r="V138" s="10" t="str">
        <f>IF(tblSales[[#This Row],[Key]]="","",IFERROR(INDEX(ตารางรวม!$I:$I,MATCH(tblSales[[#This Row],[Key]],ตารางรวม!$Z:$Z,0))*tblSales[[#This Row],[จำนวนแก้ว]],0))</f>
        <v/>
      </c>
      <c r="W138" s="10" t="str">
        <f>IF(tblSales[[#This Row],[Key]]="","",IFERROR(INDEX(ตารางรวม!$J:$J,MATCH(tblSales[[#This Row],[Key]],ตารางรวม!$Z:$Z,0))*tblSales[[#This Row],[จำนวนแก้ว]],0))</f>
        <v/>
      </c>
      <c r="X138" s="10" t="str">
        <f>IF(tblSales[[#This Row],[Key]]="","",IFERROR(INDEX(ตารางรวม!$K:$K,MATCH(tblSales[[#This Row],[Key]],ตารางรวม!$Z:$Z,0))*tblSales[[#This Row],[จำนวนแก้ว]],0))</f>
        <v/>
      </c>
      <c r="Y138" s="10" t="str">
        <f>IF(tblSales[[#This Row],[Key]]="","",IFERROR(INDEX(ตารางรวม!$L:$L,MATCH(tblSales[[#This Row],[Key]],ตารางรวม!$Z:$Z,0))*tblSales[[#This Row],[จำนวนแก้ว]],0))</f>
        <v/>
      </c>
      <c r="Z13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8" s="10" t="str">
        <f>IF(tblSales[[#This Row],[Key]]="","",IF(tblSales[[#This Row],[ขนาด]]="16 oz",tblSales[[#This Row],[จำนวนแก้ว]],0))</f>
        <v/>
      </c>
      <c r="AI138" s="10" t="str">
        <f>IF(tblSales[[#This Row],[Key]]="","",IF(tblSales[[#This Row],[ขนาด]]="20 oz",tblSales[[#This Row],[จำนวนแก้ว]],0))</f>
        <v/>
      </c>
      <c r="AJ138" s="10" t="str">
        <f>IF(tblSales[[#This Row],[Key]]="","",IF(tblSales[[#This Row],[ขนาด]]="22 oz",tblSales[[#This Row],[จำนวนแก้ว]],0))</f>
        <v/>
      </c>
    </row>
    <row r="139" spans="1:36" x14ac:dyDescent="0.25">
      <c r="A139" s="4" t="str">
        <f>IF(tblSales[[#This Row],[วันที่]]="","","S"&amp;TEXT(tblSales[[#This Row],[วันที่]],"yymmdd")&amp;"-"&amp;TEXT(ROW()-5,"000"))</f>
        <v/>
      </c>
      <c r="B139" s="16"/>
      <c r="C139" s="6"/>
      <c r="D139" s="6"/>
      <c r="E139" s="20"/>
      <c r="F139" s="6"/>
      <c r="G139" s="6"/>
      <c r="H139" s="6"/>
      <c r="I139" s="6"/>
      <c r="J13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39" s="8" t="str">
        <f>IF(tblSales[[#This Row],[Key]]="","",IFERROR(INDEX(ตารางรวม!$W:$W,MATCH(tblSales[[#This Row],[Key]],ตารางรวม!$Z:$Z,0)),"ไม่พบสูตร"))</f>
        <v/>
      </c>
      <c r="L139" s="8" t="str">
        <f>IF(tblSales[[#This Row],[Key]]="","",IFERROR(INDEX(ตารางรวม!$V:$V,MATCH(tblSales[[#This Row],[Key]],ตารางรวม!$Z:$Z,0)),"ไม่พบสูตร"))</f>
        <v/>
      </c>
      <c r="M139" s="8" t="str">
        <f>IF(tblSales[[#This Row],[Key]]="","",IFERROR(tblSales[[#This Row],[ราคาต่อแก้ว]]*tblSales[[#This Row],[จำนวนแก้ว]],""))</f>
        <v/>
      </c>
      <c r="N139" s="8" t="str">
        <f>IF(tblSales[[#This Row],[Key]]="","",IFERROR(tblSales[[#This Row],[ต้นทุนต่อแก้ว]]*tblSales[[#This Row],[จำนวนแก้ว]],""))</f>
        <v/>
      </c>
      <c r="O139" s="8" t="str">
        <f>IF(tblSales[[#This Row],[Key]]="","",IFERROR(tblSales[[#This Row],[ยอดขาย (บาท)]]-tblSales[[#This Row],[ต้นทุนรวม (บาท)]],""))</f>
        <v/>
      </c>
      <c r="P139" s="21" t="str">
        <f>IF(tblSales[[#This Row],[Key]]="","",IFERROR(tblSales[[#This Row],[กำไร (บาท)]]/tblSales[[#This Row],[ยอดขาย (บาท)]],""))</f>
        <v/>
      </c>
      <c r="Q139" s="10" t="str">
        <f>IF(tblSales[[#This Row],[Key]]="","",IFERROR(INDEX(ตารางรวม!$D:$D,MATCH(tblSales[[#This Row],[Key]],ตารางรวม!$Z:$Z,0))*tblSales[[#This Row],[จำนวนแก้ว]],0))</f>
        <v/>
      </c>
      <c r="R139" s="10" t="str">
        <f>IF(tblSales[[#This Row],[Key]]="","",IFERROR(INDEX(ตารางรวม!$E:$E,MATCH(tblSales[[#This Row],[Key]],ตารางรวม!$Z:$Z,0))*tblSales[[#This Row],[จำนวนแก้ว]],0))</f>
        <v/>
      </c>
      <c r="S139" s="10" t="str">
        <f>IF(tblSales[[#This Row],[Key]]="","",IFERROR(INDEX(ตารางรวม!$F:$F,MATCH(tblSales[[#This Row],[Key]],ตารางรวม!$Z:$Z,0))*tblSales[[#This Row],[จำนวนแก้ว]],0))</f>
        <v/>
      </c>
      <c r="T139" s="10" t="str">
        <f>IF(tblSales[[#This Row],[Key]]="","",IFERROR(INDEX(ตารางรวม!$G:$G,MATCH(tblSales[[#This Row],[Key]],ตารางรวม!$Z:$Z,0))*tblSales[[#This Row],[จำนวนแก้ว]],0))</f>
        <v/>
      </c>
      <c r="U139" s="10" t="str">
        <f>IF(tblSales[[#This Row],[Key]]="","",IFERROR(INDEX(ตารางรวม!$H:$H,MATCH(tblSales[[#This Row],[Key]],ตารางรวม!$Z:$Z,0))*tblSales[[#This Row],[จำนวนแก้ว]],0))</f>
        <v/>
      </c>
      <c r="V139" s="10" t="str">
        <f>IF(tblSales[[#This Row],[Key]]="","",IFERROR(INDEX(ตารางรวม!$I:$I,MATCH(tblSales[[#This Row],[Key]],ตารางรวม!$Z:$Z,0))*tblSales[[#This Row],[จำนวนแก้ว]],0))</f>
        <v/>
      </c>
      <c r="W139" s="10" t="str">
        <f>IF(tblSales[[#This Row],[Key]]="","",IFERROR(INDEX(ตารางรวม!$J:$J,MATCH(tblSales[[#This Row],[Key]],ตารางรวม!$Z:$Z,0))*tblSales[[#This Row],[จำนวนแก้ว]],0))</f>
        <v/>
      </c>
      <c r="X139" s="10" t="str">
        <f>IF(tblSales[[#This Row],[Key]]="","",IFERROR(INDEX(ตารางรวม!$K:$K,MATCH(tblSales[[#This Row],[Key]],ตารางรวม!$Z:$Z,0))*tblSales[[#This Row],[จำนวนแก้ว]],0))</f>
        <v/>
      </c>
      <c r="Y139" s="10" t="str">
        <f>IF(tblSales[[#This Row],[Key]]="","",IFERROR(INDEX(ตารางรวม!$L:$L,MATCH(tblSales[[#This Row],[Key]],ตารางรวม!$Z:$Z,0))*tblSales[[#This Row],[จำนวนแก้ว]],0))</f>
        <v/>
      </c>
      <c r="Z13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3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3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3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3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3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3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3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39" s="10" t="str">
        <f>IF(tblSales[[#This Row],[Key]]="","",IF(tblSales[[#This Row],[ขนาด]]="16 oz",tblSales[[#This Row],[จำนวนแก้ว]],0))</f>
        <v/>
      </c>
      <c r="AI139" s="10" t="str">
        <f>IF(tblSales[[#This Row],[Key]]="","",IF(tblSales[[#This Row],[ขนาด]]="20 oz",tblSales[[#This Row],[จำนวนแก้ว]],0))</f>
        <v/>
      </c>
      <c r="AJ139" s="10" t="str">
        <f>IF(tblSales[[#This Row],[Key]]="","",IF(tblSales[[#This Row],[ขนาด]]="22 oz",tblSales[[#This Row],[จำนวนแก้ว]],0))</f>
        <v/>
      </c>
    </row>
    <row r="140" spans="1:36" x14ac:dyDescent="0.25">
      <c r="A140" s="4" t="str">
        <f>IF(tblSales[[#This Row],[วันที่]]="","","S"&amp;TEXT(tblSales[[#This Row],[วันที่]],"yymmdd")&amp;"-"&amp;TEXT(ROW()-5,"000"))</f>
        <v/>
      </c>
      <c r="B140" s="16"/>
      <c r="C140" s="6"/>
      <c r="D140" s="6"/>
      <c r="E140" s="20"/>
      <c r="F140" s="6"/>
      <c r="G140" s="6"/>
      <c r="H140" s="6"/>
      <c r="I140" s="6"/>
      <c r="J14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0" s="8" t="str">
        <f>IF(tblSales[[#This Row],[Key]]="","",IFERROR(INDEX(ตารางรวม!$W:$W,MATCH(tblSales[[#This Row],[Key]],ตารางรวม!$Z:$Z,0)),"ไม่พบสูตร"))</f>
        <v/>
      </c>
      <c r="L140" s="8" t="str">
        <f>IF(tblSales[[#This Row],[Key]]="","",IFERROR(INDEX(ตารางรวม!$V:$V,MATCH(tblSales[[#This Row],[Key]],ตารางรวม!$Z:$Z,0)),"ไม่พบสูตร"))</f>
        <v/>
      </c>
      <c r="M140" s="8" t="str">
        <f>IF(tblSales[[#This Row],[Key]]="","",IFERROR(tblSales[[#This Row],[ราคาต่อแก้ว]]*tblSales[[#This Row],[จำนวนแก้ว]],""))</f>
        <v/>
      </c>
      <c r="N140" s="8" t="str">
        <f>IF(tblSales[[#This Row],[Key]]="","",IFERROR(tblSales[[#This Row],[ต้นทุนต่อแก้ว]]*tblSales[[#This Row],[จำนวนแก้ว]],""))</f>
        <v/>
      </c>
      <c r="O140" s="8" t="str">
        <f>IF(tblSales[[#This Row],[Key]]="","",IFERROR(tblSales[[#This Row],[ยอดขาย (บาท)]]-tblSales[[#This Row],[ต้นทุนรวม (บาท)]],""))</f>
        <v/>
      </c>
      <c r="P140" s="21" t="str">
        <f>IF(tblSales[[#This Row],[Key]]="","",IFERROR(tblSales[[#This Row],[กำไร (บาท)]]/tblSales[[#This Row],[ยอดขาย (บาท)]],""))</f>
        <v/>
      </c>
      <c r="Q140" s="10" t="str">
        <f>IF(tblSales[[#This Row],[Key]]="","",IFERROR(INDEX(ตารางรวม!$D:$D,MATCH(tblSales[[#This Row],[Key]],ตารางรวม!$Z:$Z,0))*tblSales[[#This Row],[จำนวนแก้ว]],0))</f>
        <v/>
      </c>
      <c r="R140" s="10" t="str">
        <f>IF(tblSales[[#This Row],[Key]]="","",IFERROR(INDEX(ตารางรวม!$E:$E,MATCH(tblSales[[#This Row],[Key]],ตารางรวม!$Z:$Z,0))*tblSales[[#This Row],[จำนวนแก้ว]],0))</f>
        <v/>
      </c>
      <c r="S140" s="10" t="str">
        <f>IF(tblSales[[#This Row],[Key]]="","",IFERROR(INDEX(ตารางรวม!$F:$F,MATCH(tblSales[[#This Row],[Key]],ตารางรวม!$Z:$Z,0))*tblSales[[#This Row],[จำนวนแก้ว]],0))</f>
        <v/>
      </c>
      <c r="T140" s="10" t="str">
        <f>IF(tblSales[[#This Row],[Key]]="","",IFERROR(INDEX(ตารางรวม!$G:$G,MATCH(tblSales[[#This Row],[Key]],ตารางรวม!$Z:$Z,0))*tblSales[[#This Row],[จำนวนแก้ว]],0))</f>
        <v/>
      </c>
      <c r="U140" s="10" t="str">
        <f>IF(tblSales[[#This Row],[Key]]="","",IFERROR(INDEX(ตารางรวม!$H:$H,MATCH(tblSales[[#This Row],[Key]],ตารางรวม!$Z:$Z,0))*tblSales[[#This Row],[จำนวนแก้ว]],0))</f>
        <v/>
      </c>
      <c r="V140" s="10" t="str">
        <f>IF(tblSales[[#This Row],[Key]]="","",IFERROR(INDEX(ตารางรวม!$I:$I,MATCH(tblSales[[#This Row],[Key]],ตารางรวม!$Z:$Z,0))*tblSales[[#This Row],[จำนวนแก้ว]],0))</f>
        <v/>
      </c>
      <c r="W140" s="10" t="str">
        <f>IF(tblSales[[#This Row],[Key]]="","",IFERROR(INDEX(ตารางรวม!$J:$J,MATCH(tblSales[[#This Row],[Key]],ตารางรวม!$Z:$Z,0))*tblSales[[#This Row],[จำนวนแก้ว]],0))</f>
        <v/>
      </c>
      <c r="X140" s="10" t="str">
        <f>IF(tblSales[[#This Row],[Key]]="","",IFERROR(INDEX(ตารางรวม!$K:$K,MATCH(tblSales[[#This Row],[Key]],ตารางรวม!$Z:$Z,0))*tblSales[[#This Row],[จำนวนแก้ว]],0))</f>
        <v/>
      </c>
      <c r="Y140" s="10" t="str">
        <f>IF(tblSales[[#This Row],[Key]]="","",IFERROR(INDEX(ตารางรวม!$L:$L,MATCH(tblSales[[#This Row],[Key]],ตารางรวม!$Z:$Z,0))*tblSales[[#This Row],[จำนวนแก้ว]],0))</f>
        <v/>
      </c>
      <c r="Z14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0" s="10" t="str">
        <f>IF(tblSales[[#This Row],[Key]]="","",IF(tblSales[[#This Row],[ขนาด]]="16 oz",tblSales[[#This Row],[จำนวนแก้ว]],0))</f>
        <v/>
      </c>
      <c r="AI140" s="10" t="str">
        <f>IF(tblSales[[#This Row],[Key]]="","",IF(tblSales[[#This Row],[ขนาด]]="20 oz",tblSales[[#This Row],[จำนวนแก้ว]],0))</f>
        <v/>
      </c>
      <c r="AJ140" s="10" t="str">
        <f>IF(tblSales[[#This Row],[Key]]="","",IF(tblSales[[#This Row],[ขนาด]]="22 oz",tblSales[[#This Row],[จำนวนแก้ว]],0))</f>
        <v/>
      </c>
    </row>
    <row r="141" spans="1:36" x14ac:dyDescent="0.25">
      <c r="A141" s="4" t="str">
        <f>IF(tblSales[[#This Row],[วันที่]]="","","S"&amp;TEXT(tblSales[[#This Row],[วันที่]],"yymmdd")&amp;"-"&amp;TEXT(ROW()-5,"000"))</f>
        <v/>
      </c>
      <c r="B141" s="16"/>
      <c r="C141" s="6"/>
      <c r="D141" s="6"/>
      <c r="E141" s="20"/>
      <c r="F141" s="6"/>
      <c r="G141" s="6"/>
      <c r="H141" s="6"/>
      <c r="I141" s="6"/>
      <c r="J14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1" s="8" t="str">
        <f>IF(tblSales[[#This Row],[Key]]="","",IFERROR(INDEX(ตารางรวม!$W:$W,MATCH(tblSales[[#This Row],[Key]],ตารางรวม!$Z:$Z,0)),"ไม่พบสูตร"))</f>
        <v/>
      </c>
      <c r="L141" s="8" t="str">
        <f>IF(tblSales[[#This Row],[Key]]="","",IFERROR(INDEX(ตารางรวม!$V:$V,MATCH(tblSales[[#This Row],[Key]],ตารางรวม!$Z:$Z,0)),"ไม่พบสูตร"))</f>
        <v/>
      </c>
      <c r="M141" s="8" t="str">
        <f>IF(tblSales[[#This Row],[Key]]="","",IFERROR(tblSales[[#This Row],[ราคาต่อแก้ว]]*tblSales[[#This Row],[จำนวนแก้ว]],""))</f>
        <v/>
      </c>
      <c r="N141" s="8" t="str">
        <f>IF(tblSales[[#This Row],[Key]]="","",IFERROR(tblSales[[#This Row],[ต้นทุนต่อแก้ว]]*tblSales[[#This Row],[จำนวนแก้ว]],""))</f>
        <v/>
      </c>
      <c r="O141" s="8" t="str">
        <f>IF(tblSales[[#This Row],[Key]]="","",IFERROR(tblSales[[#This Row],[ยอดขาย (บาท)]]-tblSales[[#This Row],[ต้นทุนรวม (บาท)]],""))</f>
        <v/>
      </c>
      <c r="P141" s="21" t="str">
        <f>IF(tblSales[[#This Row],[Key]]="","",IFERROR(tblSales[[#This Row],[กำไร (บาท)]]/tblSales[[#This Row],[ยอดขาย (บาท)]],""))</f>
        <v/>
      </c>
      <c r="Q141" s="10" t="str">
        <f>IF(tblSales[[#This Row],[Key]]="","",IFERROR(INDEX(ตารางรวม!$D:$D,MATCH(tblSales[[#This Row],[Key]],ตารางรวม!$Z:$Z,0))*tblSales[[#This Row],[จำนวนแก้ว]],0))</f>
        <v/>
      </c>
      <c r="R141" s="10" t="str">
        <f>IF(tblSales[[#This Row],[Key]]="","",IFERROR(INDEX(ตารางรวม!$E:$E,MATCH(tblSales[[#This Row],[Key]],ตารางรวม!$Z:$Z,0))*tblSales[[#This Row],[จำนวนแก้ว]],0))</f>
        <v/>
      </c>
      <c r="S141" s="10" t="str">
        <f>IF(tblSales[[#This Row],[Key]]="","",IFERROR(INDEX(ตารางรวม!$F:$F,MATCH(tblSales[[#This Row],[Key]],ตารางรวม!$Z:$Z,0))*tblSales[[#This Row],[จำนวนแก้ว]],0))</f>
        <v/>
      </c>
      <c r="T141" s="10" t="str">
        <f>IF(tblSales[[#This Row],[Key]]="","",IFERROR(INDEX(ตารางรวม!$G:$G,MATCH(tblSales[[#This Row],[Key]],ตารางรวม!$Z:$Z,0))*tblSales[[#This Row],[จำนวนแก้ว]],0))</f>
        <v/>
      </c>
      <c r="U141" s="10" t="str">
        <f>IF(tblSales[[#This Row],[Key]]="","",IFERROR(INDEX(ตารางรวม!$H:$H,MATCH(tblSales[[#This Row],[Key]],ตารางรวม!$Z:$Z,0))*tblSales[[#This Row],[จำนวนแก้ว]],0))</f>
        <v/>
      </c>
      <c r="V141" s="10" t="str">
        <f>IF(tblSales[[#This Row],[Key]]="","",IFERROR(INDEX(ตารางรวม!$I:$I,MATCH(tblSales[[#This Row],[Key]],ตารางรวม!$Z:$Z,0))*tblSales[[#This Row],[จำนวนแก้ว]],0))</f>
        <v/>
      </c>
      <c r="W141" s="10" t="str">
        <f>IF(tblSales[[#This Row],[Key]]="","",IFERROR(INDEX(ตารางรวม!$J:$J,MATCH(tblSales[[#This Row],[Key]],ตารางรวม!$Z:$Z,0))*tblSales[[#This Row],[จำนวนแก้ว]],0))</f>
        <v/>
      </c>
      <c r="X141" s="10" t="str">
        <f>IF(tblSales[[#This Row],[Key]]="","",IFERROR(INDEX(ตารางรวม!$K:$K,MATCH(tblSales[[#This Row],[Key]],ตารางรวม!$Z:$Z,0))*tblSales[[#This Row],[จำนวนแก้ว]],0))</f>
        <v/>
      </c>
      <c r="Y141" s="10" t="str">
        <f>IF(tblSales[[#This Row],[Key]]="","",IFERROR(INDEX(ตารางรวม!$L:$L,MATCH(tblSales[[#This Row],[Key]],ตารางรวม!$Z:$Z,0))*tblSales[[#This Row],[จำนวนแก้ว]],0))</f>
        <v/>
      </c>
      <c r="Z14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1" s="10" t="str">
        <f>IF(tblSales[[#This Row],[Key]]="","",IF(tblSales[[#This Row],[ขนาด]]="16 oz",tblSales[[#This Row],[จำนวนแก้ว]],0))</f>
        <v/>
      </c>
      <c r="AI141" s="10" t="str">
        <f>IF(tblSales[[#This Row],[Key]]="","",IF(tblSales[[#This Row],[ขนาด]]="20 oz",tblSales[[#This Row],[จำนวนแก้ว]],0))</f>
        <v/>
      </c>
      <c r="AJ141" s="10" t="str">
        <f>IF(tblSales[[#This Row],[Key]]="","",IF(tblSales[[#This Row],[ขนาด]]="22 oz",tblSales[[#This Row],[จำนวนแก้ว]],0))</f>
        <v/>
      </c>
    </row>
    <row r="142" spans="1:36" x14ac:dyDescent="0.25">
      <c r="A142" s="4" t="str">
        <f>IF(tblSales[[#This Row],[วันที่]]="","","S"&amp;TEXT(tblSales[[#This Row],[วันที่]],"yymmdd")&amp;"-"&amp;TEXT(ROW()-5,"000"))</f>
        <v/>
      </c>
      <c r="B142" s="16"/>
      <c r="C142" s="6"/>
      <c r="D142" s="6"/>
      <c r="E142" s="20"/>
      <c r="F142" s="6"/>
      <c r="G142" s="6"/>
      <c r="H142" s="6"/>
      <c r="I142" s="6"/>
      <c r="J14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2" s="8" t="str">
        <f>IF(tblSales[[#This Row],[Key]]="","",IFERROR(INDEX(ตารางรวม!$W:$W,MATCH(tblSales[[#This Row],[Key]],ตารางรวม!$Z:$Z,0)),"ไม่พบสูตร"))</f>
        <v/>
      </c>
      <c r="L142" s="8" t="str">
        <f>IF(tblSales[[#This Row],[Key]]="","",IFERROR(INDEX(ตารางรวม!$V:$V,MATCH(tblSales[[#This Row],[Key]],ตารางรวม!$Z:$Z,0)),"ไม่พบสูตร"))</f>
        <v/>
      </c>
      <c r="M142" s="8" t="str">
        <f>IF(tblSales[[#This Row],[Key]]="","",IFERROR(tblSales[[#This Row],[ราคาต่อแก้ว]]*tblSales[[#This Row],[จำนวนแก้ว]],""))</f>
        <v/>
      </c>
      <c r="N142" s="8" t="str">
        <f>IF(tblSales[[#This Row],[Key]]="","",IFERROR(tblSales[[#This Row],[ต้นทุนต่อแก้ว]]*tblSales[[#This Row],[จำนวนแก้ว]],""))</f>
        <v/>
      </c>
      <c r="O142" s="8" t="str">
        <f>IF(tblSales[[#This Row],[Key]]="","",IFERROR(tblSales[[#This Row],[ยอดขาย (บาท)]]-tblSales[[#This Row],[ต้นทุนรวม (บาท)]],""))</f>
        <v/>
      </c>
      <c r="P142" s="21" t="str">
        <f>IF(tblSales[[#This Row],[Key]]="","",IFERROR(tblSales[[#This Row],[กำไร (บาท)]]/tblSales[[#This Row],[ยอดขาย (บาท)]],""))</f>
        <v/>
      </c>
      <c r="Q142" s="10" t="str">
        <f>IF(tblSales[[#This Row],[Key]]="","",IFERROR(INDEX(ตารางรวม!$D:$D,MATCH(tblSales[[#This Row],[Key]],ตารางรวม!$Z:$Z,0))*tblSales[[#This Row],[จำนวนแก้ว]],0))</f>
        <v/>
      </c>
      <c r="R142" s="10" t="str">
        <f>IF(tblSales[[#This Row],[Key]]="","",IFERROR(INDEX(ตารางรวม!$E:$E,MATCH(tblSales[[#This Row],[Key]],ตารางรวม!$Z:$Z,0))*tblSales[[#This Row],[จำนวนแก้ว]],0))</f>
        <v/>
      </c>
      <c r="S142" s="10" t="str">
        <f>IF(tblSales[[#This Row],[Key]]="","",IFERROR(INDEX(ตารางรวม!$F:$F,MATCH(tblSales[[#This Row],[Key]],ตารางรวม!$Z:$Z,0))*tblSales[[#This Row],[จำนวนแก้ว]],0))</f>
        <v/>
      </c>
      <c r="T142" s="10" t="str">
        <f>IF(tblSales[[#This Row],[Key]]="","",IFERROR(INDEX(ตารางรวม!$G:$G,MATCH(tblSales[[#This Row],[Key]],ตารางรวม!$Z:$Z,0))*tblSales[[#This Row],[จำนวนแก้ว]],0))</f>
        <v/>
      </c>
      <c r="U142" s="10" t="str">
        <f>IF(tblSales[[#This Row],[Key]]="","",IFERROR(INDEX(ตารางรวม!$H:$H,MATCH(tblSales[[#This Row],[Key]],ตารางรวม!$Z:$Z,0))*tblSales[[#This Row],[จำนวนแก้ว]],0))</f>
        <v/>
      </c>
      <c r="V142" s="10" t="str">
        <f>IF(tblSales[[#This Row],[Key]]="","",IFERROR(INDEX(ตารางรวม!$I:$I,MATCH(tblSales[[#This Row],[Key]],ตารางรวม!$Z:$Z,0))*tblSales[[#This Row],[จำนวนแก้ว]],0))</f>
        <v/>
      </c>
      <c r="W142" s="10" t="str">
        <f>IF(tblSales[[#This Row],[Key]]="","",IFERROR(INDEX(ตารางรวม!$J:$J,MATCH(tblSales[[#This Row],[Key]],ตารางรวม!$Z:$Z,0))*tblSales[[#This Row],[จำนวนแก้ว]],0))</f>
        <v/>
      </c>
      <c r="X142" s="10" t="str">
        <f>IF(tblSales[[#This Row],[Key]]="","",IFERROR(INDEX(ตารางรวม!$K:$K,MATCH(tblSales[[#This Row],[Key]],ตารางรวม!$Z:$Z,0))*tblSales[[#This Row],[จำนวนแก้ว]],0))</f>
        <v/>
      </c>
      <c r="Y142" s="10" t="str">
        <f>IF(tblSales[[#This Row],[Key]]="","",IFERROR(INDEX(ตารางรวม!$L:$L,MATCH(tblSales[[#This Row],[Key]],ตารางรวม!$Z:$Z,0))*tblSales[[#This Row],[จำนวนแก้ว]],0))</f>
        <v/>
      </c>
      <c r="Z14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2" s="10" t="str">
        <f>IF(tblSales[[#This Row],[Key]]="","",IF(tblSales[[#This Row],[ขนาด]]="16 oz",tblSales[[#This Row],[จำนวนแก้ว]],0))</f>
        <v/>
      </c>
      <c r="AI142" s="10" t="str">
        <f>IF(tblSales[[#This Row],[Key]]="","",IF(tblSales[[#This Row],[ขนาด]]="20 oz",tblSales[[#This Row],[จำนวนแก้ว]],0))</f>
        <v/>
      </c>
      <c r="AJ142" s="10" t="str">
        <f>IF(tblSales[[#This Row],[Key]]="","",IF(tblSales[[#This Row],[ขนาด]]="22 oz",tblSales[[#This Row],[จำนวนแก้ว]],0))</f>
        <v/>
      </c>
    </row>
    <row r="143" spans="1:36" x14ac:dyDescent="0.25">
      <c r="A143" s="4" t="str">
        <f>IF(tblSales[[#This Row],[วันที่]]="","","S"&amp;TEXT(tblSales[[#This Row],[วันที่]],"yymmdd")&amp;"-"&amp;TEXT(ROW()-5,"000"))</f>
        <v/>
      </c>
      <c r="B143" s="16"/>
      <c r="C143" s="6"/>
      <c r="D143" s="6"/>
      <c r="E143" s="20"/>
      <c r="F143" s="6"/>
      <c r="G143" s="6"/>
      <c r="H143" s="6"/>
      <c r="I143" s="6"/>
      <c r="J14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3" s="8" t="str">
        <f>IF(tblSales[[#This Row],[Key]]="","",IFERROR(INDEX(ตารางรวม!$W:$W,MATCH(tblSales[[#This Row],[Key]],ตารางรวม!$Z:$Z,0)),"ไม่พบสูตร"))</f>
        <v/>
      </c>
      <c r="L143" s="8" t="str">
        <f>IF(tblSales[[#This Row],[Key]]="","",IFERROR(INDEX(ตารางรวม!$V:$V,MATCH(tblSales[[#This Row],[Key]],ตารางรวม!$Z:$Z,0)),"ไม่พบสูตร"))</f>
        <v/>
      </c>
      <c r="M143" s="8" t="str">
        <f>IF(tblSales[[#This Row],[Key]]="","",IFERROR(tblSales[[#This Row],[ราคาต่อแก้ว]]*tblSales[[#This Row],[จำนวนแก้ว]],""))</f>
        <v/>
      </c>
      <c r="N143" s="8" t="str">
        <f>IF(tblSales[[#This Row],[Key]]="","",IFERROR(tblSales[[#This Row],[ต้นทุนต่อแก้ว]]*tblSales[[#This Row],[จำนวนแก้ว]],""))</f>
        <v/>
      </c>
      <c r="O143" s="8" t="str">
        <f>IF(tblSales[[#This Row],[Key]]="","",IFERROR(tblSales[[#This Row],[ยอดขาย (บาท)]]-tblSales[[#This Row],[ต้นทุนรวม (บาท)]],""))</f>
        <v/>
      </c>
      <c r="P143" s="21" t="str">
        <f>IF(tblSales[[#This Row],[Key]]="","",IFERROR(tblSales[[#This Row],[กำไร (บาท)]]/tblSales[[#This Row],[ยอดขาย (บาท)]],""))</f>
        <v/>
      </c>
      <c r="Q143" s="10" t="str">
        <f>IF(tblSales[[#This Row],[Key]]="","",IFERROR(INDEX(ตารางรวม!$D:$D,MATCH(tblSales[[#This Row],[Key]],ตารางรวม!$Z:$Z,0))*tblSales[[#This Row],[จำนวนแก้ว]],0))</f>
        <v/>
      </c>
      <c r="R143" s="10" t="str">
        <f>IF(tblSales[[#This Row],[Key]]="","",IFERROR(INDEX(ตารางรวม!$E:$E,MATCH(tblSales[[#This Row],[Key]],ตารางรวม!$Z:$Z,0))*tblSales[[#This Row],[จำนวนแก้ว]],0))</f>
        <v/>
      </c>
      <c r="S143" s="10" t="str">
        <f>IF(tblSales[[#This Row],[Key]]="","",IFERROR(INDEX(ตารางรวม!$F:$F,MATCH(tblSales[[#This Row],[Key]],ตารางรวม!$Z:$Z,0))*tblSales[[#This Row],[จำนวนแก้ว]],0))</f>
        <v/>
      </c>
      <c r="T143" s="10" t="str">
        <f>IF(tblSales[[#This Row],[Key]]="","",IFERROR(INDEX(ตารางรวม!$G:$G,MATCH(tblSales[[#This Row],[Key]],ตารางรวม!$Z:$Z,0))*tblSales[[#This Row],[จำนวนแก้ว]],0))</f>
        <v/>
      </c>
      <c r="U143" s="10" t="str">
        <f>IF(tblSales[[#This Row],[Key]]="","",IFERROR(INDEX(ตารางรวม!$H:$H,MATCH(tblSales[[#This Row],[Key]],ตารางรวม!$Z:$Z,0))*tblSales[[#This Row],[จำนวนแก้ว]],0))</f>
        <v/>
      </c>
      <c r="V143" s="10" t="str">
        <f>IF(tblSales[[#This Row],[Key]]="","",IFERROR(INDEX(ตารางรวม!$I:$I,MATCH(tblSales[[#This Row],[Key]],ตารางรวม!$Z:$Z,0))*tblSales[[#This Row],[จำนวนแก้ว]],0))</f>
        <v/>
      </c>
      <c r="W143" s="10" t="str">
        <f>IF(tblSales[[#This Row],[Key]]="","",IFERROR(INDEX(ตารางรวม!$J:$J,MATCH(tblSales[[#This Row],[Key]],ตารางรวม!$Z:$Z,0))*tblSales[[#This Row],[จำนวนแก้ว]],0))</f>
        <v/>
      </c>
      <c r="X143" s="10" t="str">
        <f>IF(tblSales[[#This Row],[Key]]="","",IFERROR(INDEX(ตารางรวม!$K:$K,MATCH(tblSales[[#This Row],[Key]],ตารางรวม!$Z:$Z,0))*tblSales[[#This Row],[จำนวนแก้ว]],0))</f>
        <v/>
      </c>
      <c r="Y143" s="10" t="str">
        <f>IF(tblSales[[#This Row],[Key]]="","",IFERROR(INDEX(ตารางรวม!$L:$L,MATCH(tblSales[[#This Row],[Key]],ตารางรวม!$Z:$Z,0))*tblSales[[#This Row],[จำนวนแก้ว]],0))</f>
        <v/>
      </c>
      <c r="Z14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3" s="10" t="str">
        <f>IF(tblSales[[#This Row],[Key]]="","",IF(tblSales[[#This Row],[ขนาด]]="16 oz",tblSales[[#This Row],[จำนวนแก้ว]],0))</f>
        <v/>
      </c>
      <c r="AI143" s="10" t="str">
        <f>IF(tblSales[[#This Row],[Key]]="","",IF(tblSales[[#This Row],[ขนาด]]="20 oz",tblSales[[#This Row],[จำนวนแก้ว]],0))</f>
        <v/>
      </c>
      <c r="AJ143" s="10" t="str">
        <f>IF(tblSales[[#This Row],[Key]]="","",IF(tblSales[[#This Row],[ขนาด]]="22 oz",tblSales[[#This Row],[จำนวนแก้ว]],0))</f>
        <v/>
      </c>
    </row>
    <row r="144" spans="1:36" x14ac:dyDescent="0.25">
      <c r="A144" s="4" t="str">
        <f>IF(tblSales[[#This Row],[วันที่]]="","","S"&amp;TEXT(tblSales[[#This Row],[วันที่]],"yymmdd")&amp;"-"&amp;TEXT(ROW()-5,"000"))</f>
        <v/>
      </c>
      <c r="B144" s="16"/>
      <c r="C144" s="6"/>
      <c r="D144" s="6"/>
      <c r="E144" s="20"/>
      <c r="F144" s="6"/>
      <c r="G144" s="6"/>
      <c r="H144" s="6"/>
      <c r="I144" s="6"/>
      <c r="J14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4" s="8" t="str">
        <f>IF(tblSales[[#This Row],[Key]]="","",IFERROR(INDEX(ตารางรวม!$W:$W,MATCH(tblSales[[#This Row],[Key]],ตารางรวม!$Z:$Z,0)),"ไม่พบสูตร"))</f>
        <v/>
      </c>
      <c r="L144" s="8" t="str">
        <f>IF(tblSales[[#This Row],[Key]]="","",IFERROR(INDEX(ตารางรวม!$V:$V,MATCH(tblSales[[#This Row],[Key]],ตารางรวม!$Z:$Z,0)),"ไม่พบสูตร"))</f>
        <v/>
      </c>
      <c r="M144" s="8" t="str">
        <f>IF(tblSales[[#This Row],[Key]]="","",IFERROR(tblSales[[#This Row],[ราคาต่อแก้ว]]*tblSales[[#This Row],[จำนวนแก้ว]],""))</f>
        <v/>
      </c>
      <c r="N144" s="8" t="str">
        <f>IF(tblSales[[#This Row],[Key]]="","",IFERROR(tblSales[[#This Row],[ต้นทุนต่อแก้ว]]*tblSales[[#This Row],[จำนวนแก้ว]],""))</f>
        <v/>
      </c>
      <c r="O144" s="8" t="str">
        <f>IF(tblSales[[#This Row],[Key]]="","",IFERROR(tblSales[[#This Row],[ยอดขาย (บาท)]]-tblSales[[#This Row],[ต้นทุนรวม (บาท)]],""))</f>
        <v/>
      </c>
      <c r="P144" s="21" t="str">
        <f>IF(tblSales[[#This Row],[Key]]="","",IFERROR(tblSales[[#This Row],[กำไร (บาท)]]/tblSales[[#This Row],[ยอดขาย (บาท)]],""))</f>
        <v/>
      </c>
      <c r="Q144" s="10" t="str">
        <f>IF(tblSales[[#This Row],[Key]]="","",IFERROR(INDEX(ตารางรวม!$D:$D,MATCH(tblSales[[#This Row],[Key]],ตารางรวม!$Z:$Z,0))*tblSales[[#This Row],[จำนวนแก้ว]],0))</f>
        <v/>
      </c>
      <c r="R144" s="10" t="str">
        <f>IF(tblSales[[#This Row],[Key]]="","",IFERROR(INDEX(ตารางรวม!$E:$E,MATCH(tblSales[[#This Row],[Key]],ตารางรวม!$Z:$Z,0))*tblSales[[#This Row],[จำนวนแก้ว]],0))</f>
        <v/>
      </c>
      <c r="S144" s="10" t="str">
        <f>IF(tblSales[[#This Row],[Key]]="","",IFERROR(INDEX(ตารางรวม!$F:$F,MATCH(tblSales[[#This Row],[Key]],ตารางรวม!$Z:$Z,0))*tblSales[[#This Row],[จำนวนแก้ว]],0))</f>
        <v/>
      </c>
      <c r="T144" s="10" t="str">
        <f>IF(tblSales[[#This Row],[Key]]="","",IFERROR(INDEX(ตารางรวม!$G:$G,MATCH(tblSales[[#This Row],[Key]],ตารางรวม!$Z:$Z,0))*tblSales[[#This Row],[จำนวนแก้ว]],0))</f>
        <v/>
      </c>
      <c r="U144" s="10" t="str">
        <f>IF(tblSales[[#This Row],[Key]]="","",IFERROR(INDEX(ตารางรวม!$H:$H,MATCH(tblSales[[#This Row],[Key]],ตารางรวม!$Z:$Z,0))*tblSales[[#This Row],[จำนวนแก้ว]],0))</f>
        <v/>
      </c>
      <c r="V144" s="10" t="str">
        <f>IF(tblSales[[#This Row],[Key]]="","",IFERROR(INDEX(ตารางรวม!$I:$I,MATCH(tblSales[[#This Row],[Key]],ตารางรวม!$Z:$Z,0))*tblSales[[#This Row],[จำนวนแก้ว]],0))</f>
        <v/>
      </c>
      <c r="W144" s="10" t="str">
        <f>IF(tblSales[[#This Row],[Key]]="","",IFERROR(INDEX(ตารางรวม!$J:$J,MATCH(tblSales[[#This Row],[Key]],ตารางรวม!$Z:$Z,0))*tblSales[[#This Row],[จำนวนแก้ว]],0))</f>
        <v/>
      </c>
      <c r="X144" s="10" t="str">
        <f>IF(tblSales[[#This Row],[Key]]="","",IFERROR(INDEX(ตารางรวม!$K:$K,MATCH(tblSales[[#This Row],[Key]],ตารางรวม!$Z:$Z,0))*tblSales[[#This Row],[จำนวนแก้ว]],0))</f>
        <v/>
      </c>
      <c r="Y144" s="10" t="str">
        <f>IF(tblSales[[#This Row],[Key]]="","",IFERROR(INDEX(ตารางรวม!$L:$L,MATCH(tblSales[[#This Row],[Key]],ตารางรวม!$Z:$Z,0))*tblSales[[#This Row],[จำนวนแก้ว]],0))</f>
        <v/>
      </c>
      <c r="Z14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4" s="10" t="str">
        <f>IF(tblSales[[#This Row],[Key]]="","",IF(tblSales[[#This Row],[ขนาด]]="16 oz",tblSales[[#This Row],[จำนวนแก้ว]],0))</f>
        <v/>
      </c>
      <c r="AI144" s="10" t="str">
        <f>IF(tblSales[[#This Row],[Key]]="","",IF(tblSales[[#This Row],[ขนาด]]="20 oz",tblSales[[#This Row],[จำนวนแก้ว]],0))</f>
        <v/>
      </c>
      <c r="AJ144" s="10" t="str">
        <f>IF(tblSales[[#This Row],[Key]]="","",IF(tblSales[[#This Row],[ขนาด]]="22 oz",tblSales[[#This Row],[จำนวนแก้ว]],0))</f>
        <v/>
      </c>
    </row>
    <row r="145" spans="1:36" x14ac:dyDescent="0.25">
      <c r="A145" s="4" t="str">
        <f>IF(tblSales[[#This Row],[วันที่]]="","","S"&amp;TEXT(tblSales[[#This Row],[วันที่]],"yymmdd")&amp;"-"&amp;TEXT(ROW()-5,"000"))</f>
        <v/>
      </c>
      <c r="B145" s="16"/>
      <c r="C145" s="6"/>
      <c r="D145" s="6"/>
      <c r="E145" s="20"/>
      <c r="F145" s="6"/>
      <c r="G145" s="6"/>
      <c r="H145" s="6"/>
      <c r="I145" s="6"/>
      <c r="J14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5" s="8" t="str">
        <f>IF(tblSales[[#This Row],[Key]]="","",IFERROR(INDEX(ตารางรวม!$W:$W,MATCH(tblSales[[#This Row],[Key]],ตารางรวม!$Z:$Z,0)),"ไม่พบสูตร"))</f>
        <v/>
      </c>
      <c r="L145" s="8" t="str">
        <f>IF(tblSales[[#This Row],[Key]]="","",IFERROR(INDEX(ตารางรวม!$V:$V,MATCH(tblSales[[#This Row],[Key]],ตารางรวม!$Z:$Z,0)),"ไม่พบสูตร"))</f>
        <v/>
      </c>
      <c r="M145" s="8" t="str">
        <f>IF(tblSales[[#This Row],[Key]]="","",IFERROR(tblSales[[#This Row],[ราคาต่อแก้ว]]*tblSales[[#This Row],[จำนวนแก้ว]],""))</f>
        <v/>
      </c>
      <c r="N145" s="8" t="str">
        <f>IF(tblSales[[#This Row],[Key]]="","",IFERROR(tblSales[[#This Row],[ต้นทุนต่อแก้ว]]*tblSales[[#This Row],[จำนวนแก้ว]],""))</f>
        <v/>
      </c>
      <c r="O145" s="8" t="str">
        <f>IF(tblSales[[#This Row],[Key]]="","",IFERROR(tblSales[[#This Row],[ยอดขาย (บาท)]]-tblSales[[#This Row],[ต้นทุนรวม (บาท)]],""))</f>
        <v/>
      </c>
      <c r="P145" s="21" t="str">
        <f>IF(tblSales[[#This Row],[Key]]="","",IFERROR(tblSales[[#This Row],[กำไร (บาท)]]/tblSales[[#This Row],[ยอดขาย (บาท)]],""))</f>
        <v/>
      </c>
      <c r="Q145" s="10" t="str">
        <f>IF(tblSales[[#This Row],[Key]]="","",IFERROR(INDEX(ตารางรวม!$D:$D,MATCH(tblSales[[#This Row],[Key]],ตารางรวม!$Z:$Z,0))*tblSales[[#This Row],[จำนวนแก้ว]],0))</f>
        <v/>
      </c>
      <c r="R145" s="10" t="str">
        <f>IF(tblSales[[#This Row],[Key]]="","",IFERROR(INDEX(ตารางรวม!$E:$E,MATCH(tblSales[[#This Row],[Key]],ตารางรวม!$Z:$Z,0))*tblSales[[#This Row],[จำนวนแก้ว]],0))</f>
        <v/>
      </c>
      <c r="S145" s="10" t="str">
        <f>IF(tblSales[[#This Row],[Key]]="","",IFERROR(INDEX(ตารางรวม!$F:$F,MATCH(tblSales[[#This Row],[Key]],ตารางรวม!$Z:$Z,0))*tblSales[[#This Row],[จำนวนแก้ว]],0))</f>
        <v/>
      </c>
      <c r="T145" s="10" t="str">
        <f>IF(tblSales[[#This Row],[Key]]="","",IFERROR(INDEX(ตารางรวม!$G:$G,MATCH(tblSales[[#This Row],[Key]],ตารางรวม!$Z:$Z,0))*tblSales[[#This Row],[จำนวนแก้ว]],0))</f>
        <v/>
      </c>
      <c r="U145" s="10" t="str">
        <f>IF(tblSales[[#This Row],[Key]]="","",IFERROR(INDEX(ตารางรวม!$H:$H,MATCH(tblSales[[#This Row],[Key]],ตารางรวม!$Z:$Z,0))*tblSales[[#This Row],[จำนวนแก้ว]],0))</f>
        <v/>
      </c>
      <c r="V145" s="10" t="str">
        <f>IF(tblSales[[#This Row],[Key]]="","",IFERROR(INDEX(ตารางรวม!$I:$I,MATCH(tblSales[[#This Row],[Key]],ตารางรวม!$Z:$Z,0))*tblSales[[#This Row],[จำนวนแก้ว]],0))</f>
        <v/>
      </c>
      <c r="W145" s="10" t="str">
        <f>IF(tblSales[[#This Row],[Key]]="","",IFERROR(INDEX(ตารางรวม!$J:$J,MATCH(tblSales[[#This Row],[Key]],ตารางรวม!$Z:$Z,0))*tblSales[[#This Row],[จำนวนแก้ว]],0))</f>
        <v/>
      </c>
      <c r="X145" s="10" t="str">
        <f>IF(tblSales[[#This Row],[Key]]="","",IFERROR(INDEX(ตารางรวม!$K:$K,MATCH(tblSales[[#This Row],[Key]],ตารางรวม!$Z:$Z,0))*tblSales[[#This Row],[จำนวนแก้ว]],0))</f>
        <v/>
      </c>
      <c r="Y145" s="10" t="str">
        <f>IF(tblSales[[#This Row],[Key]]="","",IFERROR(INDEX(ตารางรวม!$L:$L,MATCH(tblSales[[#This Row],[Key]],ตารางรวม!$Z:$Z,0))*tblSales[[#This Row],[จำนวนแก้ว]],0))</f>
        <v/>
      </c>
      <c r="Z14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5" s="10" t="str">
        <f>IF(tblSales[[#This Row],[Key]]="","",IF(tblSales[[#This Row],[ขนาด]]="16 oz",tblSales[[#This Row],[จำนวนแก้ว]],0))</f>
        <v/>
      </c>
      <c r="AI145" s="10" t="str">
        <f>IF(tblSales[[#This Row],[Key]]="","",IF(tblSales[[#This Row],[ขนาด]]="20 oz",tblSales[[#This Row],[จำนวนแก้ว]],0))</f>
        <v/>
      </c>
      <c r="AJ145" s="10" t="str">
        <f>IF(tblSales[[#This Row],[Key]]="","",IF(tblSales[[#This Row],[ขนาด]]="22 oz",tblSales[[#This Row],[จำนวนแก้ว]],0))</f>
        <v/>
      </c>
    </row>
    <row r="146" spans="1:36" x14ac:dyDescent="0.25">
      <c r="A146" s="4" t="str">
        <f>IF(tblSales[[#This Row],[วันที่]]="","","S"&amp;TEXT(tblSales[[#This Row],[วันที่]],"yymmdd")&amp;"-"&amp;TEXT(ROW()-5,"000"))</f>
        <v/>
      </c>
      <c r="B146" s="16"/>
      <c r="C146" s="6"/>
      <c r="D146" s="6"/>
      <c r="E146" s="20"/>
      <c r="F146" s="6"/>
      <c r="G146" s="6"/>
      <c r="H146" s="6"/>
      <c r="I146" s="6"/>
      <c r="J14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6" s="8" t="str">
        <f>IF(tblSales[[#This Row],[Key]]="","",IFERROR(INDEX(ตารางรวม!$W:$W,MATCH(tblSales[[#This Row],[Key]],ตารางรวม!$Z:$Z,0)),"ไม่พบสูตร"))</f>
        <v/>
      </c>
      <c r="L146" s="8" t="str">
        <f>IF(tblSales[[#This Row],[Key]]="","",IFERROR(INDEX(ตารางรวม!$V:$V,MATCH(tblSales[[#This Row],[Key]],ตารางรวม!$Z:$Z,0)),"ไม่พบสูตร"))</f>
        <v/>
      </c>
      <c r="M146" s="8" t="str">
        <f>IF(tblSales[[#This Row],[Key]]="","",IFERROR(tblSales[[#This Row],[ราคาต่อแก้ว]]*tblSales[[#This Row],[จำนวนแก้ว]],""))</f>
        <v/>
      </c>
      <c r="N146" s="8" t="str">
        <f>IF(tblSales[[#This Row],[Key]]="","",IFERROR(tblSales[[#This Row],[ต้นทุนต่อแก้ว]]*tblSales[[#This Row],[จำนวนแก้ว]],""))</f>
        <v/>
      </c>
      <c r="O146" s="8" t="str">
        <f>IF(tblSales[[#This Row],[Key]]="","",IFERROR(tblSales[[#This Row],[ยอดขาย (บาท)]]-tblSales[[#This Row],[ต้นทุนรวม (บาท)]],""))</f>
        <v/>
      </c>
      <c r="P146" s="21" t="str">
        <f>IF(tblSales[[#This Row],[Key]]="","",IFERROR(tblSales[[#This Row],[กำไร (บาท)]]/tblSales[[#This Row],[ยอดขาย (บาท)]],""))</f>
        <v/>
      </c>
      <c r="Q146" s="10" t="str">
        <f>IF(tblSales[[#This Row],[Key]]="","",IFERROR(INDEX(ตารางรวม!$D:$D,MATCH(tblSales[[#This Row],[Key]],ตารางรวม!$Z:$Z,0))*tblSales[[#This Row],[จำนวนแก้ว]],0))</f>
        <v/>
      </c>
      <c r="R146" s="10" t="str">
        <f>IF(tblSales[[#This Row],[Key]]="","",IFERROR(INDEX(ตารางรวม!$E:$E,MATCH(tblSales[[#This Row],[Key]],ตารางรวม!$Z:$Z,0))*tblSales[[#This Row],[จำนวนแก้ว]],0))</f>
        <v/>
      </c>
      <c r="S146" s="10" t="str">
        <f>IF(tblSales[[#This Row],[Key]]="","",IFERROR(INDEX(ตารางรวม!$F:$F,MATCH(tblSales[[#This Row],[Key]],ตารางรวม!$Z:$Z,0))*tblSales[[#This Row],[จำนวนแก้ว]],0))</f>
        <v/>
      </c>
      <c r="T146" s="10" t="str">
        <f>IF(tblSales[[#This Row],[Key]]="","",IFERROR(INDEX(ตารางรวม!$G:$G,MATCH(tblSales[[#This Row],[Key]],ตารางรวม!$Z:$Z,0))*tblSales[[#This Row],[จำนวนแก้ว]],0))</f>
        <v/>
      </c>
      <c r="U146" s="10" t="str">
        <f>IF(tblSales[[#This Row],[Key]]="","",IFERROR(INDEX(ตารางรวม!$H:$H,MATCH(tblSales[[#This Row],[Key]],ตารางรวม!$Z:$Z,0))*tblSales[[#This Row],[จำนวนแก้ว]],0))</f>
        <v/>
      </c>
      <c r="V146" s="10" t="str">
        <f>IF(tblSales[[#This Row],[Key]]="","",IFERROR(INDEX(ตารางรวม!$I:$I,MATCH(tblSales[[#This Row],[Key]],ตารางรวม!$Z:$Z,0))*tblSales[[#This Row],[จำนวนแก้ว]],0))</f>
        <v/>
      </c>
      <c r="W146" s="10" t="str">
        <f>IF(tblSales[[#This Row],[Key]]="","",IFERROR(INDEX(ตารางรวม!$J:$J,MATCH(tblSales[[#This Row],[Key]],ตารางรวม!$Z:$Z,0))*tblSales[[#This Row],[จำนวนแก้ว]],0))</f>
        <v/>
      </c>
      <c r="X146" s="10" t="str">
        <f>IF(tblSales[[#This Row],[Key]]="","",IFERROR(INDEX(ตารางรวม!$K:$K,MATCH(tblSales[[#This Row],[Key]],ตารางรวม!$Z:$Z,0))*tblSales[[#This Row],[จำนวนแก้ว]],0))</f>
        <v/>
      </c>
      <c r="Y146" s="10" t="str">
        <f>IF(tblSales[[#This Row],[Key]]="","",IFERROR(INDEX(ตารางรวม!$L:$L,MATCH(tblSales[[#This Row],[Key]],ตารางรวม!$Z:$Z,0))*tblSales[[#This Row],[จำนวนแก้ว]],0))</f>
        <v/>
      </c>
      <c r="Z14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6" s="10" t="str">
        <f>IF(tblSales[[#This Row],[Key]]="","",IF(tblSales[[#This Row],[ขนาด]]="16 oz",tblSales[[#This Row],[จำนวนแก้ว]],0))</f>
        <v/>
      </c>
      <c r="AI146" s="10" t="str">
        <f>IF(tblSales[[#This Row],[Key]]="","",IF(tblSales[[#This Row],[ขนาด]]="20 oz",tblSales[[#This Row],[จำนวนแก้ว]],0))</f>
        <v/>
      </c>
      <c r="AJ146" s="10" t="str">
        <f>IF(tblSales[[#This Row],[Key]]="","",IF(tblSales[[#This Row],[ขนาด]]="22 oz",tblSales[[#This Row],[จำนวนแก้ว]],0))</f>
        <v/>
      </c>
    </row>
    <row r="147" spans="1:36" x14ac:dyDescent="0.25">
      <c r="A147" s="4" t="str">
        <f>IF(tblSales[[#This Row],[วันที่]]="","","S"&amp;TEXT(tblSales[[#This Row],[วันที่]],"yymmdd")&amp;"-"&amp;TEXT(ROW()-5,"000"))</f>
        <v/>
      </c>
      <c r="B147" s="16"/>
      <c r="C147" s="6"/>
      <c r="D147" s="6"/>
      <c r="E147" s="20"/>
      <c r="F147" s="6"/>
      <c r="G147" s="6"/>
      <c r="H147" s="6"/>
      <c r="I147" s="6"/>
      <c r="J14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7" s="8" t="str">
        <f>IF(tblSales[[#This Row],[Key]]="","",IFERROR(INDEX(ตารางรวม!$W:$W,MATCH(tblSales[[#This Row],[Key]],ตารางรวม!$Z:$Z,0)),"ไม่พบสูตร"))</f>
        <v/>
      </c>
      <c r="L147" s="8" t="str">
        <f>IF(tblSales[[#This Row],[Key]]="","",IFERROR(INDEX(ตารางรวม!$V:$V,MATCH(tblSales[[#This Row],[Key]],ตารางรวม!$Z:$Z,0)),"ไม่พบสูตร"))</f>
        <v/>
      </c>
      <c r="M147" s="8" t="str">
        <f>IF(tblSales[[#This Row],[Key]]="","",IFERROR(tblSales[[#This Row],[ราคาต่อแก้ว]]*tblSales[[#This Row],[จำนวนแก้ว]],""))</f>
        <v/>
      </c>
      <c r="N147" s="8" t="str">
        <f>IF(tblSales[[#This Row],[Key]]="","",IFERROR(tblSales[[#This Row],[ต้นทุนต่อแก้ว]]*tblSales[[#This Row],[จำนวนแก้ว]],""))</f>
        <v/>
      </c>
      <c r="O147" s="8" t="str">
        <f>IF(tblSales[[#This Row],[Key]]="","",IFERROR(tblSales[[#This Row],[ยอดขาย (บาท)]]-tblSales[[#This Row],[ต้นทุนรวม (บาท)]],""))</f>
        <v/>
      </c>
      <c r="P147" s="21" t="str">
        <f>IF(tblSales[[#This Row],[Key]]="","",IFERROR(tblSales[[#This Row],[กำไร (บาท)]]/tblSales[[#This Row],[ยอดขาย (บาท)]],""))</f>
        <v/>
      </c>
      <c r="Q147" s="10" t="str">
        <f>IF(tblSales[[#This Row],[Key]]="","",IFERROR(INDEX(ตารางรวม!$D:$D,MATCH(tblSales[[#This Row],[Key]],ตารางรวม!$Z:$Z,0))*tblSales[[#This Row],[จำนวนแก้ว]],0))</f>
        <v/>
      </c>
      <c r="R147" s="10" t="str">
        <f>IF(tblSales[[#This Row],[Key]]="","",IFERROR(INDEX(ตารางรวม!$E:$E,MATCH(tblSales[[#This Row],[Key]],ตารางรวม!$Z:$Z,0))*tblSales[[#This Row],[จำนวนแก้ว]],0))</f>
        <v/>
      </c>
      <c r="S147" s="10" t="str">
        <f>IF(tblSales[[#This Row],[Key]]="","",IFERROR(INDEX(ตารางรวม!$F:$F,MATCH(tblSales[[#This Row],[Key]],ตารางรวม!$Z:$Z,0))*tblSales[[#This Row],[จำนวนแก้ว]],0))</f>
        <v/>
      </c>
      <c r="T147" s="10" t="str">
        <f>IF(tblSales[[#This Row],[Key]]="","",IFERROR(INDEX(ตารางรวม!$G:$G,MATCH(tblSales[[#This Row],[Key]],ตารางรวม!$Z:$Z,0))*tblSales[[#This Row],[จำนวนแก้ว]],0))</f>
        <v/>
      </c>
      <c r="U147" s="10" t="str">
        <f>IF(tblSales[[#This Row],[Key]]="","",IFERROR(INDEX(ตารางรวม!$H:$H,MATCH(tblSales[[#This Row],[Key]],ตารางรวม!$Z:$Z,0))*tblSales[[#This Row],[จำนวนแก้ว]],0))</f>
        <v/>
      </c>
      <c r="V147" s="10" t="str">
        <f>IF(tblSales[[#This Row],[Key]]="","",IFERROR(INDEX(ตารางรวม!$I:$I,MATCH(tblSales[[#This Row],[Key]],ตารางรวม!$Z:$Z,0))*tblSales[[#This Row],[จำนวนแก้ว]],0))</f>
        <v/>
      </c>
      <c r="W147" s="10" t="str">
        <f>IF(tblSales[[#This Row],[Key]]="","",IFERROR(INDEX(ตารางรวม!$J:$J,MATCH(tblSales[[#This Row],[Key]],ตารางรวม!$Z:$Z,0))*tblSales[[#This Row],[จำนวนแก้ว]],0))</f>
        <v/>
      </c>
      <c r="X147" s="10" t="str">
        <f>IF(tblSales[[#This Row],[Key]]="","",IFERROR(INDEX(ตารางรวม!$K:$K,MATCH(tblSales[[#This Row],[Key]],ตารางรวม!$Z:$Z,0))*tblSales[[#This Row],[จำนวนแก้ว]],0))</f>
        <v/>
      </c>
      <c r="Y147" s="10" t="str">
        <f>IF(tblSales[[#This Row],[Key]]="","",IFERROR(INDEX(ตารางรวม!$L:$L,MATCH(tblSales[[#This Row],[Key]],ตารางรวม!$Z:$Z,0))*tblSales[[#This Row],[จำนวนแก้ว]],0))</f>
        <v/>
      </c>
      <c r="Z14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7" s="10" t="str">
        <f>IF(tblSales[[#This Row],[Key]]="","",IF(tblSales[[#This Row],[ขนาด]]="16 oz",tblSales[[#This Row],[จำนวนแก้ว]],0))</f>
        <v/>
      </c>
      <c r="AI147" s="10" t="str">
        <f>IF(tblSales[[#This Row],[Key]]="","",IF(tblSales[[#This Row],[ขนาด]]="20 oz",tblSales[[#This Row],[จำนวนแก้ว]],0))</f>
        <v/>
      </c>
      <c r="AJ147" s="10" t="str">
        <f>IF(tblSales[[#This Row],[Key]]="","",IF(tblSales[[#This Row],[ขนาด]]="22 oz",tblSales[[#This Row],[จำนวนแก้ว]],0))</f>
        <v/>
      </c>
    </row>
    <row r="148" spans="1:36" x14ac:dyDescent="0.25">
      <c r="A148" s="4" t="str">
        <f>IF(tblSales[[#This Row],[วันที่]]="","","S"&amp;TEXT(tblSales[[#This Row],[วันที่]],"yymmdd")&amp;"-"&amp;TEXT(ROW()-5,"000"))</f>
        <v/>
      </c>
      <c r="B148" s="16"/>
      <c r="C148" s="6"/>
      <c r="D148" s="6"/>
      <c r="E148" s="20"/>
      <c r="F148" s="6"/>
      <c r="G148" s="6"/>
      <c r="H148" s="6"/>
      <c r="I148" s="6"/>
      <c r="J14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8" s="8" t="str">
        <f>IF(tblSales[[#This Row],[Key]]="","",IFERROR(INDEX(ตารางรวม!$W:$W,MATCH(tblSales[[#This Row],[Key]],ตารางรวม!$Z:$Z,0)),"ไม่พบสูตร"))</f>
        <v/>
      </c>
      <c r="L148" s="8" t="str">
        <f>IF(tblSales[[#This Row],[Key]]="","",IFERROR(INDEX(ตารางรวม!$V:$V,MATCH(tblSales[[#This Row],[Key]],ตารางรวม!$Z:$Z,0)),"ไม่พบสูตร"))</f>
        <v/>
      </c>
      <c r="M148" s="8" t="str">
        <f>IF(tblSales[[#This Row],[Key]]="","",IFERROR(tblSales[[#This Row],[ราคาต่อแก้ว]]*tblSales[[#This Row],[จำนวนแก้ว]],""))</f>
        <v/>
      </c>
      <c r="N148" s="8" t="str">
        <f>IF(tblSales[[#This Row],[Key]]="","",IFERROR(tblSales[[#This Row],[ต้นทุนต่อแก้ว]]*tblSales[[#This Row],[จำนวนแก้ว]],""))</f>
        <v/>
      </c>
      <c r="O148" s="8" t="str">
        <f>IF(tblSales[[#This Row],[Key]]="","",IFERROR(tblSales[[#This Row],[ยอดขาย (บาท)]]-tblSales[[#This Row],[ต้นทุนรวม (บาท)]],""))</f>
        <v/>
      </c>
      <c r="P148" s="21" t="str">
        <f>IF(tblSales[[#This Row],[Key]]="","",IFERROR(tblSales[[#This Row],[กำไร (บาท)]]/tblSales[[#This Row],[ยอดขาย (บาท)]],""))</f>
        <v/>
      </c>
      <c r="Q148" s="10" t="str">
        <f>IF(tblSales[[#This Row],[Key]]="","",IFERROR(INDEX(ตารางรวม!$D:$D,MATCH(tblSales[[#This Row],[Key]],ตารางรวม!$Z:$Z,0))*tblSales[[#This Row],[จำนวนแก้ว]],0))</f>
        <v/>
      </c>
      <c r="R148" s="10" t="str">
        <f>IF(tblSales[[#This Row],[Key]]="","",IFERROR(INDEX(ตารางรวม!$E:$E,MATCH(tblSales[[#This Row],[Key]],ตารางรวม!$Z:$Z,0))*tblSales[[#This Row],[จำนวนแก้ว]],0))</f>
        <v/>
      </c>
      <c r="S148" s="10" t="str">
        <f>IF(tblSales[[#This Row],[Key]]="","",IFERROR(INDEX(ตารางรวม!$F:$F,MATCH(tblSales[[#This Row],[Key]],ตารางรวม!$Z:$Z,0))*tblSales[[#This Row],[จำนวนแก้ว]],0))</f>
        <v/>
      </c>
      <c r="T148" s="10" t="str">
        <f>IF(tblSales[[#This Row],[Key]]="","",IFERROR(INDEX(ตารางรวม!$G:$G,MATCH(tblSales[[#This Row],[Key]],ตารางรวม!$Z:$Z,0))*tblSales[[#This Row],[จำนวนแก้ว]],0))</f>
        <v/>
      </c>
      <c r="U148" s="10" t="str">
        <f>IF(tblSales[[#This Row],[Key]]="","",IFERROR(INDEX(ตารางรวม!$H:$H,MATCH(tblSales[[#This Row],[Key]],ตารางรวม!$Z:$Z,0))*tblSales[[#This Row],[จำนวนแก้ว]],0))</f>
        <v/>
      </c>
      <c r="V148" s="10" t="str">
        <f>IF(tblSales[[#This Row],[Key]]="","",IFERROR(INDEX(ตารางรวม!$I:$I,MATCH(tblSales[[#This Row],[Key]],ตารางรวม!$Z:$Z,0))*tblSales[[#This Row],[จำนวนแก้ว]],0))</f>
        <v/>
      </c>
      <c r="W148" s="10" t="str">
        <f>IF(tblSales[[#This Row],[Key]]="","",IFERROR(INDEX(ตารางรวม!$J:$J,MATCH(tblSales[[#This Row],[Key]],ตารางรวม!$Z:$Z,0))*tblSales[[#This Row],[จำนวนแก้ว]],0))</f>
        <v/>
      </c>
      <c r="X148" s="10" t="str">
        <f>IF(tblSales[[#This Row],[Key]]="","",IFERROR(INDEX(ตารางรวม!$K:$K,MATCH(tblSales[[#This Row],[Key]],ตารางรวม!$Z:$Z,0))*tblSales[[#This Row],[จำนวนแก้ว]],0))</f>
        <v/>
      </c>
      <c r="Y148" s="10" t="str">
        <f>IF(tblSales[[#This Row],[Key]]="","",IFERROR(INDEX(ตารางรวม!$L:$L,MATCH(tblSales[[#This Row],[Key]],ตารางรวม!$Z:$Z,0))*tblSales[[#This Row],[จำนวนแก้ว]],0))</f>
        <v/>
      </c>
      <c r="Z14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8" s="10" t="str">
        <f>IF(tblSales[[#This Row],[Key]]="","",IF(tblSales[[#This Row],[ขนาด]]="16 oz",tblSales[[#This Row],[จำนวนแก้ว]],0))</f>
        <v/>
      </c>
      <c r="AI148" s="10" t="str">
        <f>IF(tblSales[[#This Row],[Key]]="","",IF(tblSales[[#This Row],[ขนาด]]="20 oz",tblSales[[#This Row],[จำนวนแก้ว]],0))</f>
        <v/>
      </c>
      <c r="AJ148" s="10" t="str">
        <f>IF(tblSales[[#This Row],[Key]]="","",IF(tblSales[[#This Row],[ขนาด]]="22 oz",tblSales[[#This Row],[จำนวนแก้ว]],0))</f>
        <v/>
      </c>
    </row>
    <row r="149" spans="1:36" x14ac:dyDescent="0.25">
      <c r="A149" s="4" t="str">
        <f>IF(tblSales[[#This Row],[วันที่]]="","","S"&amp;TEXT(tblSales[[#This Row],[วันที่]],"yymmdd")&amp;"-"&amp;TEXT(ROW()-5,"000"))</f>
        <v/>
      </c>
      <c r="B149" s="16"/>
      <c r="C149" s="6"/>
      <c r="D149" s="6"/>
      <c r="E149" s="20"/>
      <c r="F149" s="6"/>
      <c r="G149" s="6"/>
      <c r="H149" s="6"/>
      <c r="I149" s="6"/>
      <c r="J14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49" s="8" t="str">
        <f>IF(tblSales[[#This Row],[Key]]="","",IFERROR(INDEX(ตารางรวม!$W:$W,MATCH(tblSales[[#This Row],[Key]],ตารางรวม!$Z:$Z,0)),"ไม่พบสูตร"))</f>
        <v/>
      </c>
      <c r="L149" s="8" t="str">
        <f>IF(tblSales[[#This Row],[Key]]="","",IFERROR(INDEX(ตารางรวม!$V:$V,MATCH(tblSales[[#This Row],[Key]],ตารางรวม!$Z:$Z,0)),"ไม่พบสูตร"))</f>
        <v/>
      </c>
      <c r="M149" s="8" t="str">
        <f>IF(tblSales[[#This Row],[Key]]="","",IFERROR(tblSales[[#This Row],[ราคาต่อแก้ว]]*tblSales[[#This Row],[จำนวนแก้ว]],""))</f>
        <v/>
      </c>
      <c r="N149" s="8" t="str">
        <f>IF(tblSales[[#This Row],[Key]]="","",IFERROR(tblSales[[#This Row],[ต้นทุนต่อแก้ว]]*tblSales[[#This Row],[จำนวนแก้ว]],""))</f>
        <v/>
      </c>
      <c r="O149" s="8" t="str">
        <f>IF(tblSales[[#This Row],[Key]]="","",IFERROR(tblSales[[#This Row],[ยอดขาย (บาท)]]-tblSales[[#This Row],[ต้นทุนรวม (บาท)]],""))</f>
        <v/>
      </c>
      <c r="P149" s="21" t="str">
        <f>IF(tblSales[[#This Row],[Key]]="","",IFERROR(tblSales[[#This Row],[กำไร (บาท)]]/tblSales[[#This Row],[ยอดขาย (บาท)]],""))</f>
        <v/>
      </c>
      <c r="Q149" s="10" t="str">
        <f>IF(tblSales[[#This Row],[Key]]="","",IFERROR(INDEX(ตารางรวม!$D:$D,MATCH(tblSales[[#This Row],[Key]],ตารางรวม!$Z:$Z,0))*tblSales[[#This Row],[จำนวนแก้ว]],0))</f>
        <v/>
      </c>
      <c r="R149" s="10" t="str">
        <f>IF(tblSales[[#This Row],[Key]]="","",IFERROR(INDEX(ตารางรวม!$E:$E,MATCH(tblSales[[#This Row],[Key]],ตารางรวม!$Z:$Z,0))*tblSales[[#This Row],[จำนวนแก้ว]],0))</f>
        <v/>
      </c>
      <c r="S149" s="10" t="str">
        <f>IF(tblSales[[#This Row],[Key]]="","",IFERROR(INDEX(ตารางรวม!$F:$F,MATCH(tblSales[[#This Row],[Key]],ตารางรวม!$Z:$Z,0))*tblSales[[#This Row],[จำนวนแก้ว]],0))</f>
        <v/>
      </c>
      <c r="T149" s="10" t="str">
        <f>IF(tblSales[[#This Row],[Key]]="","",IFERROR(INDEX(ตารางรวม!$G:$G,MATCH(tblSales[[#This Row],[Key]],ตารางรวม!$Z:$Z,0))*tblSales[[#This Row],[จำนวนแก้ว]],0))</f>
        <v/>
      </c>
      <c r="U149" s="10" t="str">
        <f>IF(tblSales[[#This Row],[Key]]="","",IFERROR(INDEX(ตารางรวม!$H:$H,MATCH(tblSales[[#This Row],[Key]],ตารางรวม!$Z:$Z,0))*tblSales[[#This Row],[จำนวนแก้ว]],0))</f>
        <v/>
      </c>
      <c r="V149" s="10" t="str">
        <f>IF(tblSales[[#This Row],[Key]]="","",IFERROR(INDEX(ตารางรวม!$I:$I,MATCH(tblSales[[#This Row],[Key]],ตารางรวม!$Z:$Z,0))*tblSales[[#This Row],[จำนวนแก้ว]],0))</f>
        <v/>
      </c>
      <c r="W149" s="10" t="str">
        <f>IF(tblSales[[#This Row],[Key]]="","",IFERROR(INDEX(ตารางรวม!$J:$J,MATCH(tblSales[[#This Row],[Key]],ตารางรวม!$Z:$Z,0))*tblSales[[#This Row],[จำนวนแก้ว]],0))</f>
        <v/>
      </c>
      <c r="X149" s="10" t="str">
        <f>IF(tblSales[[#This Row],[Key]]="","",IFERROR(INDEX(ตารางรวม!$K:$K,MATCH(tblSales[[#This Row],[Key]],ตารางรวม!$Z:$Z,0))*tblSales[[#This Row],[จำนวนแก้ว]],0))</f>
        <v/>
      </c>
      <c r="Y149" s="10" t="str">
        <f>IF(tblSales[[#This Row],[Key]]="","",IFERROR(INDEX(ตารางรวม!$L:$L,MATCH(tblSales[[#This Row],[Key]],ตารางรวม!$Z:$Z,0))*tblSales[[#This Row],[จำนวนแก้ว]],0))</f>
        <v/>
      </c>
      <c r="Z14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4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4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4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4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4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4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4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49" s="10" t="str">
        <f>IF(tblSales[[#This Row],[Key]]="","",IF(tblSales[[#This Row],[ขนาด]]="16 oz",tblSales[[#This Row],[จำนวนแก้ว]],0))</f>
        <v/>
      </c>
      <c r="AI149" s="10" t="str">
        <f>IF(tblSales[[#This Row],[Key]]="","",IF(tblSales[[#This Row],[ขนาด]]="20 oz",tblSales[[#This Row],[จำนวนแก้ว]],0))</f>
        <v/>
      </c>
      <c r="AJ149" s="10" t="str">
        <f>IF(tblSales[[#This Row],[Key]]="","",IF(tblSales[[#This Row],[ขนาด]]="22 oz",tblSales[[#This Row],[จำนวนแก้ว]],0))</f>
        <v/>
      </c>
    </row>
    <row r="150" spans="1:36" x14ac:dyDescent="0.25">
      <c r="A150" s="4" t="str">
        <f>IF(tblSales[[#This Row],[วันที่]]="","","S"&amp;TEXT(tblSales[[#This Row],[วันที่]],"yymmdd")&amp;"-"&amp;TEXT(ROW()-5,"000"))</f>
        <v/>
      </c>
      <c r="B150" s="16"/>
      <c r="C150" s="6"/>
      <c r="D150" s="6"/>
      <c r="E150" s="20"/>
      <c r="F150" s="6"/>
      <c r="G150" s="6"/>
      <c r="H150" s="6"/>
      <c r="I150" s="6"/>
      <c r="J15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0" s="8" t="str">
        <f>IF(tblSales[[#This Row],[Key]]="","",IFERROR(INDEX(ตารางรวม!$W:$W,MATCH(tblSales[[#This Row],[Key]],ตารางรวม!$Z:$Z,0)),"ไม่พบสูตร"))</f>
        <v/>
      </c>
      <c r="L150" s="8" t="str">
        <f>IF(tblSales[[#This Row],[Key]]="","",IFERROR(INDEX(ตารางรวม!$V:$V,MATCH(tblSales[[#This Row],[Key]],ตารางรวม!$Z:$Z,0)),"ไม่พบสูตร"))</f>
        <v/>
      </c>
      <c r="M150" s="8" t="str">
        <f>IF(tblSales[[#This Row],[Key]]="","",IFERROR(tblSales[[#This Row],[ราคาต่อแก้ว]]*tblSales[[#This Row],[จำนวนแก้ว]],""))</f>
        <v/>
      </c>
      <c r="N150" s="8" t="str">
        <f>IF(tblSales[[#This Row],[Key]]="","",IFERROR(tblSales[[#This Row],[ต้นทุนต่อแก้ว]]*tblSales[[#This Row],[จำนวนแก้ว]],""))</f>
        <v/>
      </c>
      <c r="O150" s="8" t="str">
        <f>IF(tblSales[[#This Row],[Key]]="","",IFERROR(tblSales[[#This Row],[ยอดขาย (บาท)]]-tblSales[[#This Row],[ต้นทุนรวม (บาท)]],""))</f>
        <v/>
      </c>
      <c r="P150" s="21" t="str">
        <f>IF(tblSales[[#This Row],[Key]]="","",IFERROR(tblSales[[#This Row],[กำไร (บาท)]]/tblSales[[#This Row],[ยอดขาย (บาท)]],""))</f>
        <v/>
      </c>
      <c r="Q150" s="10" t="str">
        <f>IF(tblSales[[#This Row],[Key]]="","",IFERROR(INDEX(ตารางรวม!$D:$D,MATCH(tblSales[[#This Row],[Key]],ตารางรวม!$Z:$Z,0))*tblSales[[#This Row],[จำนวนแก้ว]],0))</f>
        <v/>
      </c>
      <c r="R150" s="10" t="str">
        <f>IF(tblSales[[#This Row],[Key]]="","",IFERROR(INDEX(ตารางรวม!$E:$E,MATCH(tblSales[[#This Row],[Key]],ตารางรวม!$Z:$Z,0))*tblSales[[#This Row],[จำนวนแก้ว]],0))</f>
        <v/>
      </c>
      <c r="S150" s="10" t="str">
        <f>IF(tblSales[[#This Row],[Key]]="","",IFERROR(INDEX(ตารางรวม!$F:$F,MATCH(tblSales[[#This Row],[Key]],ตารางรวม!$Z:$Z,0))*tblSales[[#This Row],[จำนวนแก้ว]],0))</f>
        <v/>
      </c>
      <c r="T150" s="10" t="str">
        <f>IF(tblSales[[#This Row],[Key]]="","",IFERROR(INDEX(ตารางรวม!$G:$G,MATCH(tblSales[[#This Row],[Key]],ตารางรวม!$Z:$Z,0))*tblSales[[#This Row],[จำนวนแก้ว]],0))</f>
        <v/>
      </c>
      <c r="U150" s="10" t="str">
        <f>IF(tblSales[[#This Row],[Key]]="","",IFERROR(INDEX(ตารางรวม!$H:$H,MATCH(tblSales[[#This Row],[Key]],ตารางรวม!$Z:$Z,0))*tblSales[[#This Row],[จำนวนแก้ว]],0))</f>
        <v/>
      </c>
      <c r="V150" s="10" t="str">
        <f>IF(tblSales[[#This Row],[Key]]="","",IFERROR(INDEX(ตารางรวม!$I:$I,MATCH(tblSales[[#This Row],[Key]],ตารางรวม!$Z:$Z,0))*tblSales[[#This Row],[จำนวนแก้ว]],0))</f>
        <v/>
      </c>
      <c r="W150" s="10" t="str">
        <f>IF(tblSales[[#This Row],[Key]]="","",IFERROR(INDEX(ตารางรวม!$J:$J,MATCH(tblSales[[#This Row],[Key]],ตารางรวม!$Z:$Z,0))*tblSales[[#This Row],[จำนวนแก้ว]],0))</f>
        <v/>
      </c>
      <c r="X150" s="10" t="str">
        <f>IF(tblSales[[#This Row],[Key]]="","",IFERROR(INDEX(ตารางรวม!$K:$K,MATCH(tblSales[[#This Row],[Key]],ตารางรวม!$Z:$Z,0))*tblSales[[#This Row],[จำนวนแก้ว]],0))</f>
        <v/>
      </c>
      <c r="Y150" s="10" t="str">
        <f>IF(tblSales[[#This Row],[Key]]="","",IFERROR(INDEX(ตารางรวม!$L:$L,MATCH(tblSales[[#This Row],[Key]],ตารางรวม!$Z:$Z,0))*tblSales[[#This Row],[จำนวนแก้ว]],0))</f>
        <v/>
      </c>
      <c r="Z15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0" s="10" t="str">
        <f>IF(tblSales[[#This Row],[Key]]="","",IF(tblSales[[#This Row],[ขนาด]]="16 oz",tblSales[[#This Row],[จำนวนแก้ว]],0))</f>
        <v/>
      </c>
      <c r="AI150" s="10" t="str">
        <f>IF(tblSales[[#This Row],[Key]]="","",IF(tblSales[[#This Row],[ขนาด]]="20 oz",tblSales[[#This Row],[จำนวนแก้ว]],0))</f>
        <v/>
      </c>
      <c r="AJ150" s="10" t="str">
        <f>IF(tblSales[[#This Row],[Key]]="","",IF(tblSales[[#This Row],[ขนาด]]="22 oz",tblSales[[#This Row],[จำนวนแก้ว]],0))</f>
        <v/>
      </c>
    </row>
    <row r="151" spans="1:36" x14ac:dyDescent="0.25">
      <c r="A151" s="4" t="str">
        <f>IF(tblSales[[#This Row],[วันที่]]="","","S"&amp;TEXT(tblSales[[#This Row],[วันที่]],"yymmdd")&amp;"-"&amp;TEXT(ROW()-5,"000"))</f>
        <v/>
      </c>
      <c r="B151" s="16"/>
      <c r="C151" s="6"/>
      <c r="D151" s="6"/>
      <c r="E151" s="20"/>
      <c r="F151" s="6"/>
      <c r="G151" s="6"/>
      <c r="H151" s="6"/>
      <c r="I151" s="6"/>
      <c r="J15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1" s="8" t="str">
        <f>IF(tblSales[[#This Row],[Key]]="","",IFERROR(INDEX(ตารางรวม!$W:$W,MATCH(tblSales[[#This Row],[Key]],ตารางรวม!$Z:$Z,0)),"ไม่พบสูตร"))</f>
        <v/>
      </c>
      <c r="L151" s="8" t="str">
        <f>IF(tblSales[[#This Row],[Key]]="","",IFERROR(INDEX(ตารางรวม!$V:$V,MATCH(tblSales[[#This Row],[Key]],ตารางรวม!$Z:$Z,0)),"ไม่พบสูตร"))</f>
        <v/>
      </c>
      <c r="M151" s="8" t="str">
        <f>IF(tblSales[[#This Row],[Key]]="","",IFERROR(tblSales[[#This Row],[ราคาต่อแก้ว]]*tblSales[[#This Row],[จำนวนแก้ว]],""))</f>
        <v/>
      </c>
      <c r="N151" s="8" t="str">
        <f>IF(tblSales[[#This Row],[Key]]="","",IFERROR(tblSales[[#This Row],[ต้นทุนต่อแก้ว]]*tblSales[[#This Row],[จำนวนแก้ว]],""))</f>
        <v/>
      </c>
      <c r="O151" s="8" t="str">
        <f>IF(tblSales[[#This Row],[Key]]="","",IFERROR(tblSales[[#This Row],[ยอดขาย (บาท)]]-tblSales[[#This Row],[ต้นทุนรวม (บาท)]],""))</f>
        <v/>
      </c>
      <c r="P151" s="21" t="str">
        <f>IF(tblSales[[#This Row],[Key]]="","",IFERROR(tblSales[[#This Row],[กำไร (บาท)]]/tblSales[[#This Row],[ยอดขาย (บาท)]],""))</f>
        <v/>
      </c>
      <c r="Q151" s="10" t="str">
        <f>IF(tblSales[[#This Row],[Key]]="","",IFERROR(INDEX(ตารางรวม!$D:$D,MATCH(tblSales[[#This Row],[Key]],ตารางรวม!$Z:$Z,0))*tblSales[[#This Row],[จำนวนแก้ว]],0))</f>
        <v/>
      </c>
      <c r="R151" s="10" t="str">
        <f>IF(tblSales[[#This Row],[Key]]="","",IFERROR(INDEX(ตารางรวม!$E:$E,MATCH(tblSales[[#This Row],[Key]],ตารางรวม!$Z:$Z,0))*tblSales[[#This Row],[จำนวนแก้ว]],0))</f>
        <v/>
      </c>
      <c r="S151" s="10" t="str">
        <f>IF(tblSales[[#This Row],[Key]]="","",IFERROR(INDEX(ตารางรวม!$F:$F,MATCH(tblSales[[#This Row],[Key]],ตารางรวม!$Z:$Z,0))*tblSales[[#This Row],[จำนวนแก้ว]],0))</f>
        <v/>
      </c>
      <c r="T151" s="10" t="str">
        <f>IF(tblSales[[#This Row],[Key]]="","",IFERROR(INDEX(ตารางรวม!$G:$G,MATCH(tblSales[[#This Row],[Key]],ตารางรวม!$Z:$Z,0))*tblSales[[#This Row],[จำนวนแก้ว]],0))</f>
        <v/>
      </c>
      <c r="U151" s="10" t="str">
        <f>IF(tblSales[[#This Row],[Key]]="","",IFERROR(INDEX(ตารางรวม!$H:$H,MATCH(tblSales[[#This Row],[Key]],ตารางรวม!$Z:$Z,0))*tblSales[[#This Row],[จำนวนแก้ว]],0))</f>
        <v/>
      </c>
      <c r="V151" s="10" t="str">
        <f>IF(tblSales[[#This Row],[Key]]="","",IFERROR(INDEX(ตารางรวม!$I:$I,MATCH(tblSales[[#This Row],[Key]],ตารางรวม!$Z:$Z,0))*tblSales[[#This Row],[จำนวนแก้ว]],0))</f>
        <v/>
      </c>
      <c r="W151" s="10" t="str">
        <f>IF(tblSales[[#This Row],[Key]]="","",IFERROR(INDEX(ตารางรวม!$J:$J,MATCH(tblSales[[#This Row],[Key]],ตารางรวม!$Z:$Z,0))*tblSales[[#This Row],[จำนวนแก้ว]],0))</f>
        <v/>
      </c>
      <c r="X151" s="10" t="str">
        <f>IF(tblSales[[#This Row],[Key]]="","",IFERROR(INDEX(ตารางรวม!$K:$K,MATCH(tblSales[[#This Row],[Key]],ตารางรวม!$Z:$Z,0))*tblSales[[#This Row],[จำนวนแก้ว]],0))</f>
        <v/>
      </c>
      <c r="Y151" s="10" t="str">
        <f>IF(tblSales[[#This Row],[Key]]="","",IFERROR(INDEX(ตารางรวม!$L:$L,MATCH(tblSales[[#This Row],[Key]],ตารางรวม!$Z:$Z,0))*tblSales[[#This Row],[จำนวนแก้ว]],0))</f>
        <v/>
      </c>
      <c r="Z15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1" s="10" t="str">
        <f>IF(tblSales[[#This Row],[Key]]="","",IF(tblSales[[#This Row],[ขนาด]]="16 oz",tblSales[[#This Row],[จำนวนแก้ว]],0))</f>
        <v/>
      </c>
      <c r="AI151" s="10" t="str">
        <f>IF(tblSales[[#This Row],[Key]]="","",IF(tblSales[[#This Row],[ขนาด]]="20 oz",tblSales[[#This Row],[จำนวนแก้ว]],0))</f>
        <v/>
      </c>
      <c r="AJ151" s="10" t="str">
        <f>IF(tblSales[[#This Row],[Key]]="","",IF(tblSales[[#This Row],[ขนาด]]="22 oz",tblSales[[#This Row],[จำนวนแก้ว]],0))</f>
        <v/>
      </c>
    </row>
    <row r="152" spans="1:36" x14ac:dyDescent="0.25">
      <c r="A152" s="4" t="str">
        <f>IF(tblSales[[#This Row],[วันที่]]="","","S"&amp;TEXT(tblSales[[#This Row],[วันที่]],"yymmdd")&amp;"-"&amp;TEXT(ROW()-5,"000"))</f>
        <v/>
      </c>
      <c r="B152" s="16"/>
      <c r="C152" s="6"/>
      <c r="D152" s="6"/>
      <c r="E152" s="20"/>
      <c r="F152" s="6"/>
      <c r="G152" s="6"/>
      <c r="H152" s="6"/>
      <c r="I152" s="6"/>
      <c r="J15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2" s="8" t="str">
        <f>IF(tblSales[[#This Row],[Key]]="","",IFERROR(INDEX(ตารางรวม!$W:$W,MATCH(tblSales[[#This Row],[Key]],ตารางรวม!$Z:$Z,0)),"ไม่พบสูตร"))</f>
        <v/>
      </c>
      <c r="L152" s="8" t="str">
        <f>IF(tblSales[[#This Row],[Key]]="","",IFERROR(INDEX(ตารางรวม!$V:$V,MATCH(tblSales[[#This Row],[Key]],ตารางรวม!$Z:$Z,0)),"ไม่พบสูตร"))</f>
        <v/>
      </c>
      <c r="M152" s="8" t="str">
        <f>IF(tblSales[[#This Row],[Key]]="","",IFERROR(tblSales[[#This Row],[ราคาต่อแก้ว]]*tblSales[[#This Row],[จำนวนแก้ว]],""))</f>
        <v/>
      </c>
      <c r="N152" s="8" t="str">
        <f>IF(tblSales[[#This Row],[Key]]="","",IFERROR(tblSales[[#This Row],[ต้นทุนต่อแก้ว]]*tblSales[[#This Row],[จำนวนแก้ว]],""))</f>
        <v/>
      </c>
      <c r="O152" s="8" t="str">
        <f>IF(tblSales[[#This Row],[Key]]="","",IFERROR(tblSales[[#This Row],[ยอดขาย (บาท)]]-tblSales[[#This Row],[ต้นทุนรวม (บาท)]],""))</f>
        <v/>
      </c>
      <c r="P152" s="21" t="str">
        <f>IF(tblSales[[#This Row],[Key]]="","",IFERROR(tblSales[[#This Row],[กำไร (บาท)]]/tblSales[[#This Row],[ยอดขาย (บาท)]],""))</f>
        <v/>
      </c>
      <c r="Q152" s="10" t="str">
        <f>IF(tblSales[[#This Row],[Key]]="","",IFERROR(INDEX(ตารางรวม!$D:$D,MATCH(tblSales[[#This Row],[Key]],ตารางรวม!$Z:$Z,0))*tblSales[[#This Row],[จำนวนแก้ว]],0))</f>
        <v/>
      </c>
      <c r="R152" s="10" t="str">
        <f>IF(tblSales[[#This Row],[Key]]="","",IFERROR(INDEX(ตารางรวม!$E:$E,MATCH(tblSales[[#This Row],[Key]],ตารางรวม!$Z:$Z,0))*tblSales[[#This Row],[จำนวนแก้ว]],0))</f>
        <v/>
      </c>
      <c r="S152" s="10" t="str">
        <f>IF(tblSales[[#This Row],[Key]]="","",IFERROR(INDEX(ตารางรวม!$F:$F,MATCH(tblSales[[#This Row],[Key]],ตารางรวม!$Z:$Z,0))*tblSales[[#This Row],[จำนวนแก้ว]],0))</f>
        <v/>
      </c>
      <c r="T152" s="10" t="str">
        <f>IF(tblSales[[#This Row],[Key]]="","",IFERROR(INDEX(ตารางรวม!$G:$G,MATCH(tblSales[[#This Row],[Key]],ตารางรวม!$Z:$Z,0))*tblSales[[#This Row],[จำนวนแก้ว]],0))</f>
        <v/>
      </c>
      <c r="U152" s="10" t="str">
        <f>IF(tblSales[[#This Row],[Key]]="","",IFERROR(INDEX(ตารางรวม!$H:$H,MATCH(tblSales[[#This Row],[Key]],ตารางรวม!$Z:$Z,0))*tblSales[[#This Row],[จำนวนแก้ว]],0))</f>
        <v/>
      </c>
      <c r="V152" s="10" t="str">
        <f>IF(tblSales[[#This Row],[Key]]="","",IFERROR(INDEX(ตารางรวม!$I:$I,MATCH(tblSales[[#This Row],[Key]],ตารางรวม!$Z:$Z,0))*tblSales[[#This Row],[จำนวนแก้ว]],0))</f>
        <v/>
      </c>
      <c r="W152" s="10" t="str">
        <f>IF(tblSales[[#This Row],[Key]]="","",IFERROR(INDEX(ตารางรวม!$J:$J,MATCH(tblSales[[#This Row],[Key]],ตารางรวม!$Z:$Z,0))*tblSales[[#This Row],[จำนวนแก้ว]],0))</f>
        <v/>
      </c>
      <c r="X152" s="10" t="str">
        <f>IF(tblSales[[#This Row],[Key]]="","",IFERROR(INDEX(ตารางรวม!$K:$K,MATCH(tblSales[[#This Row],[Key]],ตารางรวม!$Z:$Z,0))*tblSales[[#This Row],[จำนวนแก้ว]],0))</f>
        <v/>
      </c>
      <c r="Y152" s="10" t="str">
        <f>IF(tblSales[[#This Row],[Key]]="","",IFERROR(INDEX(ตารางรวม!$L:$L,MATCH(tblSales[[#This Row],[Key]],ตารางรวม!$Z:$Z,0))*tblSales[[#This Row],[จำนวนแก้ว]],0))</f>
        <v/>
      </c>
      <c r="Z15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2" s="10" t="str">
        <f>IF(tblSales[[#This Row],[Key]]="","",IF(tblSales[[#This Row],[ขนาด]]="16 oz",tblSales[[#This Row],[จำนวนแก้ว]],0))</f>
        <v/>
      </c>
      <c r="AI152" s="10" t="str">
        <f>IF(tblSales[[#This Row],[Key]]="","",IF(tblSales[[#This Row],[ขนาด]]="20 oz",tblSales[[#This Row],[จำนวนแก้ว]],0))</f>
        <v/>
      </c>
      <c r="AJ152" s="10" t="str">
        <f>IF(tblSales[[#This Row],[Key]]="","",IF(tblSales[[#This Row],[ขนาด]]="22 oz",tblSales[[#This Row],[จำนวนแก้ว]],0))</f>
        <v/>
      </c>
    </row>
    <row r="153" spans="1:36" x14ac:dyDescent="0.25">
      <c r="A153" s="4" t="str">
        <f>IF(tblSales[[#This Row],[วันที่]]="","","S"&amp;TEXT(tblSales[[#This Row],[วันที่]],"yymmdd")&amp;"-"&amp;TEXT(ROW()-5,"000"))</f>
        <v/>
      </c>
      <c r="B153" s="16"/>
      <c r="C153" s="6"/>
      <c r="D153" s="6"/>
      <c r="E153" s="20"/>
      <c r="F153" s="6"/>
      <c r="G153" s="6"/>
      <c r="H153" s="6"/>
      <c r="I153" s="6"/>
      <c r="J15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3" s="8" t="str">
        <f>IF(tblSales[[#This Row],[Key]]="","",IFERROR(INDEX(ตารางรวม!$W:$W,MATCH(tblSales[[#This Row],[Key]],ตารางรวม!$Z:$Z,0)),"ไม่พบสูตร"))</f>
        <v/>
      </c>
      <c r="L153" s="8" t="str">
        <f>IF(tblSales[[#This Row],[Key]]="","",IFERROR(INDEX(ตารางรวม!$V:$V,MATCH(tblSales[[#This Row],[Key]],ตารางรวม!$Z:$Z,0)),"ไม่พบสูตร"))</f>
        <v/>
      </c>
      <c r="M153" s="8" t="str">
        <f>IF(tblSales[[#This Row],[Key]]="","",IFERROR(tblSales[[#This Row],[ราคาต่อแก้ว]]*tblSales[[#This Row],[จำนวนแก้ว]],""))</f>
        <v/>
      </c>
      <c r="N153" s="8" t="str">
        <f>IF(tblSales[[#This Row],[Key]]="","",IFERROR(tblSales[[#This Row],[ต้นทุนต่อแก้ว]]*tblSales[[#This Row],[จำนวนแก้ว]],""))</f>
        <v/>
      </c>
      <c r="O153" s="8" t="str">
        <f>IF(tblSales[[#This Row],[Key]]="","",IFERROR(tblSales[[#This Row],[ยอดขาย (บาท)]]-tblSales[[#This Row],[ต้นทุนรวม (บาท)]],""))</f>
        <v/>
      </c>
      <c r="P153" s="21" t="str">
        <f>IF(tblSales[[#This Row],[Key]]="","",IFERROR(tblSales[[#This Row],[กำไร (บาท)]]/tblSales[[#This Row],[ยอดขาย (บาท)]],""))</f>
        <v/>
      </c>
      <c r="Q153" s="10" t="str">
        <f>IF(tblSales[[#This Row],[Key]]="","",IFERROR(INDEX(ตารางรวม!$D:$D,MATCH(tblSales[[#This Row],[Key]],ตารางรวม!$Z:$Z,0))*tblSales[[#This Row],[จำนวนแก้ว]],0))</f>
        <v/>
      </c>
      <c r="R153" s="10" t="str">
        <f>IF(tblSales[[#This Row],[Key]]="","",IFERROR(INDEX(ตารางรวม!$E:$E,MATCH(tblSales[[#This Row],[Key]],ตารางรวม!$Z:$Z,0))*tblSales[[#This Row],[จำนวนแก้ว]],0))</f>
        <v/>
      </c>
      <c r="S153" s="10" t="str">
        <f>IF(tblSales[[#This Row],[Key]]="","",IFERROR(INDEX(ตารางรวม!$F:$F,MATCH(tblSales[[#This Row],[Key]],ตารางรวม!$Z:$Z,0))*tblSales[[#This Row],[จำนวนแก้ว]],0))</f>
        <v/>
      </c>
      <c r="T153" s="10" t="str">
        <f>IF(tblSales[[#This Row],[Key]]="","",IFERROR(INDEX(ตารางรวม!$G:$G,MATCH(tblSales[[#This Row],[Key]],ตารางรวม!$Z:$Z,0))*tblSales[[#This Row],[จำนวนแก้ว]],0))</f>
        <v/>
      </c>
      <c r="U153" s="10" t="str">
        <f>IF(tblSales[[#This Row],[Key]]="","",IFERROR(INDEX(ตารางรวม!$H:$H,MATCH(tblSales[[#This Row],[Key]],ตารางรวม!$Z:$Z,0))*tblSales[[#This Row],[จำนวนแก้ว]],0))</f>
        <v/>
      </c>
      <c r="V153" s="10" t="str">
        <f>IF(tblSales[[#This Row],[Key]]="","",IFERROR(INDEX(ตารางรวม!$I:$I,MATCH(tblSales[[#This Row],[Key]],ตารางรวม!$Z:$Z,0))*tblSales[[#This Row],[จำนวนแก้ว]],0))</f>
        <v/>
      </c>
      <c r="W153" s="10" t="str">
        <f>IF(tblSales[[#This Row],[Key]]="","",IFERROR(INDEX(ตารางรวม!$J:$J,MATCH(tblSales[[#This Row],[Key]],ตารางรวม!$Z:$Z,0))*tblSales[[#This Row],[จำนวนแก้ว]],0))</f>
        <v/>
      </c>
      <c r="X153" s="10" t="str">
        <f>IF(tblSales[[#This Row],[Key]]="","",IFERROR(INDEX(ตารางรวม!$K:$K,MATCH(tblSales[[#This Row],[Key]],ตารางรวม!$Z:$Z,0))*tblSales[[#This Row],[จำนวนแก้ว]],0))</f>
        <v/>
      </c>
      <c r="Y153" s="10" t="str">
        <f>IF(tblSales[[#This Row],[Key]]="","",IFERROR(INDEX(ตารางรวม!$L:$L,MATCH(tblSales[[#This Row],[Key]],ตารางรวม!$Z:$Z,0))*tblSales[[#This Row],[จำนวนแก้ว]],0))</f>
        <v/>
      </c>
      <c r="Z15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3" s="10" t="str">
        <f>IF(tblSales[[#This Row],[Key]]="","",IF(tblSales[[#This Row],[ขนาด]]="16 oz",tblSales[[#This Row],[จำนวนแก้ว]],0))</f>
        <v/>
      </c>
      <c r="AI153" s="10" t="str">
        <f>IF(tblSales[[#This Row],[Key]]="","",IF(tblSales[[#This Row],[ขนาด]]="20 oz",tblSales[[#This Row],[จำนวนแก้ว]],0))</f>
        <v/>
      </c>
      <c r="AJ153" s="10" t="str">
        <f>IF(tblSales[[#This Row],[Key]]="","",IF(tblSales[[#This Row],[ขนาด]]="22 oz",tblSales[[#This Row],[จำนวนแก้ว]],0))</f>
        <v/>
      </c>
    </row>
    <row r="154" spans="1:36" x14ac:dyDescent="0.25">
      <c r="A154" s="4" t="str">
        <f>IF(tblSales[[#This Row],[วันที่]]="","","S"&amp;TEXT(tblSales[[#This Row],[วันที่]],"yymmdd")&amp;"-"&amp;TEXT(ROW()-5,"000"))</f>
        <v/>
      </c>
      <c r="B154" s="16"/>
      <c r="C154" s="6"/>
      <c r="D154" s="6"/>
      <c r="E154" s="20"/>
      <c r="F154" s="6"/>
      <c r="G154" s="6"/>
      <c r="H154" s="6"/>
      <c r="I154" s="6"/>
      <c r="J15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4" s="8" t="str">
        <f>IF(tblSales[[#This Row],[Key]]="","",IFERROR(INDEX(ตารางรวม!$W:$W,MATCH(tblSales[[#This Row],[Key]],ตารางรวม!$Z:$Z,0)),"ไม่พบสูตร"))</f>
        <v/>
      </c>
      <c r="L154" s="8" t="str">
        <f>IF(tblSales[[#This Row],[Key]]="","",IFERROR(INDEX(ตารางรวม!$V:$V,MATCH(tblSales[[#This Row],[Key]],ตารางรวม!$Z:$Z,0)),"ไม่พบสูตร"))</f>
        <v/>
      </c>
      <c r="M154" s="8" t="str">
        <f>IF(tblSales[[#This Row],[Key]]="","",IFERROR(tblSales[[#This Row],[ราคาต่อแก้ว]]*tblSales[[#This Row],[จำนวนแก้ว]],""))</f>
        <v/>
      </c>
      <c r="N154" s="8" t="str">
        <f>IF(tblSales[[#This Row],[Key]]="","",IFERROR(tblSales[[#This Row],[ต้นทุนต่อแก้ว]]*tblSales[[#This Row],[จำนวนแก้ว]],""))</f>
        <v/>
      </c>
      <c r="O154" s="8" t="str">
        <f>IF(tblSales[[#This Row],[Key]]="","",IFERROR(tblSales[[#This Row],[ยอดขาย (บาท)]]-tblSales[[#This Row],[ต้นทุนรวม (บาท)]],""))</f>
        <v/>
      </c>
      <c r="P154" s="21" t="str">
        <f>IF(tblSales[[#This Row],[Key]]="","",IFERROR(tblSales[[#This Row],[กำไร (บาท)]]/tblSales[[#This Row],[ยอดขาย (บาท)]],""))</f>
        <v/>
      </c>
      <c r="Q154" s="10" t="str">
        <f>IF(tblSales[[#This Row],[Key]]="","",IFERROR(INDEX(ตารางรวม!$D:$D,MATCH(tblSales[[#This Row],[Key]],ตารางรวม!$Z:$Z,0))*tblSales[[#This Row],[จำนวนแก้ว]],0))</f>
        <v/>
      </c>
      <c r="R154" s="10" t="str">
        <f>IF(tblSales[[#This Row],[Key]]="","",IFERROR(INDEX(ตารางรวม!$E:$E,MATCH(tblSales[[#This Row],[Key]],ตารางรวม!$Z:$Z,0))*tblSales[[#This Row],[จำนวนแก้ว]],0))</f>
        <v/>
      </c>
      <c r="S154" s="10" t="str">
        <f>IF(tblSales[[#This Row],[Key]]="","",IFERROR(INDEX(ตารางรวม!$F:$F,MATCH(tblSales[[#This Row],[Key]],ตารางรวม!$Z:$Z,0))*tblSales[[#This Row],[จำนวนแก้ว]],0))</f>
        <v/>
      </c>
      <c r="T154" s="10" t="str">
        <f>IF(tblSales[[#This Row],[Key]]="","",IFERROR(INDEX(ตารางรวม!$G:$G,MATCH(tblSales[[#This Row],[Key]],ตารางรวม!$Z:$Z,0))*tblSales[[#This Row],[จำนวนแก้ว]],0))</f>
        <v/>
      </c>
      <c r="U154" s="10" t="str">
        <f>IF(tblSales[[#This Row],[Key]]="","",IFERROR(INDEX(ตารางรวม!$H:$H,MATCH(tblSales[[#This Row],[Key]],ตารางรวม!$Z:$Z,0))*tblSales[[#This Row],[จำนวนแก้ว]],0))</f>
        <v/>
      </c>
      <c r="V154" s="10" t="str">
        <f>IF(tblSales[[#This Row],[Key]]="","",IFERROR(INDEX(ตารางรวม!$I:$I,MATCH(tblSales[[#This Row],[Key]],ตารางรวม!$Z:$Z,0))*tblSales[[#This Row],[จำนวนแก้ว]],0))</f>
        <v/>
      </c>
      <c r="W154" s="10" t="str">
        <f>IF(tblSales[[#This Row],[Key]]="","",IFERROR(INDEX(ตารางรวม!$J:$J,MATCH(tblSales[[#This Row],[Key]],ตารางรวม!$Z:$Z,0))*tblSales[[#This Row],[จำนวนแก้ว]],0))</f>
        <v/>
      </c>
      <c r="X154" s="10" t="str">
        <f>IF(tblSales[[#This Row],[Key]]="","",IFERROR(INDEX(ตารางรวม!$K:$K,MATCH(tblSales[[#This Row],[Key]],ตารางรวม!$Z:$Z,0))*tblSales[[#This Row],[จำนวนแก้ว]],0))</f>
        <v/>
      </c>
      <c r="Y154" s="10" t="str">
        <f>IF(tblSales[[#This Row],[Key]]="","",IFERROR(INDEX(ตารางรวม!$L:$L,MATCH(tblSales[[#This Row],[Key]],ตารางรวม!$Z:$Z,0))*tblSales[[#This Row],[จำนวนแก้ว]],0))</f>
        <v/>
      </c>
      <c r="Z15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4" s="10" t="str">
        <f>IF(tblSales[[#This Row],[Key]]="","",IF(tblSales[[#This Row],[ขนาด]]="16 oz",tblSales[[#This Row],[จำนวนแก้ว]],0))</f>
        <v/>
      </c>
      <c r="AI154" s="10" t="str">
        <f>IF(tblSales[[#This Row],[Key]]="","",IF(tblSales[[#This Row],[ขนาด]]="20 oz",tblSales[[#This Row],[จำนวนแก้ว]],0))</f>
        <v/>
      </c>
      <c r="AJ154" s="10" t="str">
        <f>IF(tblSales[[#This Row],[Key]]="","",IF(tblSales[[#This Row],[ขนาด]]="22 oz",tblSales[[#This Row],[จำนวนแก้ว]],0))</f>
        <v/>
      </c>
    </row>
    <row r="155" spans="1:36" x14ac:dyDescent="0.25">
      <c r="A155" s="4" t="str">
        <f>IF(tblSales[[#This Row],[วันที่]]="","","S"&amp;TEXT(tblSales[[#This Row],[วันที่]],"yymmdd")&amp;"-"&amp;TEXT(ROW()-5,"000"))</f>
        <v/>
      </c>
      <c r="B155" s="16"/>
      <c r="C155" s="6"/>
      <c r="D155" s="6"/>
      <c r="E155" s="20"/>
      <c r="F155" s="6"/>
      <c r="G155" s="6"/>
      <c r="H155" s="6"/>
      <c r="I155" s="6"/>
      <c r="J15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5" s="8" t="str">
        <f>IF(tblSales[[#This Row],[Key]]="","",IFERROR(INDEX(ตารางรวม!$W:$W,MATCH(tblSales[[#This Row],[Key]],ตารางรวม!$Z:$Z,0)),"ไม่พบสูตร"))</f>
        <v/>
      </c>
      <c r="L155" s="8" t="str">
        <f>IF(tblSales[[#This Row],[Key]]="","",IFERROR(INDEX(ตารางรวม!$V:$V,MATCH(tblSales[[#This Row],[Key]],ตารางรวม!$Z:$Z,0)),"ไม่พบสูตร"))</f>
        <v/>
      </c>
      <c r="M155" s="8" t="str">
        <f>IF(tblSales[[#This Row],[Key]]="","",IFERROR(tblSales[[#This Row],[ราคาต่อแก้ว]]*tblSales[[#This Row],[จำนวนแก้ว]],""))</f>
        <v/>
      </c>
      <c r="N155" s="8" t="str">
        <f>IF(tblSales[[#This Row],[Key]]="","",IFERROR(tblSales[[#This Row],[ต้นทุนต่อแก้ว]]*tblSales[[#This Row],[จำนวนแก้ว]],""))</f>
        <v/>
      </c>
      <c r="O155" s="8" t="str">
        <f>IF(tblSales[[#This Row],[Key]]="","",IFERROR(tblSales[[#This Row],[ยอดขาย (บาท)]]-tblSales[[#This Row],[ต้นทุนรวม (บาท)]],""))</f>
        <v/>
      </c>
      <c r="P155" s="21" t="str">
        <f>IF(tblSales[[#This Row],[Key]]="","",IFERROR(tblSales[[#This Row],[กำไร (บาท)]]/tblSales[[#This Row],[ยอดขาย (บาท)]],""))</f>
        <v/>
      </c>
      <c r="Q155" s="10" t="str">
        <f>IF(tblSales[[#This Row],[Key]]="","",IFERROR(INDEX(ตารางรวม!$D:$D,MATCH(tblSales[[#This Row],[Key]],ตารางรวม!$Z:$Z,0))*tblSales[[#This Row],[จำนวนแก้ว]],0))</f>
        <v/>
      </c>
      <c r="R155" s="10" t="str">
        <f>IF(tblSales[[#This Row],[Key]]="","",IFERROR(INDEX(ตารางรวม!$E:$E,MATCH(tblSales[[#This Row],[Key]],ตารางรวม!$Z:$Z,0))*tblSales[[#This Row],[จำนวนแก้ว]],0))</f>
        <v/>
      </c>
      <c r="S155" s="10" t="str">
        <f>IF(tblSales[[#This Row],[Key]]="","",IFERROR(INDEX(ตารางรวม!$F:$F,MATCH(tblSales[[#This Row],[Key]],ตารางรวม!$Z:$Z,0))*tblSales[[#This Row],[จำนวนแก้ว]],0))</f>
        <v/>
      </c>
      <c r="T155" s="10" t="str">
        <f>IF(tblSales[[#This Row],[Key]]="","",IFERROR(INDEX(ตารางรวม!$G:$G,MATCH(tblSales[[#This Row],[Key]],ตารางรวม!$Z:$Z,0))*tblSales[[#This Row],[จำนวนแก้ว]],0))</f>
        <v/>
      </c>
      <c r="U155" s="10" t="str">
        <f>IF(tblSales[[#This Row],[Key]]="","",IFERROR(INDEX(ตารางรวม!$H:$H,MATCH(tblSales[[#This Row],[Key]],ตารางรวม!$Z:$Z,0))*tblSales[[#This Row],[จำนวนแก้ว]],0))</f>
        <v/>
      </c>
      <c r="V155" s="10" t="str">
        <f>IF(tblSales[[#This Row],[Key]]="","",IFERROR(INDEX(ตารางรวม!$I:$I,MATCH(tblSales[[#This Row],[Key]],ตารางรวม!$Z:$Z,0))*tblSales[[#This Row],[จำนวนแก้ว]],0))</f>
        <v/>
      </c>
      <c r="W155" s="10" t="str">
        <f>IF(tblSales[[#This Row],[Key]]="","",IFERROR(INDEX(ตารางรวม!$J:$J,MATCH(tblSales[[#This Row],[Key]],ตารางรวม!$Z:$Z,0))*tblSales[[#This Row],[จำนวนแก้ว]],0))</f>
        <v/>
      </c>
      <c r="X155" s="10" t="str">
        <f>IF(tblSales[[#This Row],[Key]]="","",IFERROR(INDEX(ตารางรวม!$K:$K,MATCH(tblSales[[#This Row],[Key]],ตารางรวม!$Z:$Z,0))*tblSales[[#This Row],[จำนวนแก้ว]],0))</f>
        <v/>
      </c>
      <c r="Y155" s="10" t="str">
        <f>IF(tblSales[[#This Row],[Key]]="","",IFERROR(INDEX(ตารางรวม!$L:$L,MATCH(tblSales[[#This Row],[Key]],ตารางรวม!$Z:$Z,0))*tblSales[[#This Row],[จำนวนแก้ว]],0))</f>
        <v/>
      </c>
      <c r="Z15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5" s="10" t="str">
        <f>IF(tblSales[[#This Row],[Key]]="","",IF(tblSales[[#This Row],[ขนาด]]="16 oz",tblSales[[#This Row],[จำนวนแก้ว]],0))</f>
        <v/>
      </c>
      <c r="AI155" s="10" t="str">
        <f>IF(tblSales[[#This Row],[Key]]="","",IF(tblSales[[#This Row],[ขนาด]]="20 oz",tblSales[[#This Row],[จำนวนแก้ว]],0))</f>
        <v/>
      </c>
      <c r="AJ155" s="10" t="str">
        <f>IF(tblSales[[#This Row],[Key]]="","",IF(tblSales[[#This Row],[ขนาด]]="22 oz",tblSales[[#This Row],[จำนวนแก้ว]],0))</f>
        <v/>
      </c>
    </row>
    <row r="156" spans="1:36" x14ac:dyDescent="0.25">
      <c r="A156" s="4" t="str">
        <f>IF(tblSales[[#This Row],[วันที่]]="","","S"&amp;TEXT(tblSales[[#This Row],[วันที่]],"yymmdd")&amp;"-"&amp;TEXT(ROW()-5,"000"))</f>
        <v/>
      </c>
      <c r="B156" s="16"/>
      <c r="C156" s="6"/>
      <c r="D156" s="6"/>
      <c r="E156" s="20"/>
      <c r="F156" s="6"/>
      <c r="G156" s="6"/>
      <c r="H156" s="6"/>
      <c r="I156" s="6"/>
      <c r="J15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6" s="8" t="str">
        <f>IF(tblSales[[#This Row],[Key]]="","",IFERROR(INDEX(ตารางรวม!$W:$W,MATCH(tblSales[[#This Row],[Key]],ตารางรวม!$Z:$Z,0)),"ไม่พบสูตร"))</f>
        <v/>
      </c>
      <c r="L156" s="8" t="str">
        <f>IF(tblSales[[#This Row],[Key]]="","",IFERROR(INDEX(ตารางรวม!$V:$V,MATCH(tblSales[[#This Row],[Key]],ตารางรวม!$Z:$Z,0)),"ไม่พบสูตร"))</f>
        <v/>
      </c>
      <c r="M156" s="8" t="str">
        <f>IF(tblSales[[#This Row],[Key]]="","",IFERROR(tblSales[[#This Row],[ราคาต่อแก้ว]]*tblSales[[#This Row],[จำนวนแก้ว]],""))</f>
        <v/>
      </c>
      <c r="N156" s="8" t="str">
        <f>IF(tblSales[[#This Row],[Key]]="","",IFERROR(tblSales[[#This Row],[ต้นทุนต่อแก้ว]]*tblSales[[#This Row],[จำนวนแก้ว]],""))</f>
        <v/>
      </c>
      <c r="O156" s="8" t="str">
        <f>IF(tblSales[[#This Row],[Key]]="","",IFERROR(tblSales[[#This Row],[ยอดขาย (บาท)]]-tblSales[[#This Row],[ต้นทุนรวม (บาท)]],""))</f>
        <v/>
      </c>
      <c r="P156" s="21" t="str">
        <f>IF(tblSales[[#This Row],[Key]]="","",IFERROR(tblSales[[#This Row],[กำไร (บาท)]]/tblSales[[#This Row],[ยอดขาย (บาท)]],""))</f>
        <v/>
      </c>
      <c r="Q156" s="10" t="str">
        <f>IF(tblSales[[#This Row],[Key]]="","",IFERROR(INDEX(ตารางรวม!$D:$D,MATCH(tblSales[[#This Row],[Key]],ตารางรวม!$Z:$Z,0))*tblSales[[#This Row],[จำนวนแก้ว]],0))</f>
        <v/>
      </c>
      <c r="R156" s="10" t="str">
        <f>IF(tblSales[[#This Row],[Key]]="","",IFERROR(INDEX(ตารางรวม!$E:$E,MATCH(tblSales[[#This Row],[Key]],ตารางรวม!$Z:$Z,0))*tblSales[[#This Row],[จำนวนแก้ว]],0))</f>
        <v/>
      </c>
      <c r="S156" s="10" t="str">
        <f>IF(tblSales[[#This Row],[Key]]="","",IFERROR(INDEX(ตารางรวม!$F:$F,MATCH(tblSales[[#This Row],[Key]],ตารางรวม!$Z:$Z,0))*tblSales[[#This Row],[จำนวนแก้ว]],0))</f>
        <v/>
      </c>
      <c r="T156" s="10" t="str">
        <f>IF(tblSales[[#This Row],[Key]]="","",IFERROR(INDEX(ตารางรวม!$G:$G,MATCH(tblSales[[#This Row],[Key]],ตารางรวม!$Z:$Z,0))*tblSales[[#This Row],[จำนวนแก้ว]],0))</f>
        <v/>
      </c>
      <c r="U156" s="10" t="str">
        <f>IF(tblSales[[#This Row],[Key]]="","",IFERROR(INDEX(ตารางรวม!$H:$H,MATCH(tblSales[[#This Row],[Key]],ตารางรวม!$Z:$Z,0))*tblSales[[#This Row],[จำนวนแก้ว]],0))</f>
        <v/>
      </c>
      <c r="V156" s="10" t="str">
        <f>IF(tblSales[[#This Row],[Key]]="","",IFERROR(INDEX(ตารางรวม!$I:$I,MATCH(tblSales[[#This Row],[Key]],ตารางรวม!$Z:$Z,0))*tblSales[[#This Row],[จำนวนแก้ว]],0))</f>
        <v/>
      </c>
      <c r="W156" s="10" t="str">
        <f>IF(tblSales[[#This Row],[Key]]="","",IFERROR(INDEX(ตารางรวม!$J:$J,MATCH(tblSales[[#This Row],[Key]],ตารางรวม!$Z:$Z,0))*tblSales[[#This Row],[จำนวนแก้ว]],0))</f>
        <v/>
      </c>
      <c r="X156" s="10" t="str">
        <f>IF(tblSales[[#This Row],[Key]]="","",IFERROR(INDEX(ตารางรวม!$K:$K,MATCH(tblSales[[#This Row],[Key]],ตารางรวม!$Z:$Z,0))*tblSales[[#This Row],[จำนวนแก้ว]],0))</f>
        <v/>
      </c>
      <c r="Y156" s="10" t="str">
        <f>IF(tblSales[[#This Row],[Key]]="","",IFERROR(INDEX(ตารางรวม!$L:$L,MATCH(tblSales[[#This Row],[Key]],ตารางรวม!$Z:$Z,0))*tblSales[[#This Row],[จำนวนแก้ว]],0))</f>
        <v/>
      </c>
      <c r="Z15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6" s="10" t="str">
        <f>IF(tblSales[[#This Row],[Key]]="","",IF(tblSales[[#This Row],[ขนาด]]="16 oz",tblSales[[#This Row],[จำนวนแก้ว]],0))</f>
        <v/>
      </c>
      <c r="AI156" s="10" t="str">
        <f>IF(tblSales[[#This Row],[Key]]="","",IF(tblSales[[#This Row],[ขนาด]]="20 oz",tblSales[[#This Row],[จำนวนแก้ว]],0))</f>
        <v/>
      </c>
      <c r="AJ156" s="10" t="str">
        <f>IF(tblSales[[#This Row],[Key]]="","",IF(tblSales[[#This Row],[ขนาด]]="22 oz",tblSales[[#This Row],[จำนวนแก้ว]],0))</f>
        <v/>
      </c>
    </row>
    <row r="157" spans="1:36" x14ac:dyDescent="0.25">
      <c r="A157" s="4" t="str">
        <f>IF(tblSales[[#This Row],[วันที่]]="","","S"&amp;TEXT(tblSales[[#This Row],[วันที่]],"yymmdd")&amp;"-"&amp;TEXT(ROW()-5,"000"))</f>
        <v/>
      </c>
      <c r="B157" s="16"/>
      <c r="C157" s="6"/>
      <c r="D157" s="6"/>
      <c r="E157" s="20"/>
      <c r="F157" s="6"/>
      <c r="G157" s="6"/>
      <c r="H157" s="6"/>
      <c r="I157" s="6"/>
      <c r="J15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7" s="8" t="str">
        <f>IF(tblSales[[#This Row],[Key]]="","",IFERROR(INDEX(ตารางรวม!$W:$W,MATCH(tblSales[[#This Row],[Key]],ตารางรวม!$Z:$Z,0)),"ไม่พบสูตร"))</f>
        <v/>
      </c>
      <c r="L157" s="8" t="str">
        <f>IF(tblSales[[#This Row],[Key]]="","",IFERROR(INDEX(ตารางรวม!$V:$V,MATCH(tblSales[[#This Row],[Key]],ตารางรวม!$Z:$Z,0)),"ไม่พบสูตร"))</f>
        <v/>
      </c>
      <c r="M157" s="8" t="str">
        <f>IF(tblSales[[#This Row],[Key]]="","",IFERROR(tblSales[[#This Row],[ราคาต่อแก้ว]]*tblSales[[#This Row],[จำนวนแก้ว]],""))</f>
        <v/>
      </c>
      <c r="N157" s="8" t="str">
        <f>IF(tblSales[[#This Row],[Key]]="","",IFERROR(tblSales[[#This Row],[ต้นทุนต่อแก้ว]]*tblSales[[#This Row],[จำนวนแก้ว]],""))</f>
        <v/>
      </c>
      <c r="O157" s="8" t="str">
        <f>IF(tblSales[[#This Row],[Key]]="","",IFERROR(tblSales[[#This Row],[ยอดขาย (บาท)]]-tblSales[[#This Row],[ต้นทุนรวม (บาท)]],""))</f>
        <v/>
      </c>
      <c r="P157" s="21" t="str">
        <f>IF(tblSales[[#This Row],[Key]]="","",IFERROR(tblSales[[#This Row],[กำไร (บาท)]]/tblSales[[#This Row],[ยอดขาย (บาท)]],""))</f>
        <v/>
      </c>
      <c r="Q157" s="10" t="str">
        <f>IF(tblSales[[#This Row],[Key]]="","",IFERROR(INDEX(ตารางรวม!$D:$D,MATCH(tblSales[[#This Row],[Key]],ตารางรวม!$Z:$Z,0))*tblSales[[#This Row],[จำนวนแก้ว]],0))</f>
        <v/>
      </c>
      <c r="R157" s="10" t="str">
        <f>IF(tblSales[[#This Row],[Key]]="","",IFERROR(INDEX(ตารางรวม!$E:$E,MATCH(tblSales[[#This Row],[Key]],ตารางรวม!$Z:$Z,0))*tblSales[[#This Row],[จำนวนแก้ว]],0))</f>
        <v/>
      </c>
      <c r="S157" s="10" t="str">
        <f>IF(tblSales[[#This Row],[Key]]="","",IFERROR(INDEX(ตารางรวม!$F:$F,MATCH(tblSales[[#This Row],[Key]],ตารางรวม!$Z:$Z,0))*tblSales[[#This Row],[จำนวนแก้ว]],0))</f>
        <v/>
      </c>
      <c r="T157" s="10" t="str">
        <f>IF(tblSales[[#This Row],[Key]]="","",IFERROR(INDEX(ตารางรวม!$G:$G,MATCH(tblSales[[#This Row],[Key]],ตารางรวม!$Z:$Z,0))*tblSales[[#This Row],[จำนวนแก้ว]],0))</f>
        <v/>
      </c>
      <c r="U157" s="10" t="str">
        <f>IF(tblSales[[#This Row],[Key]]="","",IFERROR(INDEX(ตารางรวม!$H:$H,MATCH(tblSales[[#This Row],[Key]],ตารางรวม!$Z:$Z,0))*tblSales[[#This Row],[จำนวนแก้ว]],0))</f>
        <v/>
      </c>
      <c r="V157" s="10" t="str">
        <f>IF(tblSales[[#This Row],[Key]]="","",IFERROR(INDEX(ตารางรวม!$I:$I,MATCH(tblSales[[#This Row],[Key]],ตารางรวม!$Z:$Z,0))*tblSales[[#This Row],[จำนวนแก้ว]],0))</f>
        <v/>
      </c>
      <c r="W157" s="10" t="str">
        <f>IF(tblSales[[#This Row],[Key]]="","",IFERROR(INDEX(ตารางรวม!$J:$J,MATCH(tblSales[[#This Row],[Key]],ตารางรวม!$Z:$Z,0))*tblSales[[#This Row],[จำนวนแก้ว]],0))</f>
        <v/>
      </c>
      <c r="X157" s="10" t="str">
        <f>IF(tblSales[[#This Row],[Key]]="","",IFERROR(INDEX(ตารางรวม!$K:$K,MATCH(tblSales[[#This Row],[Key]],ตารางรวม!$Z:$Z,0))*tblSales[[#This Row],[จำนวนแก้ว]],0))</f>
        <v/>
      </c>
      <c r="Y157" s="10" t="str">
        <f>IF(tblSales[[#This Row],[Key]]="","",IFERROR(INDEX(ตารางรวม!$L:$L,MATCH(tblSales[[#This Row],[Key]],ตารางรวม!$Z:$Z,0))*tblSales[[#This Row],[จำนวนแก้ว]],0))</f>
        <v/>
      </c>
      <c r="Z15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7" s="10" t="str">
        <f>IF(tblSales[[#This Row],[Key]]="","",IF(tblSales[[#This Row],[ขนาด]]="16 oz",tblSales[[#This Row],[จำนวนแก้ว]],0))</f>
        <v/>
      </c>
      <c r="AI157" s="10" t="str">
        <f>IF(tblSales[[#This Row],[Key]]="","",IF(tblSales[[#This Row],[ขนาด]]="20 oz",tblSales[[#This Row],[จำนวนแก้ว]],0))</f>
        <v/>
      </c>
      <c r="AJ157" s="10" t="str">
        <f>IF(tblSales[[#This Row],[Key]]="","",IF(tblSales[[#This Row],[ขนาด]]="22 oz",tblSales[[#This Row],[จำนวนแก้ว]],0))</f>
        <v/>
      </c>
    </row>
    <row r="158" spans="1:36" x14ac:dyDescent="0.25">
      <c r="A158" s="4" t="str">
        <f>IF(tblSales[[#This Row],[วันที่]]="","","S"&amp;TEXT(tblSales[[#This Row],[วันที่]],"yymmdd")&amp;"-"&amp;TEXT(ROW()-5,"000"))</f>
        <v/>
      </c>
      <c r="B158" s="16"/>
      <c r="C158" s="6"/>
      <c r="D158" s="6"/>
      <c r="E158" s="20"/>
      <c r="F158" s="6"/>
      <c r="G158" s="6"/>
      <c r="H158" s="6"/>
      <c r="I158" s="6"/>
      <c r="J15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8" s="8" t="str">
        <f>IF(tblSales[[#This Row],[Key]]="","",IFERROR(INDEX(ตารางรวม!$W:$W,MATCH(tblSales[[#This Row],[Key]],ตารางรวม!$Z:$Z,0)),"ไม่พบสูตร"))</f>
        <v/>
      </c>
      <c r="L158" s="8" t="str">
        <f>IF(tblSales[[#This Row],[Key]]="","",IFERROR(INDEX(ตารางรวม!$V:$V,MATCH(tblSales[[#This Row],[Key]],ตารางรวม!$Z:$Z,0)),"ไม่พบสูตร"))</f>
        <v/>
      </c>
      <c r="M158" s="8" t="str">
        <f>IF(tblSales[[#This Row],[Key]]="","",IFERROR(tblSales[[#This Row],[ราคาต่อแก้ว]]*tblSales[[#This Row],[จำนวนแก้ว]],""))</f>
        <v/>
      </c>
      <c r="N158" s="8" t="str">
        <f>IF(tblSales[[#This Row],[Key]]="","",IFERROR(tblSales[[#This Row],[ต้นทุนต่อแก้ว]]*tblSales[[#This Row],[จำนวนแก้ว]],""))</f>
        <v/>
      </c>
      <c r="O158" s="8" t="str">
        <f>IF(tblSales[[#This Row],[Key]]="","",IFERROR(tblSales[[#This Row],[ยอดขาย (บาท)]]-tblSales[[#This Row],[ต้นทุนรวม (บาท)]],""))</f>
        <v/>
      </c>
      <c r="P158" s="21" t="str">
        <f>IF(tblSales[[#This Row],[Key]]="","",IFERROR(tblSales[[#This Row],[กำไร (บาท)]]/tblSales[[#This Row],[ยอดขาย (บาท)]],""))</f>
        <v/>
      </c>
      <c r="Q158" s="10" t="str">
        <f>IF(tblSales[[#This Row],[Key]]="","",IFERROR(INDEX(ตารางรวม!$D:$D,MATCH(tblSales[[#This Row],[Key]],ตารางรวม!$Z:$Z,0))*tblSales[[#This Row],[จำนวนแก้ว]],0))</f>
        <v/>
      </c>
      <c r="R158" s="10" t="str">
        <f>IF(tblSales[[#This Row],[Key]]="","",IFERROR(INDEX(ตารางรวม!$E:$E,MATCH(tblSales[[#This Row],[Key]],ตารางรวม!$Z:$Z,0))*tblSales[[#This Row],[จำนวนแก้ว]],0))</f>
        <v/>
      </c>
      <c r="S158" s="10" t="str">
        <f>IF(tblSales[[#This Row],[Key]]="","",IFERROR(INDEX(ตารางรวม!$F:$F,MATCH(tblSales[[#This Row],[Key]],ตารางรวม!$Z:$Z,0))*tblSales[[#This Row],[จำนวนแก้ว]],0))</f>
        <v/>
      </c>
      <c r="T158" s="10" t="str">
        <f>IF(tblSales[[#This Row],[Key]]="","",IFERROR(INDEX(ตารางรวม!$G:$G,MATCH(tblSales[[#This Row],[Key]],ตารางรวม!$Z:$Z,0))*tblSales[[#This Row],[จำนวนแก้ว]],0))</f>
        <v/>
      </c>
      <c r="U158" s="10" t="str">
        <f>IF(tblSales[[#This Row],[Key]]="","",IFERROR(INDEX(ตารางรวม!$H:$H,MATCH(tblSales[[#This Row],[Key]],ตารางรวม!$Z:$Z,0))*tblSales[[#This Row],[จำนวนแก้ว]],0))</f>
        <v/>
      </c>
      <c r="V158" s="10" t="str">
        <f>IF(tblSales[[#This Row],[Key]]="","",IFERROR(INDEX(ตารางรวม!$I:$I,MATCH(tblSales[[#This Row],[Key]],ตารางรวม!$Z:$Z,0))*tblSales[[#This Row],[จำนวนแก้ว]],0))</f>
        <v/>
      </c>
      <c r="W158" s="10" t="str">
        <f>IF(tblSales[[#This Row],[Key]]="","",IFERROR(INDEX(ตารางรวม!$J:$J,MATCH(tblSales[[#This Row],[Key]],ตารางรวม!$Z:$Z,0))*tblSales[[#This Row],[จำนวนแก้ว]],0))</f>
        <v/>
      </c>
      <c r="X158" s="10" t="str">
        <f>IF(tblSales[[#This Row],[Key]]="","",IFERROR(INDEX(ตารางรวม!$K:$K,MATCH(tblSales[[#This Row],[Key]],ตารางรวม!$Z:$Z,0))*tblSales[[#This Row],[จำนวนแก้ว]],0))</f>
        <v/>
      </c>
      <c r="Y158" s="10" t="str">
        <f>IF(tblSales[[#This Row],[Key]]="","",IFERROR(INDEX(ตารางรวม!$L:$L,MATCH(tblSales[[#This Row],[Key]],ตารางรวม!$Z:$Z,0))*tblSales[[#This Row],[จำนวนแก้ว]],0))</f>
        <v/>
      </c>
      <c r="Z15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8" s="10" t="str">
        <f>IF(tblSales[[#This Row],[Key]]="","",IF(tblSales[[#This Row],[ขนาด]]="16 oz",tblSales[[#This Row],[จำนวนแก้ว]],0))</f>
        <v/>
      </c>
      <c r="AI158" s="10" t="str">
        <f>IF(tblSales[[#This Row],[Key]]="","",IF(tblSales[[#This Row],[ขนาด]]="20 oz",tblSales[[#This Row],[จำนวนแก้ว]],0))</f>
        <v/>
      </c>
      <c r="AJ158" s="10" t="str">
        <f>IF(tblSales[[#This Row],[Key]]="","",IF(tblSales[[#This Row],[ขนาด]]="22 oz",tblSales[[#This Row],[จำนวนแก้ว]],0))</f>
        <v/>
      </c>
    </row>
    <row r="159" spans="1:36" x14ac:dyDescent="0.25">
      <c r="A159" s="4" t="str">
        <f>IF(tblSales[[#This Row],[วันที่]]="","","S"&amp;TEXT(tblSales[[#This Row],[วันที่]],"yymmdd")&amp;"-"&amp;TEXT(ROW()-5,"000"))</f>
        <v/>
      </c>
      <c r="B159" s="16"/>
      <c r="C159" s="6"/>
      <c r="D159" s="6"/>
      <c r="E159" s="20"/>
      <c r="F159" s="6"/>
      <c r="G159" s="6"/>
      <c r="H159" s="6"/>
      <c r="I159" s="6"/>
      <c r="J15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59" s="8" t="str">
        <f>IF(tblSales[[#This Row],[Key]]="","",IFERROR(INDEX(ตารางรวม!$W:$W,MATCH(tblSales[[#This Row],[Key]],ตารางรวม!$Z:$Z,0)),"ไม่พบสูตร"))</f>
        <v/>
      </c>
      <c r="L159" s="8" t="str">
        <f>IF(tblSales[[#This Row],[Key]]="","",IFERROR(INDEX(ตารางรวม!$V:$V,MATCH(tblSales[[#This Row],[Key]],ตารางรวม!$Z:$Z,0)),"ไม่พบสูตร"))</f>
        <v/>
      </c>
      <c r="M159" s="8" t="str">
        <f>IF(tblSales[[#This Row],[Key]]="","",IFERROR(tblSales[[#This Row],[ราคาต่อแก้ว]]*tblSales[[#This Row],[จำนวนแก้ว]],""))</f>
        <v/>
      </c>
      <c r="N159" s="8" t="str">
        <f>IF(tblSales[[#This Row],[Key]]="","",IFERROR(tblSales[[#This Row],[ต้นทุนต่อแก้ว]]*tblSales[[#This Row],[จำนวนแก้ว]],""))</f>
        <v/>
      </c>
      <c r="O159" s="8" t="str">
        <f>IF(tblSales[[#This Row],[Key]]="","",IFERROR(tblSales[[#This Row],[ยอดขาย (บาท)]]-tblSales[[#This Row],[ต้นทุนรวม (บาท)]],""))</f>
        <v/>
      </c>
      <c r="P159" s="21" t="str">
        <f>IF(tblSales[[#This Row],[Key]]="","",IFERROR(tblSales[[#This Row],[กำไร (บาท)]]/tblSales[[#This Row],[ยอดขาย (บาท)]],""))</f>
        <v/>
      </c>
      <c r="Q159" s="10" t="str">
        <f>IF(tblSales[[#This Row],[Key]]="","",IFERROR(INDEX(ตารางรวม!$D:$D,MATCH(tblSales[[#This Row],[Key]],ตารางรวม!$Z:$Z,0))*tblSales[[#This Row],[จำนวนแก้ว]],0))</f>
        <v/>
      </c>
      <c r="R159" s="10" t="str">
        <f>IF(tblSales[[#This Row],[Key]]="","",IFERROR(INDEX(ตารางรวม!$E:$E,MATCH(tblSales[[#This Row],[Key]],ตารางรวม!$Z:$Z,0))*tblSales[[#This Row],[จำนวนแก้ว]],0))</f>
        <v/>
      </c>
      <c r="S159" s="10" t="str">
        <f>IF(tblSales[[#This Row],[Key]]="","",IFERROR(INDEX(ตารางรวม!$F:$F,MATCH(tblSales[[#This Row],[Key]],ตารางรวม!$Z:$Z,0))*tblSales[[#This Row],[จำนวนแก้ว]],0))</f>
        <v/>
      </c>
      <c r="T159" s="10" t="str">
        <f>IF(tblSales[[#This Row],[Key]]="","",IFERROR(INDEX(ตารางรวม!$G:$G,MATCH(tblSales[[#This Row],[Key]],ตารางรวม!$Z:$Z,0))*tblSales[[#This Row],[จำนวนแก้ว]],0))</f>
        <v/>
      </c>
      <c r="U159" s="10" t="str">
        <f>IF(tblSales[[#This Row],[Key]]="","",IFERROR(INDEX(ตารางรวม!$H:$H,MATCH(tblSales[[#This Row],[Key]],ตารางรวม!$Z:$Z,0))*tblSales[[#This Row],[จำนวนแก้ว]],0))</f>
        <v/>
      </c>
      <c r="V159" s="10" t="str">
        <f>IF(tblSales[[#This Row],[Key]]="","",IFERROR(INDEX(ตารางรวม!$I:$I,MATCH(tblSales[[#This Row],[Key]],ตารางรวม!$Z:$Z,0))*tblSales[[#This Row],[จำนวนแก้ว]],0))</f>
        <v/>
      </c>
      <c r="W159" s="10" t="str">
        <f>IF(tblSales[[#This Row],[Key]]="","",IFERROR(INDEX(ตารางรวม!$J:$J,MATCH(tblSales[[#This Row],[Key]],ตารางรวม!$Z:$Z,0))*tblSales[[#This Row],[จำนวนแก้ว]],0))</f>
        <v/>
      </c>
      <c r="X159" s="10" t="str">
        <f>IF(tblSales[[#This Row],[Key]]="","",IFERROR(INDEX(ตารางรวม!$K:$K,MATCH(tblSales[[#This Row],[Key]],ตารางรวม!$Z:$Z,0))*tblSales[[#This Row],[จำนวนแก้ว]],0))</f>
        <v/>
      </c>
      <c r="Y159" s="10" t="str">
        <f>IF(tblSales[[#This Row],[Key]]="","",IFERROR(INDEX(ตารางรวม!$L:$L,MATCH(tblSales[[#This Row],[Key]],ตารางรวม!$Z:$Z,0))*tblSales[[#This Row],[จำนวนแก้ว]],0))</f>
        <v/>
      </c>
      <c r="Z15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5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5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5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5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5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5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5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59" s="10" t="str">
        <f>IF(tblSales[[#This Row],[Key]]="","",IF(tblSales[[#This Row],[ขนาด]]="16 oz",tblSales[[#This Row],[จำนวนแก้ว]],0))</f>
        <v/>
      </c>
      <c r="AI159" s="10" t="str">
        <f>IF(tblSales[[#This Row],[Key]]="","",IF(tblSales[[#This Row],[ขนาด]]="20 oz",tblSales[[#This Row],[จำนวนแก้ว]],0))</f>
        <v/>
      </c>
      <c r="AJ159" s="10" t="str">
        <f>IF(tblSales[[#This Row],[Key]]="","",IF(tblSales[[#This Row],[ขนาด]]="22 oz",tblSales[[#This Row],[จำนวนแก้ว]],0))</f>
        <v/>
      </c>
    </row>
    <row r="160" spans="1:36" x14ac:dyDescent="0.25">
      <c r="A160" s="4" t="str">
        <f>IF(tblSales[[#This Row],[วันที่]]="","","S"&amp;TEXT(tblSales[[#This Row],[วันที่]],"yymmdd")&amp;"-"&amp;TEXT(ROW()-5,"000"))</f>
        <v/>
      </c>
      <c r="B160" s="16"/>
      <c r="C160" s="6"/>
      <c r="D160" s="6"/>
      <c r="E160" s="20"/>
      <c r="F160" s="6"/>
      <c r="G160" s="6"/>
      <c r="H160" s="6"/>
      <c r="I160" s="6"/>
      <c r="J16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0" s="8" t="str">
        <f>IF(tblSales[[#This Row],[Key]]="","",IFERROR(INDEX(ตารางรวม!$W:$W,MATCH(tblSales[[#This Row],[Key]],ตารางรวม!$Z:$Z,0)),"ไม่พบสูตร"))</f>
        <v/>
      </c>
      <c r="L160" s="8" t="str">
        <f>IF(tblSales[[#This Row],[Key]]="","",IFERROR(INDEX(ตารางรวม!$V:$V,MATCH(tblSales[[#This Row],[Key]],ตารางรวม!$Z:$Z,0)),"ไม่พบสูตร"))</f>
        <v/>
      </c>
      <c r="M160" s="8" t="str">
        <f>IF(tblSales[[#This Row],[Key]]="","",IFERROR(tblSales[[#This Row],[ราคาต่อแก้ว]]*tblSales[[#This Row],[จำนวนแก้ว]],""))</f>
        <v/>
      </c>
      <c r="N160" s="8" t="str">
        <f>IF(tblSales[[#This Row],[Key]]="","",IFERROR(tblSales[[#This Row],[ต้นทุนต่อแก้ว]]*tblSales[[#This Row],[จำนวนแก้ว]],""))</f>
        <v/>
      </c>
      <c r="O160" s="8" t="str">
        <f>IF(tblSales[[#This Row],[Key]]="","",IFERROR(tblSales[[#This Row],[ยอดขาย (บาท)]]-tblSales[[#This Row],[ต้นทุนรวม (บาท)]],""))</f>
        <v/>
      </c>
      <c r="P160" s="21" t="str">
        <f>IF(tblSales[[#This Row],[Key]]="","",IFERROR(tblSales[[#This Row],[กำไร (บาท)]]/tblSales[[#This Row],[ยอดขาย (บาท)]],""))</f>
        <v/>
      </c>
      <c r="Q160" s="10" t="str">
        <f>IF(tblSales[[#This Row],[Key]]="","",IFERROR(INDEX(ตารางรวม!$D:$D,MATCH(tblSales[[#This Row],[Key]],ตารางรวม!$Z:$Z,0))*tblSales[[#This Row],[จำนวนแก้ว]],0))</f>
        <v/>
      </c>
      <c r="R160" s="10" t="str">
        <f>IF(tblSales[[#This Row],[Key]]="","",IFERROR(INDEX(ตารางรวม!$E:$E,MATCH(tblSales[[#This Row],[Key]],ตารางรวม!$Z:$Z,0))*tblSales[[#This Row],[จำนวนแก้ว]],0))</f>
        <v/>
      </c>
      <c r="S160" s="10" t="str">
        <f>IF(tblSales[[#This Row],[Key]]="","",IFERROR(INDEX(ตารางรวม!$F:$F,MATCH(tblSales[[#This Row],[Key]],ตารางรวม!$Z:$Z,0))*tblSales[[#This Row],[จำนวนแก้ว]],0))</f>
        <v/>
      </c>
      <c r="T160" s="10" t="str">
        <f>IF(tblSales[[#This Row],[Key]]="","",IFERROR(INDEX(ตารางรวม!$G:$G,MATCH(tblSales[[#This Row],[Key]],ตารางรวม!$Z:$Z,0))*tblSales[[#This Row],[จำนวนแก้ว]],0))</f>
        <v/>
      </c>
      <c r="U160" s="10" t="str">
        <f>IF(tblSales[[#This Row],[Key]]="","",IFERROR(INDEX(ตารางรวม!$H:$H,MATCH(tblSales[[#This Row],[Key]],ตารางรวม!$Z:$Z,0))*tblSales[[#This Row],[จำนวนแก้ว]],0))</f>
        <v/>
      </c>
      <c r="V160" s="10" t="str">
        <f>IF(tblSales[[#This Row],[Key]]="","",IFERROR(INDEX(ตารางรวม!$I:$I,MATCH(tblSales[[#This Row],[Key]],ตารางรวม!$Z:$Z,0))*tblSales[[#This Row],[จำนวนแก้ว]],0))</f>
        <v/>
      </c>
      <c r="W160" s="10" t="str">
        <f>IF(tblSales[[#This Row],[Key]]="","",IFERROR(INDEX(ตารางรวม!$J:$J,MATCH(tblSales[[#This Row],[Key]],ตารางรวม!$Z:$Z,0))*tblSales[[#This Row],[จำนวนแก้ว]],0))</f>
        <v/>
      </c>
      <c r="X160" s="10" t="str">
        <f>IF(tblSales[[#This Row],[Key]]="","",IFERROR(INDEX(ตารางรวม!$K:$K,MATCH(tblSales[[#This Row],[Key]],ตารางรวม!$Z:$Z,0))*tblSales[[#This Row],[จำนวนแก้ว]],0))</f>
        <v/>
      </c>
      <c r="Y160" s="10" t="str">
        <f>IF(tblSales[[#This Row],[Key]]="","",IFERROR(INDEX(ตารางรวม!$L:$L,MATCH(tblSales[[#This Row],[Key]],ตารางรวม!$Z:$Z,0))*tblSales[[#This Row],[จำนวนแก้ว]],0))</f>
        <v/>
      </c>
      <c r="Z16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0" s="10" t="str">
        <f>IF(tblSales[[#This Row],[Key]]="","",IF(tblSales[[#This Row],[ขนาด]]="16 oz",tblSales[[#This Row],[จำนวนแก้ว]],0))</f>
        <v/>
      </c>
      <c r="AI160" s="10" t="str">
        <f>IF(tblSales[[#This Row],[Key]]="","",IF(tblSales[[#This Row],[ขนาด]]="20 oz",tblSales[[#This Row],[จำนวนแก้ว]],0))</f>
        <v/>
      </c>
      <c r="AJ160" s="10" t="str">
        <f>IF(tblSales[[#This Row],[Key]]="","",IF(tblSales[[#This Row],[ขนาด]]="22 oz",tblSales[[#This Row],[จำนวนแก้ว]],0))</f>
        <v/>
      </c>
    </row>
    <row r="161" spans="1:36" x14ac:dyDescent="0.25">
      <c r="A161" s="4" t="str">
        <f>IF(tblSales[[#This Row],[วันที่]]="","","S"&amp;TEXT(tblSales[[#This Row],[วันที่]],"yymmdd")&amp;"-"&amp;TEXT(ROW()-5,"000"))</f>
        <v/>
      </c>
      <c r="B161" s="16"/>
      <c r="C161" s="6"/>
      <c r="D161" s="6"/>
      <c r="E161" s="20"/>
      <c r="F161" s="6"/>
      <c r="G161" s="6"/>
      <c r="H161" s="6"/>
      <c r="I161" s="6"/>
      <c r="J16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1" s="8" t="str">
        <f>IF(tblSales[[#This Row],[Key]]="","",IFERROR(INDEX(ตารางรวม!$W:$W,MATCH(tblSales[[#This Row],[Key]],ตารางรวม!$Z:$Z,0)),"ไม่พบสูตร"))</f>
        <v/>
      </c>
      <c r="L161" s="8" t="str">
        <f>IF(tblSales[[#This Row],[Key]]="","",IFERROR(INDEX(ตารางรวม!$V:$V,MATCH(tblSales[[#This Row],[Key]],ตารางรวม!$Z:$Z,0)),"ไม่พบสูตร"))</f>
        <v/>
      </c>
      <c r="M161" s="8" t="str">
        <f>IF(tblSales[[#This Row],[Key]]="","",IFERROR(tblSales[[#This Row],[ราคาต่อแก้ว]]*tblSales[[#This Row],[จำนวนแก้ว]],""))</f>
        <v/>
      </c>
      <c r="N161" s="8" t="str">
        <f>IF(tblSales[[#This Row],[Key]]="","",IFERROR(tblSales[[#This Row],[ต้นทุนต่อแก้ว]]*tblSales[[#This Row],[จำนวนแก้ว]],""))</f>
        <v/>
      </c>
      <c r="O161" s="8" t="str">
        <f>IF(tblSales[[#This Row],[Key]]="","",IFERROR(tblSales[[#This Row],[ยอดขาย (บาท)]]-tblSales[[#This Row],[ต้นทุนรวม (บาท)]],""))</f>
        <v/>
      </c>
      <c r="P161" s="21" t="str">
        <f>IF(tblSales[[#This Row],[Key]]="","",IFERROR(tblSales[[#This Row],[กำไร (บาท)]]/tblSales[[#This Row],[ยอดขาย (บาท)]],""))</f>
        <v/>
      </c>
      <c r="Q161" s="10" t="str">
        <f>IF(tblSales[[#This Row],[Key]]="","",IFERROR(INDEX(ตารางรวม!$D:$D,MATCH(tblSales[[#This Row],[Key]],ตารางรวม!$Z:$Z,0))*tblSales[[#This Row],[จำนวนแก้ว]],0))</f>
        <v/>
      </c>
      <c r="R161" s="10" t="str">
        <f>IF(tblSales[[#This Row],[Key]]="","",IFERROR(INDEX(ตารางรวม!$E:$E,MATCH(tblSales[[#This Row],[Key]],ตารางรวม!$Z:$Z,0))*tblSales[[#This Row],[จำนวนแก้ว]],0))</f>
        <v/>
      </c>
      <c r="S161" s="10" t="str">
        <f>IF(tblSales[[#This Row],[Key]]="","",IFERROR(INDEX(ตารางรวม!$F:$F,MATCH(tblSales[[#This Row],[Key]],ตารางรวม!$Z:$Z,0))*tblSales[[#This Row],[จำนวนแก้ว]],0))</f>
        <v/>
      </c>
      <c r="T161" s="10" t="str">
        <f>IF(tblSales[[#This Row],[Key]]="","",IFERROR(INDEX(ตารางรวม!$G:$G,MATCH(tblSales[[#This Row],[Key]],ตารางรวม!$Z:$Z,0))*tblSales[[#This Row],[จำนวนแก้ว]],0))</f>
        <v/>
      </c>
      <c r="U161" s="10" t="str">
        <f>IF(tblSales[[#This Row],[Key]]="","",IFERROR(INDEX(ตารางรวม!$H:$H,MATCH(tblSales[[#This Row],[Key]],ตารางรวม!$Z:$Z,0))*tblSales[[#This Row],[จำนวนแก้ว]],0))</f>
        <v/>
      </c>
      <c r="V161" s="10" t="str">
        <f>IF(tblSales[[#This Row],[Key]]="","",IFERROR(INDEX(ตารางรวม!$I:$I,MATCH(tblSales[[#This Row],[Key]],ตารางรวม!$Z:$Z,0))*tblSales[[#This Row],[จำนวนแก้ว]],0))</f>
        <v/>
      </c>
      <c r="W161" s="10" t="str">
        <f>IF(tblSales[[#This Row],[Key]]="","",IFERROR(INDEX(ตารางรวม!$J:$J,MATCH(tblSales[[#This Row],[Key]],ตารางรวม!$Z:$Z,0))*tblSales[[#This Row],[จำนวนแก้ว]],0))</f>
        <v/>
      </c>
      <c r="X161" s="10" t="str">
        <f>IF(tblSales[[#This Row],[Key]]="","",IFERROR(INDEX(ตารางรวม!$K:$K,MATCH(tblSales[[#This Row],[Key]],ตารางรวม!$Z:$Z,0))*tblSales[[#This Row],[จำนวนแก้ว]],0))</f>
        <v/>
      </c>
      <c r="Y161" s="10" t="str">
        <f>IF(tblSales[[#This Row],[Key]]="","",IFERROR(INDEX(ตารางรวม!$L:$L,MATCH(tblSales[[#This Row],[Key]],ตารางรวม!$Z:$Z,0))*tblSales[[#This Row],[จำนวนแก้ว]],0))</f>
        <v/>
      </c>
      <c r="Z16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1" s="10" t="str">
        <f>IF(tblSales[[#This Row],[Key]]="","",IF(tblSales[[#This Row],[ขนาด]]="16 oz",tblSales[[#This Row],[จำนวนแก้ว]],0))</f>
        <v/>
      </c>
      <c r="AI161" s="10" t="str">
        <f>IF(tblSales[[#This Row],[Key]]="","",IF(tblSales[[#This Row],[ขนาด]]="20 oz",tblSales[[#This Row],[จำนวนแก้ว]],0))</f>
        <v/>
      </c>
      <c r="AJ161" s="10" t="str">
        <f>IF(tblSales[[#This Row],[Key]]="","",IF(tblSales[[#This Row],[ขนาด]]="22 oz",tblSales[[#This Row],[จำนวนแก้ว]],0))</f>
        <v/>
      </c>
    </row>
    <row r="162" spans="1:36" x14ac:dyDescent="0.25">
      <c r="A162" s="4" t="str">
        <f>IF(tblSales[[#This Row],[วันที่]]="","","S"&amp;TEXT(tblSales[[#This Row],[วันที่]],"yymmdd")&amp;"-"&amp;TEXT(ROW()-5,"000"))</f>
        <v/>
      </c>
      <c r="B162" s="16"/>
      <c r="C162" s="6"/>
      <c r="D162" s="6"/>
      <c r="E162" s="20"/>
      <c r="F162" s="6"/>
      <c r="G162" s="6"/>
      <c r="H162" s="6"/>
      <c r="I162" s="6"/>
      <c r="J16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2" s="8" t="str">
        <f>IF(tblSales[[#This Row],[Key]]="","",IFERROR(INDEX(ตารางรวม!$W:$W,MATCH(tblSales[[#This Row],[Key]],ตารางรวม!$Z:$Z,0)),"ไม่พบสูตร"))</f>
        <v/>
      </c>
      <c r="L162" s="8" t="str">
        <f>IF(tblSales[[#This Row],[Key]]="","",IFERROR(INDEX(ตารางรวม!$V:$V,MATCH(tblSales[[#This Row],[Key]],ตารางรวม!$Z:$Z,0)),"ไม่พบสูตร"))</f>
        <v/>
      </c>
      <c r="M162" s="8" t="str">
        <f>IF(tblSales[[#This Row],[Key]]="","",IFERROR(tblSales[[#This Row],[ราคาต่อแก้ว]]*tblSales[[#This Row],[จำนวนแก้ว]],""))</f>
        <v/>
      </c>
      <c r="N162" s="8" t="str">
        <f>IF(tblSales[[#This Row],[Key]]="","",IFERROR(tblSales[[#This Row],[ต้นทุนต่อแก้ว]]*tblSales[[#This Row],[จำนวนแก้ว]],""))</f>
        <v/>
      </c>
      <c r="O162" s="8" t="str">
        <f>IF(tblSales[[#This Row],[Key]]="","",IFERROR(tblSales[[#This Row],[ยอดขาย (บาท)]]-tblSales[[#This Row],[ต้นทุนรวม (บาท)]],""))</f>
        <v/>
      </c>
      <c r="P162" s="21" t="str">
        <f>IF(tblSales[[#This Row],[Key]]="","",IFERROR(tblSales[[#This Row],[กำไร (บาท)]]/tblSales[[#This Row],[ยอดขาย (บาท)]],""))</f>
        <v/>
      </c>
      <c r="Q162" s="10" t="str">
        <f>IF(tblSales[[#This Row],[Key]]="","",IFERROR(INDEX(ตารางรวม!$D:$D,MATCH(tblSales[[#This Row],[Key]],ตารางรวม!$Z:$Z,0))*tblSales[[#This Row],[จำนวนแก้ว]],0))</f>
        <v/>
      </c>
      <c r="R162" s="10" t="str">
        <f>IF(tblSales[[#This Row],[Key]]="","",IFERROR(INDEX(ตารางรวม!$E:$E,MATCH(tblSales[[#This Row],[Key]],ตารางรวม!$Z:$Z,0))*tblSales[[#This Row],[จำนวนแก้ว]],0))</f>
        <v/>
      </c>
      <c r="S162" s="10" t="str">
        <f>IF(tblSales[[#This Row],[Key]]="","",IFERROR(INDEX(ตารางรวม!$F:$F,MATCH(tblSales[[#This Row],[Key]],ตารางรวม!$Z:$Z,0))*tblSales[[#This Row],[จำนวนแก้ว]],0))</f>
        <v/>
      </c>
      <c r="T162" s="10" t="str">
        <f>IF(tblSales[[#This Row],[Key]]="","",IFERROR(INDEX(ตารางรวม!$G:$G,MATCH(tblSales[[#This Row],[Key]],ตารางรวม!$Z:$Z,0))*tblSales[[#This Row],[จำนวนแก้ว]],0))</f>
        <v/>
      </c>
      <c r="U162" s="10" t="str">
        <f>IF(tblSales[[#This Row],[Key]]="","",IFERROR(INDEX(ตารางรวม!$H:$H,MATCH(tblSales[[#This Row],[Key]],ตารางรวม!$Z:$Z,0))*tblSales[[#This Row],[จำนวนแก้ว]],0))</f>
        <v/>
      </c>
      <c r="V162" s="10" t="str">
        <f>IF(tblSales[[#This Row],[Key]]="","",IFERROR(INDEX(ตารางรวม!$I:$I,MATCH(tblSales[[#This Row],[Key]],ตารางรวม!$Z:$Z,0))*tblSales[[#This Row],[จำนวนแก้ว]],0))</f>
        <v/>
      </c>
      <c r="W162" s="10" t="str">
        <f>IF(tblSales[[#This Row],[Key]]="","",IFERROR(INDEX(ตารางรวม!$J:$J,MATCH(tblSales[[#This Row],[Key]],ตารางรวม!$Z:$Z,0))*tblSales[[#This Row],[จำนวนแก้ว]],0))</f>
        <v/>
      </c>
      <c r="X162" s="10" t="str">
        <f>IF(tblSales[[#This Row],[Key]]="","",IFERROR(INDEX(ตารางรวม!$K:$K,MATCH(tblSales[[#This Row],[Key]],ตารางรวม!$Z:$Z,0))*tblSales[[#This Row],[จำนวนแก้ว]],0))</f>
        <v/>
      </c>
      <c r="Y162" s="10" t="str">
        <f>IF(tblSales[[#This Row],[Key]]="","",IFERROR(INDEX(ตารางรวม!$L:$L,MATCH(tblSales[[#This Row],[Key]],ตารางรวม!$Z:$Z,0))*tblSales[[#This Row],[จำนวนแก้ว]],0))</f>
        <v/>
      </c>
      <c r="Z16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2" s="10" t="str">
        <f>IF(tblSales[[#This Row],[Key]]="","",IF(tblSales[[#This Row],[ขนาด]]="16 oz",tblSales[[#This Row],[จำนวนแก้ว]],0))</f>
        <v/>
      </c>
      <c r="AI162" s="10" t="str">
        <f>IF(tblSales[[#This Row],[Key]]="","",IF(tblSales[[#This Row],[ขนาด]]="20 oz",tblSales[[#This Row],[จำนวนแก้ว]],0))</f>
        <v/>
      </c>
      <c r="AJ162" s="10" t="str">
        <f>IF(tblSales[[#This Row],[Key]]="","",IF(tblSales[[#This Row],[ขนาด]]="22 oz",tblSales[[#This Row],[จำนวนแก้ว]],0))</f>
        <v/>
      </c>
    </row>
    <row r="163" spans="1:36" x14ac:dyDescent="0.25">
      <c r="A163" s="4" t="str">
        <f>IF(tblSales[[#This Row],[วันที่]]="","","S"&amp;TEXT(tblSales[[#This Row],[วันที่]],"yymmdd")&amp;"-"&amp;TEXT(ROW()-5,"000"))</f>
        <v/>
      </c>
      <c r="B163" s="16"/>
      <c r="C163" s="6"/>
      <c r="D163" s="6"/>
      <c r="E163" s="20"/>
      <c r="F163" s="6"/>
      <c r="G163" s="6"/>
      <c r="H163" s="6"/>
      <c r="I163" s="6"/>
      <c r="J16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3" s="8" t="str">
        <f>IF(tblSales[[#This Row],[Key]]="","",IFERROR(INDEX(ตารางรวม!$W:$W,MATCH(tblSales[[#This Row],[Key]],ตารางรวม!$Z:$Z,0)),"ไม่พบสูตร"))</f>
        <v/>
      </c>
      <c r="L163" s="8" t="str">
        <f>IF(tblSales[[#This Row],[Key]]="","",IFERROR(INDEX(ตารางรวม!$V:$V,MATCH(tblSales[[#This Row],[Key]],ตารางรวม!$Z:$Z,0)),"ไม่พบสูตร"))</f>
        <v/>
      </c>
      <c r="M163" s="8" t="str">
        <f>IF(tblSales[[#This Row],[Key]]="","",IFERROR(tblSales[[#This Row],[ราคาต่อแก้ว]]*tblSales[[#This Row],[จำนวนแก้ว]],""))</f>
        <v/>
      </c>
      <c r="N163" s="8" t="str">
        <f>IF(tblSales[[#This Row],[Key]]="","",IFERROR(tblSales[[#This Row],[ต้นทุนต่อแก้ว]]*tblSales[[#This Row],[จำนวนแก้ว]],""))</f>
        <v/>
      </c>
      <c r="O163" s="8" t="str">
        <f>IF(tblSales[[#This Row],[Key]]="","",IFERROR(tblSales[[#This Row],[ยอดขาย (บาท)]]-tblSales[[#This Row],[ต้นทุนรวม (บาท)]],""))</f>
        <v/>
      </c>
      <c r="P163" s="21" t="str">
        <f>IF(tblSales[[#This Row],[Key]]="","",IFERROR(tblSales[[#This Row],[กำไร (บาท)]]/tblSales[[#This Row],[ยอดขาย (บาท)]],""))</f>
        <v/>
      </c>
      <c r="Q163" s="10" t="str">
        <f>IF(tblSales[[#This Row],[Key]]="","",IFERROR(INDEX(ตารางรวม!$D:$D,MATCH(tblSales[[#This Row],[Key]],ตารางรวม!$Z:$Z,0))*tblSales[[#This Row],[จำนวนแก้ว]],0))</f>
        <v/>
      </c>
      <c r="R163" s="10" t="str">
        <f>IF(tblSales[[#This Row],[Key]]="","",IFERROR(INDEX(ตารางรวม!$E:$E,MATCH(tblSales[[#This Row],[Key]],ตารางรวม!$Z:$Z,0))*tblSales[[#This Row],[จำนวนแก้ว]],0))</f>
        <v/>
      </c>
      <c r="S163" s="10" t="str">
        <f>IF(tblSales[[#This Row],[Key]]="","",IFERROR(INDEX(ตารางรวม!$F:$F,MATCH(tblSales[[#This Row],[Key]],ตารางรวม!$Z:$Z,0))*tblSales[[#This Row],[จำนวนแก้ว]],0))</f>
        <v/>
      </c>
      <c r="T163" s="10" t="str">
        <f>IF(tblSales[[#This Row],[Key]]="","",IFERROR(INDEX(ตารางรวม!$G:$G,MATCH(tblSales[[#This Row],[Key]],ตารางรวม!$Z:$Z,0))*tblSales[[#This Row],[จำนวนแก้ว]],0))</f>
        <v/>
      </c>
      <c r="U163" s="10" t="str">
        <f>IF(tblSales[[#This Row],[Key]]="","",IFERROR(INDEX(ตารางรวม!$H:$H,MATCH(tblSales[[#This Row],[Key]],ตารางรวม!$Z:$Z,0))*tblSales[[#This Row],[จำนวนแก้ว]],0))</f>
        <v/>
      </c>
      <c r="V163" s="10" t="str">
        <f>IF(tblSales[[#This Row],[Key]]="","",IFERROR(INDEX(ตารางรวม!$I:$I,MATCH(tblSales[[#This Row],[Key]],ตารางรวม!$Z:$Z,0))*tblSales[[#This Row],[จำนวนแก้ว]],0))</f>
        <v/>
      </c>
      <c r="W163" s="10" t="str">
        <f>IF(tblSales[[#This Row],[Key]]="","",IFERROR(INDEX(ตารางรวม!$J:$J,MATCH(tblSales[[#This Row],[Key]],ตารางรวม!$Z:$Z,0))*tblSales[[#This Row],[จำนวนแก้ว]],0))</f>
        <v/>
      </c>
      <c r="X163" s="10" t="str">
        <f>IF(tblSales[[#This Row],[Key]]="","",IFERROR(INDEX(ตารางรวม!$K:$K,MATCH(tblSales[[#This Row],[Key]],ตารางรวม!$Z:$Z,0))*tblSales[[#This Row],[จำนวนแก้ว]],0))</f>
        <v/>
      </c>
      <c r="Y163" s="10" t="str">
        <f>IF(tblSales[[#This Row],[Key]]="","",IFERROR(INDEX(ตารางรวม!$L:$L,MATCH(tblSales[[#This Row],[Key]],ตารางรวม!$Z:$Z,0))*tblSales[[#This Row],[จำนวนแก้ว]],0))</f>
        <v/>
      </c>
      <c r="Z16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3" s="10" t="str">
        <f>IF(tblSales[[#This Row],[Key]]="","",IF(tblSales[[#This Row],[ขนาด]]="16 oz",tblSales[[#This Row],[จำนวนแก้ว]],0))</f>
        <v/>
      </c>
      <c r="AI163" s="10" t="str">
        <f>IF(tblSales[[#This Row],[Key]]="","",IF(tblSales[[#This Row],[ขนาด]]="20 oz",tblSales[[#This Row],[จำนวนแก้ว]],0))</f>
        <v/>
      </c>
      <c r="AJ163" s="10" t="str">
        <f>IF(tblSales[[#This Row],[Key]]="","",IF(tblSales[[#This Row],[ขนาด]]="22 oz",tblSales[[#This Row],[จำนวนแก้ว]],0))</f>
        <v/>
      </c>
    </row>
    <row r="164" spans="1:36" x14ac:dyDescent="0.25">
      <c r="A164" s="4" t="str">
        <f>IF(tblSales[[#This Row],[วันที่]]="","","S"&amp;TEXT(tblSales[[#This Row],[วันที่]],"yymmdd")&amp;"-"&amp;TEXT(ROW()-5,"000"))</f>
        <v/>
      </c>
      <c r="B164" s="16"/>
      <c r="C164" s="6"/>
      <c r="D164" s="6"/>
      <c r="E164" s="20"/>
      <c r="F164" s="6"/>
      <c r="G164" s="6"/>
      <c r="H164" s="6"/>
      <c r="I164" s="6"/>
      <c r="J16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4" s="8" t="str">
        <f>IF(tblSales[[#This Row],[Key]]="","",IFERROR(INDEX(ตารางรวม!$W:$W,MATCH(tblSales[[#This Row],[Key]],ตารางรวม!$Z:$Z,0)),"ไม่พบสูตร"))</f>
        <v/>
      </c>
      <c r="L164" s="8" t="str">
        <f>IF(tblSales[[#This Row],[Key]]="","",IFERROR(INDEX(ตารางรวม!$V:$V,MATCH(tblSales[[#This Row],[Key]],ตารางรวม!$Z:$Z,0)),"ไม่พบสูตร"))</f>
        <v/>
      </c>
      <c r="M164" s="8" t="str">
        <f>IF(tblSales[[#This Row],[Key]]="","",IFERROR(tblSales[[#This Row],[ราคาต่อแก้ว]]*tblSales[[#This Row],[จำนวนแก้ว]],""))</f>
        <v/>
      </c>
      <c r="N164" s="8" t="str">
        <f>IF(tblSales[[#This Row],[Key]]="","",IFERROR(tblSales[[#This Row],[ต้นทุนต่อแก้ว]]*tblSales[[#This Row],[จำนวนแก้ว]],""))</f>
        <v/>
      </c>
      <c r="O164" s="8" t="str">
        <f>IF(tblSales[[#This Row],[Key]]="","",IFERROR(tblSales[[#This Row],[ยอดขาย (บาท)]]-tblSales[[#This Row],[ต้นทุนรวม (บาท)]],""))</f>
        <v/>
      </c>
      <c r="P164" s="21" t="str">
        <f>IF(tblSales[[#This Row],[Key]]="","",IFERROR(tblSales[[#This Row],[กำไร (บาท)]]/tblSales[[#This Row],[ยอดขาย (บาท)]],""))</f>
        <v/>
      </c>
      <c r="Q164" s="10" t="str">
        <f>IF(tblSales[[#This Row],[Key]]="","",IFERROR(INDEX(ตารางรวม!$D:$D,MATCH(tblSales[[#This Row],[Key]],ตารางรวม!$Z:$Z,0))*tblSales[[#This Row],[จำนวนแก้ว]],0))</f>
        <v/>
      </c>
      <c r="R164" s="10" t="str">
        <f>IF(tblSales[[#This Row],[Key]]="","",IFERROR(INDEX(ตารางรวม!$E:$E,MATCH(tblSales[[#This Row],[Key]],ตารางรวม!$Z:$Z,0))*tblSales[[#This Row],[จำนวนแก้ว]],0))</f>
        <v/>
      </c>
      <c r="S164" s="10" t="str">
        <f>IF(tblSales[[#This Row],[Key]]="","",IFERROR(INDEX(ตารางรวม!$F:$F,MATCH(tblSales[[#This Row],[Key]],ตารางรวม!$Z:$Z,0))*tblSales[[#This Row],[จำนวนแก้ว]],0))</f>
        <v/>
      </c>
      <c r="T164" s="10" t="str">
        <f>IF(tblSales[[#This Row],[Key]]="","",IFERROR(INDEX(ตารางรวม!$G:$G,MATCH(tblSales[[#This Row],[Key]],ตารางรวม!$Z:$Z,0))*tblSales[[#This Row],[จำนวนแก้ว]],0))</f>
        <v/>
      </c>
      <c r="U164" s="10" t="str">
        <f>IF(tblSales[[#This Row],[Key]]="","",IFERROR(INDEX(ตารางรวม!$H:$H,MATCH(tblSales[[#This Row],[Key]],ตารางรวม!$Z:$Z,0))*tblSales[[#This Row],[จำนวนแก้ว]],0))</f>
        <v/>
      </c>
      <c r="V164" s="10" t="str">
        <f>IF(tblSales[[#This Row],[Key]]="","",IFERROR(INDEX(ตารางรวม!$I:$I,MATCH(tblSales[[#This Row],[Key]],ตารางรวม!$Z:$Z,0))*tblSales[[#This Row],[จำนวนแก้ว]],0))</f>
        <v/>
      </c>
      <c r="W164" s="10" t="str">
        <f>IF(tblSales[[#This Row],[Key]]="","",IFERROR(INDEX(ตารางรวม!$J:$J,MATCH(tblSales[[#This Row],[Key]],ตารางรวม!$Z:$Z,0))*tblSales[[#This Row],[จำนวนแก้ว]],0))</f>
        <v/>
      </c>
      <c r="X164" s="10" t="str">
        <f>IF(tblSales[[#This Row],[Key]]="","",IFERROR(INDEX(ตารางรวม!$K:$K,MATCH(tblSales[[#This Row],[Key]],ตารางรวม!$Z:$Z,0))*tblSales[[#This Row],[จำนวนแก้ว]],0))</f>
        <v/>
      </c>
      <c r="Y164" s="10" t="str">
        <f>IF(tblSales[[#This Row],[Key]]="","",IFERROR(INDEX(ตารางรวม!$L:$L,MATCH(tblSales[[#This Row],[Key]],ตารางรวม!$Z:$Z,0))*tblSales[[#This Row],[จำนวนแก้ว]],0))</f>
        <v/>
      </c>
      <c r="Z16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4" s="10" t="str">
        <f>IF(tblSales[[#This Row],[Key]]="","",IF(tblSales[[#This Row],[ขนาด]]="16 oz",tblSales[[#This Row],[จำนวนแก้ว]],0))</f>
        <v/>
      </c>
      <c r="AI164" s="10" t="str">
        <f>IF(tblSales[[#This Row],[Key]]="","",IF(tblSales[[#This Row],[ขนาด]]="20 oz",tblSales[[#This Row],[จำนวนแก้ว]],0))</f>
        <v/>
      </c>
      <c r="AJ164" s="10" t="str">
        <f>IF(tblSales[[#This Row],[Key]]="","",IF(tblSales[[#This Row],[ขนาด]]="22 oz",tblSales[[#This Row],[จำนวนแก้ว]],0))</f>
        <v/>
      </c>
    </row>
    <row r="165" spans="1:36" x14ac:dyDescent="0.25">
      <c r="A165" s="4" t="str">
        <f>IF(tblSales[[#This Row],[วันที่]]="","","S"&amp;TEXT(tblSales[[#This Row],[วันที่]],"yymmdd")&amp;"-"&amp;TEXT(ROW()-5,"000"))</f>
        <v/>
      </c>
      <c r="B165" s="16"/>
      <c r="C165" s="6"/>
      <c r="D165" s="6"/>
      <c r="E165" s="20"/>
      <c r="F165" s="6"/>
      <c r="G165" s="6"/>
      <c r="H165" s="6"/>
      <c r="I165" s="6"/>
      <c r="J16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5" s="8" t="str">
        <f>IF(tblSales[[#This Row],[Key]]="","",IFERROR(INDEX(ตารางรวม!$W:$W,MATCH(tblSales[[#This Row],[Key]],ตารางรวม!$Z:$Z,0)),"ไม่พบสูตร"))</f>
        <v/>
      </c>
      <c r="L165" s="8" t="str">
        <f>IF(tblSales[[#This Row],[Key]]="","",IFERROR(INDEX(ตารางรวม!$V:$V,MATCH(tblSales[[#This Row],[Key]],ตารางรวม!$Z:$Z,0)),"ไม่พบสูตร"))</f>
        <v/>
      </c>
      <c r="M165" s="8" t="str">
        <f>IF(tblSales[[#This Row],[Key]]="","",IFERROR(tblSales[[#This Row],[ราคาต่อแก้ว]]*tblSales[[#This Row],[จำนวนแก้ว]],""))</f>
        <v/>
      </c>
      <c r="N165" s="8" t="str">
        <f>IF(tblSales[[#This Row],[Key]]="","",IFERROR(tblSales[[#This Row],[ต้นทุนต่อแก้ว]]*tblSales[[#This Row],[จำนวนแก้ว]],""))</f>
        <v/>
      </c>
      <c r="O165" s="8" t="str">
        <f>IF(tblSales[[#This Row],[Key]]="","",IFERROR(tblSales[[#This Row],[ยอดขาย (บาท)]]-tblSales[[#This Row],[ต้นทุนรวม (บาท)]],""))</f>
        <v/>
      </c>
      <c r="P165" s="21" t="str">
        <f>IF(tblSales[[#This Row],[Key]]="","",IFERROR(tblSales[[#This Row],[กำไร (บาท)]]/tblSales[[#This Row],[ยอดขาย (บาท)]],""))</f>
        <v/>
      </c>
      <c r="Q165" s="10" t="str">
        <f>IF(tblSales[[#This Row],[Key]]="","",IFERROR(INDEX(ตารางรวม!$D:$D,MATCH(tblSales[[#This Row],[Key]],ตารางรวม!$Z:$Z,0))*tblSales[[#This Row],[จำนวนแก้ว]],0))</f>
        <v/>
      </c>
      <c r="R165" s="10" t="str">
        <f>IF(tblSales[[#This Row],[Key]]="","",IFERROR(INDEX(ตารางรวม!$E:$E,MATCH(tblSales[[#This Row],[Key]],ตารางรวม!$Z:$Z,0))*tblSales[[#This Row],[จำนวนแก้ว]],0))</f>
        <v/>
      </c>
      <c r="S165" s="10" t="str">
        <f>IF(tblSales[[#This Row],[Key]]="","",IFERROR(INDEX(ตารางรวม!$F:$F,MATCH(tblSales[[#This Row],[Key]],ตารางรวม!$Z:$Z,0))*tblSales[[#This Row],[จำนวนแก้ว]],0))</f>
        <v/>
      </c>
      <c r="T165" s="10" t="str">
        <f>IF(tblSales[[#This Row],[Key]]="","",IFERROR(INDEX(ตารางรวม!$G:$G,MATCH(tblSales[[#This Row],[Key]],ตารางรวม!$Z:$Z,0))*tblSales[[#This Row],[จำนวนแก้ว]],0))</f>
        <v/>
      </c>
      <c r="U165" s="10" t="str">
        <f>IF(tblSales[[#This Row],[Key]]="","",IFERROR(INDEX(ตารางรวม!$H:$H,MATCH(tblSales[[#This Row],[Key]],ตารางรวม!$Z:$Z,0))*tblSales[[#This Row],[จำนวนแก้ว]],0))</f>
        <v/>
      </c>
      <c r="V165" s="10" t="str">
        <f>IF(tblSales[[#This Row],[Key]]="","",IFERROR(INDEX(ตารางรวม!$I:$I,MATCH(tblSales[[#This Row],[Key]],ตารางรวม!$Z:$Z,0))*tblSales[[#This Row],[จำนวนแก้ว]],0))</f>
        <v/>
      </c>
      <c r="W165" s="10" t="str">
        <f>IF(tblSales[[#This Row],[Key]]="","",IFERROR(INDEX(ตารางรวม!$J:$J,MATCH(tblSales[[#This Row],[Key]],ตารางรวม!$Z:$Z,0))*tblSales[[#This Row],[จำนวนแก้ว]],0))</f>
        <v/>
      </c>
      <c r="X165" s="10" t="str">
        <f>IF(tblSales[[#This Row],[Key]]="","",IFERROR(INDEX(ตารางรวม!$K:$K,MATCH(tblSales[[#This Row],[Key]],ตารางรวม!$Z:$Z,0))*tblSales[[#This Row],[จำนวนแก้ว]],0))</f>
        <v/>
      </c>
      <c r="Y165" s="10" t="str">
        <f>IF(tblSales[[#This Row],[Key]]="","",IFERROR(INDEX(ตารางรวม!$L:$L,MATCH(tblSales[[#This Row],[Key]],ตารางรวม!$Z:$Z,0))*tblSales[[#This Row],[จำนวนแก้ว]],0))</f>
        <v/>
      </c>
      <c r="Z16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5" s="10" t="str">
        <f>IF(tblSales[[#This Row],[Key]]="","",IF(tblSales[[#This Row],[ขนาด]]="16 oz",tblSales[[#This Row],[จำนวนแก้ว]],0))</f>
        <v/>
      </c>
      <c r="AI165" s="10" t="str">
        <f>IF(tblSales[[#This Row],[Key]]="","",IF(tblSales[[#This Row],[ขนาด]]="20 oz",tblSales[[#This Row],[จำนวนแก้ว]],0))</f>
        <v/>
      </c>
      <c r="AJ165" s="10" t="str">
        <f>IF(tblSales[[#This Row],[Key]]="","",IF(tblSales[[#This Row],[ขนาด]]="22 oz",tblSales[[#This Row],[จำนวนแก้ว]],0))</f>
        <v/>
      </c>
    </row>
    <row r="166" spans="1:36" x14ac:dyDescent="0.25">
      <c r="A166" s="4" t="str">
        <f>IF(tblSales[[#This Row],[วันที่]]="","","S"&amp;TEXT(tblSales[[#This Row],[วันที่]],"yymmdd")&amp;"-"&amp;TEXT(ROW()-5,"000"))</f>
        <v/>
      </c>
      <c r="B166" s="16"/>
      <c r="C166" s="6"/>
      <c r="D166" s="6"/>
      <c r="E166" s="20"/>
      <c r="F166" s="6"/>
      <c r="G166" s="6"/>
      <c r="H166" s="6"/>
      <c r="I166" s="6"/>
      <c r="J16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6" s="8" t="str">
        <f>IF(tblSales[[#This Row],[Key]]="","",IFERROR(INDEX(ตารางรวม!$W:$W,MATCH(tblSales[[#This Row],[Key]],ตารางรวม!$Z:$Z,0)),"ไม่พบสูตร"))</f>
        <v/>
      </c>
      <c r="L166" s="8" t="str">
        <f>IF(tblSales[[#This Row],[Key]]="","",IFERROR(INDEX(ตารางรวม!$V:$V,MATCH(tblSales[[#This Row],[Key]],ตารางรวม!$Z:$Z,0)),"ไม่พบสูตร"))</f>
        <v/>
      </c>
      <c r="M166" s="8" t="str">
        <f>IF(tblSales[[#This Row],[Key]]="","",IFERROR(tblSales[[#This Row],[ราคาต่อแก้ว]]*tblSales[[#This Row],[จำนวนแก้ว]],""))</f>
        <v/>
      </c>
      <c r="N166" s="8" t="str">
        <f>IF(tblSales[[#This Row],[Key]]="","",IFERROR(tblSales[[#This Row],[ต้นทุนต่อแก้ว]]*tblSales[[#This Row],[จำนวนแก้ว]],""))</f>
        <v/>
      </c>
      <c r="O166" s="8" t="str">
        <f>IF(tblSales[[#This Row],[Key]]="","",IFERROR(tblSales[[#This Row],[ยอดขาย (บาท)]]-tblSales[[#This Row],[ต้นทุนรวม (บาท)]],""))</f>
        <v/>
      </c>
      <c r="P166" s="21" t="str">
        <f>IF(tblSales[[#This Row],[Key]]="","",IFERROR(tblSales[[#This Row],[กำไร (บาท)]]/tblSales[[#This Row],[ยอดขาย (บาท)]],""))</f>
        <v/>
      </c>
      <c r="Q166" s="10" t="str">
        <f>IF(tblSales[[#This Row],[Key]]="","",IFERROR(INDEX(ตารางรวม!$D:$D,MATCH(tblSales[[#This Row],[Key]],ตารางรวม!$Z:$Z,0))*tblSales[[#This Row],[จำนวนแก้ว]],0))</f>
        <v/>
      </c>
      <c r="R166" s="10" t="str">
        <f>IF(tblSales[[#This Row],[Key]]="","",IFERROR(INDEX(ตารางรวม!$E:$E,MATCH(tblSales[[#This Row],[Key]],ตารางรวม!$Z:$Z,0))*tblSales[[#This Row],[จำนวนแก้ว]],0))</f>
        <v/>
      </c>
      <c r="S166" s="10" t="str">
        <f>IF(tblSales[[#This Row],[Key]]="","",IFERROR(INDEX(ตารางรวม!$F:$F,MATCH(tblSales[[#This Row],[Key]],ตารางรวม!$Z:$Z,0))*tblSales[[#This Row],[จำนวนแก้ว]],0))</f>
        <v/>
      </c>
      <c r="T166" s="10" t="str">
        <f>IF(tblSales[[#This Row],[Key]]="","",IFERROR(INDEX(ตารางรวม!$G:$G,MATCH(tblSales[[#This Row],[Key]],ตารางรวม!$Z:$Z,0))*tblSales[[#This Row],[จำนวนแก้ว]],0))</f>
        <v/>
      </c>
      <c r="U166" s="10" t="str">
        <f>IF(tblSales[[#This Row],[Key]]="","",IFERROR(INDEX(ตารางรวม!$H:$H,MATCH(tblSales[[#This Row],[Key]],ตารางรวม!$Z:$Z,0))*tblSales[[#This Row],[จำนวนแก้ว]],0))</f>
        <v/>
      </c>
      <c r="V166" s="10" t="str">
        <f>IF(tblSales[[#This Row],[Key]]="","",IFERROR(INDEX(ตารางรวม!$I:$I,MATCH(tblSales[[#This Row],[Key]],ตารางรวม!$Z:$Z,0))*tblSales[[#This Row],[จำนวนแก้ว]],0))</f>
        <v/>
      </c>
      <c r="W166" s="10" t="str">
        <f>IF(tblSales[[#This Row],[Key]]="","",IFERROR(INDEX(ตารางรวม!$J:$J,MATCH(tblSales[[#This Row],[Key]],ตารางรวม!$Z:$Z,0))*tblSales[[#This Row],[จำนวนแก้ว]],0))</f>
        <v/>
      </c>
      <c r="X166" s="10" t="str">
        <f>IF(tblSales[[#This Row],[Key]]="","",IFERROR(INDEX(ตารางรวม!$K:$K,MATCH(tblSales[[#This Row],[Key]],ตารางรวม!$Z:$Z,0))*tblSales[[#This Row],[จำนวนแก้ว]],0))</f>
        <v/>
      </c>
      <c r="Y166" s="10" t="str">
        <f>IF(tblSales[[#This Row],[Key]]="","",IFERROR(INDEX(ตารางรวม!$L:$L,MATCH(tblSales[[#This Row],[Key]],ตารางรวม!$Z:$Z,0))*tblSales[[#This Row],[จำนวนแก้ว]],0))</f>
        <v/>
      </c>
      <c r="Z16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6" s="10" t="str">
        <f>IF(tblSales[[#This Row],[Key]]="","",IF(tblSales[[#This Row],[ขนาด]]="16 oz",tblSales[[#This Row],[จำนวนแก้ว]],0))</f>
        <v/>
      </c>
      <c r="AI166" s="10" t="str">
        <f>IF(tblSales[[#This Row],[Key]]="","",IF(tblSales[[#This Row],[ขนาด]]="20 oz",tblSales[[#This Row],[จำนวนแก้ว]],0))</f>
        <v/>
      </c>
      <c r="AJ166" s="10" t="str">
        <f>IF(tblSales[[#This Row],[Key]]="","",IF(tblSales[[#This Row],[ขนาด]]="22 oz",tblSales[[#This Row],[จำนวนแก้ว]],0))</f>
        <v/>
      </c>
    </row>
    <row r="167" spans="1:36" x14ac:dyDescent="0.25">
      <c r="A167" s="4" t="str">
        <f>IF(tblSales[[#This Row],[วันที่]]="","","S"&amp;TEXT(tblSales[[#This Row],[วันที่]],"yymmdd")&amp;"-"&amp;TEXT(ROW()-5,"000"))</f>
        <v/>
      </c>
      <c r="B167" s="16"/>
      <c r="C167" s="6"/>
      <c r="D167" s="6"/>
      <c r="E167" s="20"/>
      <c r="F167" s="6"/>
      <c r="G167" s="6"/>
      <c r="H167" s="6"/>
      <c r="I167" s="6"/>
      <c r="J16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7" s="8" t="str">
        <f>IF(tblSales[[#This Row],[Key]]="","",IFERROR(INDEX(ตารางรวม!$W:$W,MATCH(tblSales[[#This Row],[Key]],ตารางรวม!$Z:$Z,0)),"ไม่พบสูตร"))</f>
        <v/>
      </c>
      <c r="L167" s="8" t="str">
        <f>IF(tblSales[[#This Row],[Key]]="","",IFERROR(INDEX(ตารางรวม!$V:$V,MATCH(tblSales[[#This Row],[Key]],ตารางรวม!$Z:$Z,0)),"ไม่พบสูตร"))</f>
        <v/>
      </c>
      <c r="M167" s="8" t="str">
        <f>IF(tblSales[[#This Row],[Key]]="","",IFERROR(tblSales[[#This Row],[ราคาต่อแก้ว]]*tblSales[[#This Row],[จำนวนแก้ว]],""))</f>
        <v/>
      </c>
      <c r="N167" s="8" t="str">
        <f>IF(tblSales[[#This Row],[Key]]="","",IFERROR(tblSales[[#This Row],[ต้นทุนต่อแก้ว]]*tblSales[[#This Row],[จำนวนแก้ว]],""))</f>
        <v/>
      </c>
      <c r="O167" s="8" t="str">
        <f>IF(tblSales[[#This Row],[Key]]="","",IFERROR(tblSales[[#This Row],[ยอดขาย (บาท)]]-tblSales[[#This Row],[ต้นทุนรวม (บาท)]],""))</f>
        <v/>
      </c>
      <c r="P167" s="21" t="str">
        <f>IF(tblSales[[#This Row],[Key]]="","",IFERROR(tblSales[[#This Row],[กำไร (บาท)]]/tblSales[[#This Row],[ยอดขาย (บาท)]],""))</f>
        <v/>
      </c>
      <c r="Q167" s="10" t="str">
        <f>IF(tblSales[[#This Row],[Key]]="","",IFERROR(INDEX(ตารางรวม!$D:$D,MATCH(tblSales[[#This Row],[Key]],ตารางรวม!$Z:$Z,0))*tblSales[[#This Row],[จำนวนแก้ว]],0))</f>
        <v/>
      </c>
      <c r="R167" s="10" t="str">
        <f>IF(tblSales[[#This Row],[Key]]="","",IFERROR(INDEX(ตารางรวม!$E:$E,MATCH(tblSales[[#This Row],[Key]],ตารางรวม!$Z:$Z,0))*tblSales[[#This Row],[จำนวนแก้ว]],0))</f>
        <v/>
      </c>
      <c r="S167" s="10" t="str">
        <f>IF(tblSales[[#This Row],[Key]]="","",IFERROR(INDEX(ตารางรวม!$F:$F,MATCH(tblSales[[#This Row],[Key]],ตารางรวม!$Z:$Z,0))*tblSales[[#This Row],[จำนวนแก้ว]],0))</f>
        <v/>
      </c>
      <c r="T167" s="10" t="str">
        <f>IF(tblSales[[#This Row],[Key]]="","",IFERROR(INDEX(ตารางรวม!$G:$G,MATCH(tblSales[[#This Row],[Key]],ตารางรวม!$Z:$Z,0))*tblSales[[#This Row],[จำนวนแก้ว]],0))</f>
        <v/>
      </c>
      <c r="U167" s="10" t="str">
        <f>IF(tblSales[[#This Row],[Key]]="","",IFERROR(INDEX(ตารางรวม!$H:$H,MATCH(tblSales[[#This Row],[Key]],ตารางรวม!$Z:$Z,0))*tblSales[[#This Row],[จำนวนแก้ว]],0))</f>
        <v/>
      </c>
      <c r="V167" s="10" t="str">
        <f>IF(tblSales[[#This Row],[Key]]="","",IFERROR(INDEX(ตารางรวม!$I:$I,MATCH(tblSales[[#This Row],[Key]],ตารางรวม!$Z:$Z,0))*tblSales[[#This Row],[จำนวนแก้ว]],0))</f>
        <v/>
      </c>
      <c r="W167" s="10" t="str">
        <f>IF(tblSales[[#This Row],[Key]]="","",IFERROR(INDEX(ตารางรวม!$J:$J,MATCH(tblSales[[#This Row],[Key]],ตารางรวม!$Z:$Z,0))*tblSales[[#This Row],[จำนวนแก้ว]],0))</f>
        <v/>
      </c>
      <c r="X167" s="10" t="str">
        <f>IF(tblSales[[#This Row],[Key]]="","",IFERROR(INDEX(ตารางรวม!$K:$K,MATCH(tblSales[[#This Row],[Key]],ตารางรวม!$Z:$Z,0))*tblSales[[#This Row],[จำนวนแก้ว]],0))</f>
        <v/>
      </c>
      <c r="Y167" s="10" t="str">
        <f>IF(tblSales[[#This Row],[Key]]="","",IFERROR(INDEX(ตารางรวม!$L:$L,MATCH(tblSales[[#This Row],[Key]],ตารางรวม!$Z:$Z,0))*tblSales[[#This Row],[จำนวนแก้ว]],0))</f>
        <v/>
      </c>
      <c r="Z16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7" s="10" t="str">
        <f>IF(tblSales[[#This Row],[Key]]="","",IF(tblSales[[#This Row],[ขนาด]]="16 oz",tblSales[[#This Row],[จำนวนแก้ว]],0))</f>
        <v/>
      </c>
      <c r="AI167" s="10" t="str">
        <f>IF(tblSales[[#This Row],[Key]]="","",IF(tblSales[[#This Row],[ขนาด]]="20 oz",tblSales[[#This Row],[จำนวนแก้ว]],0))</f>
        <v/>
      </c>
      <c r="AJ167" s="10" t="str">
        <f>IF(tblSales[[#This Row],[Key]]="","",IF(tblSales[[#This Row],[ขนาด]]="22 oz",tblSales[[#This Row],[จำนวนแก้ว]],0))</f>
        <v/>
      </c>
    </row>
    <row r="168" spans="1:36" x14ac:dyDescent="0.25">
      <c r="A168" s="4" t="str">
        <f>IF(tblSales[[#This Row],[วันที่]]="","","S"&amp;TEXT(tblSales[[#This Row],[วันที่]],"yymmdd")&amp;"-"&amp;TEXT(ROW()-5,"000"))</f>
        <v/>
      </c>
      <c r="B168" s="16"/>
      <c r="C168" s="6"/>
      <c r="D168" s="6"/>
      <c r="E168" s="20"/>
      <c r="F168" s="6"/>
      <c r="G168" s="6"/>
      <c r="H168" s="6"/>
      <c r="I168" s="6"/>
      <c r="J16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8" s="8" t="str">
        <f>IF(tblSales[[#This Row],[Key]]="","",IFERROR(INDEX(ตารางรวม!$W:$W,MATCH(tblSales[[#This Row],[Key]],ตารางรวม!$Z:$Z,0)),"ไม่พบสูตร"))</f>
        <v/>
      </c>
      <c r="L168" s="8" t="str">
        <f>IF(tblSales[[#This Row],[Key]]="","",IFERROR(INDEX(ตารางรวม!$V:$V,MATCH(tblSales[[#This Row],[Key]],ตารางรวม!$Z:$Z,0)),"ไม่พบสูตร"))</f>
        <v/>
      </c>
      <c r="M168" s="8" t="str">
        <f>IF(tblSales[[#This Row],[Key]]="","",IFERROR(tblSales[[#This Row],[ราคาต่อแก้ว]]*tblSales[[#This Row],[จำนวนแก้ว]],""))</f>
        <v/>
      </c>
      <c r="N168" s="8" t="str">
        <f>IF(tblSales[[#This Row],[Key]]="","",IFERROR(tblSales[[#This Row],[ต้นทุนต่อแก้ว]]*tblSales[[#This Row],[จำนวนแก้ว]],""))</f>
        <v/>
      </c>
      <c r="O168" s="8" t="str">
        <f>IF(tblSales[[#This Row],[Key]]="","",IFERROR(tblSales[[#This Row],[ยอดขาย (บาท)]]-tblSales[[#This Row],[ต้นทุนรวม (บาท)]],""))</f>
        <v/>
      </c>
      <c r="P168" s="21" t="str">
        <f>IF(tblSales[[#This Row],[Key]]="","",IFERROR(tblSales[[#This Row],[กำไร (บาท)]]/tblSales[[#This Row],[ยอดขาย (บาท)]],""))</f>
        <v/>
      </c>
      <c r="Q168" s="10" t="str">
        <f>IF(tblSales[[#This Row],[Key]]="","",IFERROR(INDEX(ตารางรวม!$D:$D,MATCH(tblSales[[#This Row],[Key]],ตารางรวม!$Z:$Z,0))*tblSales[[#This Row],[จำนวนแก้ว]],0))</f>
        <v/>
      </c>
      <c r="R168" s="10" t="str">
        <f>IF(tblSales[[#This Row],[Key]]="","",IFERROR(INDEX(ตารางรวม!$E:$E,MATCH(tblSales[[#This Row],[Key]],ตารางรวม!$Z:$Z,0))*tblSales[[#This Row],[จำนวนแก้ว]],0))</f>
        <v/>
      </c>
      <c r="S168" s="10" t="str">
        <f>IF(tblSales[[#This Row],[Key]]="","",IFERROR(INDEX(ตารางรวม!$F:$F,MATCH(tblSales[[#This Row],[Key]],ตารางรวม!$Z:$Z,0))*tblSales[[#This Row],[จำนวนแก้ว]],0))</f>
        <v/>
      </c>
      <c r="T168" s="10" t="str">
        <f>IF(tblSales[[#This Row],[Key]]="","",IFERROR(INDEX(ตารางรวม!$G:$G,MATCH(tblSales[[#This Row],[Key]],ตารางรวม!$Z:$Z,0))*tblSales[[#This Row],[จำนวนแก้ว]],0))</f>
        <v/>
      </c>
      <c r="U168" s="10" t="str">
        <f>IF(tblSales[[#This Row],[Key]]="","",IFERROR(INDEX(ตารางรวม!$H:$H,MATCH(tblSales[[#This Row],[Key]],ตารางรวม!$Z:$Z,0))*tblSales[[#This Row],[จำนวนแก้ว]],0))</f>
        <v/>
      </c>
      <c r="V168" s="10" t="str">
        <f>IF(tblSales[[#This Row],[Key]]="","",IFERROR(INDEX(ตารางรวม!$I:$I,MATCH(tblSales[[#This Row],[Key]],ตารางรวม!$Z:$Z,0))*tblSales[[#This Row],[จำนวนแก้ว]],0))</f>
        <v/>
      </c>
      <c r="W168" s="10" t="str">
        <f>IF(tblSales[[#This Row],[Key]]="","",IFERROR(INDEX(ตารางรวม!$J:$J,MATCH(tblSales[[#This Row],[Key]],ตารางรวม!$Z:$Z,0))*tblSales[[#This Row],[จำนวนแก้ว]],0))</f>
        <v/>
      </c>
      <c r="X168" s="10" t="str">
        <f>IF(tblSales[[#This Row],[Key]]="","",IFERROR(INDEX(ตารางรวม!$K:$K,MATCH(tblSales[[#This Row],[Key]],ตารางรวม!$Z:$Z,0))*tblSales[[#This Row],[จำนวนแก้ว]],0))</f>
        <v/>
      </c>
      <c r="Y168" s="10" t="str">
        <f>IF(tblSales[[#This Row],[Key]]="","",IFERROR(INDEX(ตารางรวม!$L:$L,MATCH(tblSales[[#This Row],[Key]],ตารางรวม!$Z:$Z,0))*tblSales[[#This Row],[จำนวนแก้ว]],0))</f>
        <v/>
      </c>
      <c r="Z16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8" s="10" t="str">
        <f>IF(tblSales[[#This Row],[Key]]="","",IF(tblSales[[#This Row],[ขนาด]]="16 oz",tblSales[[#This Row],[จำนวนแก้ว]],0))</f>
        <v/>
      </c>
      <c r="AI168" s="10" t="str">
        <f>IF(tblSales[[#This Row],[Key]]="","",IF(tblSales[[#This Row],[ขนาด]]="20 oz",tblSales[[#This Row],[จำนวนแก้ว]],0))</f>
        <v/>
      </c>
      <c r="AJ168" s="10" t="str">
        <f>IF(tblSales[[#This Row],[Key]]="","",IF(tblSales[[#This Row],[ขนาด]]="22 oz",tblSales[[#This Row],[จำนวนแก้ว]],0))</f>
        <v/>
      </c>
    </row>
    <row r="169" spans="1:36" x14ac:dyDescent="0.25">
      <c r="A169" s="4" t="str">
        <f>IF(tblSales[[#This Row],[วันที่]]="","","S"&amp;TEXT(tblSales[[#This Row],[วันที่]],"yymmdd")&amp;"-"&amp;TEXT(ROW()-5,"000"))</f>
        <v/>
      </c>
      <c r="B169" s="16"/>
      <c r="C169" s="6"/>
      <c r="D169" s="6"/>
      <c r="E169" s="20"/>
      <c r="F169" s="6"/>
      <c r="G169" s="6"/>
      <c r="H169" s="6"/>
      <c r="I169" s="6"/>
      <c r="J16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69" s="8" t="str">
        <f>IF(tblSales[[#This Row],[Key]]="","",IFERROR(INDEX(ตารางรวม!$W:$W,MATCH(tblSales[[#This Row],[Key]],ตารางรวม!$Z:$Z,0)),"ไม่พบสูตร"))</f>
        <v/>
      </c>
      <c r="L169" s="8" t="str">
        <f>IF(tblSales[[#This Row],[Key]]="","",IFERROR(INDEX(ตารางรวม!$V:$V,MATCH(tblSales[[#This Row],[Key]],ตารางรวม!$Z:$Z,0)),"ไม่พบสูตร"))</f>
        <v/>
      </c>
      <c r="M169" s="8" t="str">
        <f>IF(tblSales[[#This Row],[Key]]="","",IFERROR(tblSales[[#This Row],[ราคาต่อแก้ว]]*tblSales[[#This Row],[จำนวนแก้ว]],""))</f>
        <v/>
      </c>
      <c r="N169" s="8" t="str">
        <f>IF(tblSales[[#This Row],[Key]]="","",IFERROR(tblSales[[#This Row],[ต้นทุนต่อแก้ว]]*tblSales[[#This Row],[จำนวนแก้ว]],""))</f>
        <v/>
      </c>
      <c r="O169" s="8" t="str">
        <f>IF(tblSales[[#This Row],[Key]]="","",IFERROR(tblSales[[#This Row],[ยอดขาย (บาท)]]-tblSales[[#This Row],[ต้นทุนรวม (บาท)]],""))</f>
        <v/>
      </c>
      <c r="P169" s="21" t="str">
        <f>IF(tblSales[[#This Row],[Key]]="","",IFERROR(tblSales[[#This Row],[กำไร (บาท)]]/tblSales[[#This Row],[ยอดขาย (บาท)]],""))</f>
        <v/>
      </c>
      <c r="Q169" s="10" t="str">
        <f>IF(tblSales[[#This Row],[Key]]="","",IFERROR(INDEX(ตารางรวม!$D:$D,MATCH(tblSales[[#This Row],[Key]],ตารางรวม!$Z:$Z,0))*tblSales[[#This Row],[จำนวนแก้ว]],0))</f>
        <v/>
      </c>
      <c r="R169" s="10" t="str">
        <f>IF(tblSales[[#This Row],[Key]]="","",IFERROR(INDEX(ตารางรวม!$E:$E,MATCH(tblSales[[#This Row],[Key]],ตารางรวม!$Z:$Z,0))*tblSales[[#This Row],[จำนวนแก้ว]],0))</f>
        <v/>
      </c>
      <c r="S169" s="10" t="str">
        <f>IF(tblSales[[#This Row],[Key]]="","",IFERROR(INDEX(ตารางรวม!$F:$F,MATCH(tblSales[[#This Row],[Key]],ตารางรวม!$Z:$Z,0))*tblSales[[#This Row],[จำนวนแก้ว]],0))</f>
        <v/>
      </c>
      <c r="T169" s="10" t="str">
        <f>IF(tblSales[[#This Row],[Key]]="","",IFERROR(INDEX(ตารางรวม!$G:$G,MATCH(tblSales[[#This Row],[Key]],ตารางรวม!$Z:$Z,0))*tblSales[[#This Row],[จำนวนแก้ว]],0))</f>
        <v/>
      </c>
      <c r="U169" s="10" t="str">
        <f>IF(tblSales[[#This Row],[Key]]="","",IFERROR(INDEX(ตารางรวม!$H:$H,MATCH(tblSales[[#This Row],[Key]],ตารางรวม!$Z:$Z,0))*tblSales[[#This Row],[จำนวนแก้ว]],0))</f>
        <v/>
      </c>
      <c r="V169" s="10" t="str">
        <f>IF(tblSales[[#This Row],[Key]]="","",IFERROR(INDEX(ตารางรวม!$I:$I,MATCH(tblSales[[#This Row],[Key]],ตารางรวม!$Z:$Z,0))*tblSales[[#This Row],[จำนวนแก้ว]],0))</f>
        <v/>
      </c>
      <c r="W169" s="10" t="str">
        <f>IF(tblSales[[#This Row],[Key]]="","",IFERROR(INDEX(ตารางรวม!$J:$J,MATCH(tblSales[[#This Row],[Key]],ตารางรวม!$Z:$Z,0))*tblSales[[#This Row],[จำนวนแก้ว]],0))</f>
        <v/>
      </c>
      <c r="X169" s="10" t="str">
        <f>IF(tblSales[[#This Row],[Key]]="","",IFERROR(INDEX(ตารางรวม!$K:$K,MATCH(tblSales[[#This Row],[Key]],ตารางรวม!$Z:$Z,0))*tblSales[[#This Row],[จำนวนแก้ว]],0))</f>
        <v/>
      </c>
      <c r="Y169" s="10" t="str">
        <f>IF(tblSales[[#This Row],[Key]]="","",IFERROR(INDEX(ตารางรวม!$L:$L,MATCH(tblSales[[#This Row],[Key]],ตารางรวม!$Z:$Z,0))*tblSales[[#This Row],[จำนวนแก้ว]],0))</f>
        <v/>
      </c>
      <c r="Z16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6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6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6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6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6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6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6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69" s="10" t="str">
        <f>IF(tblSales[[#This Row],[Key]]="","",IF(tblSales[[#This Row],[ขนาด]]="16 oz",tblSales[[#This Row],[จำนวนแก้ว]],0))</f>
        <v/>
      </c>
      <c r="AI169" s="10" t="str">
        <f>IF(tblSales[[#This Row],[Key]]="","",IF(tblSales[[#This Row],[ขนาด]]="20 oz",tblSales[[#This Row],[จำนวนแก้ว]],0))</f>
        <v/>
      </c>
      <c r="AJ169" s="10" t="str">
        <f>IF(tblSales[[#This Row],[Key]]="","",IF(tblSales[[#This Row],[ขนาด]]="22 oz",tblSales[[#This Row],[จำนวนแก้ว]],0))</f>
        <v/>
      </c>
    </row>
    <row r="170" spans="1:36" x14ac:dyDescent="0.25">
      <c r="A170" s="4" t="str">
        <f>IF(tblSales[[#This Row],[วันที่]]="","","S"&amp;TEXT(tblSales[[#This Row],[วันที่]],"yymmdd")&amp;"-"&amp;TEXT(ROW()-5,"000"))</f>
        <v/>
      </c>
      <c r="B170" s="16"/>
      <c r="C170" s="6"/>
      <c r="D170" s="6"/>
      <c r="E170" s="20"/>
      <c r="F170" s="6"/>
      <c r="G170" s="6"/>
      <c r="H170" s="6"/>
      <c r="I170" s="6"/>
      <c r="J17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0" s="8" t="str">
        <f>IF(tblSales[[#This Row],[Key]]="","",IFERROR(INDEX(ตารางรวม!$W:$W,MATCH(tblSales[[#This Row],[Key]],ตารางรวม!$Z:$Z,0)),"ไม่พบสูตร"))</f>
        <v/>
      </c>
      <c r="L170" s="8" t="str">
        <f>IF(tblSales[[#This Row],[Key]]="","",IFERROR(INDEX(ตารางรวม!$V:$V,MATCH(tblSales[[#This Row],[Key]],ตารางรวม!$Z:$Z,0)),"ไม่พบสูตร"))</f>
        <v/>
      </c>
      <c r="M170" s="8" t="str">
        <f>IF(tblSales[[#This Row],[Key]]="","",IFERROR(tblSales[[#This Row],[ราคาต่อแก้ว]]*tblSales[[#This Row],[จำนวนแก้ว]],""))</f>
        <v/>
      </c>
      <c r="N170" s="8" t="str">
        <f>IF(tblSales[[#This Row],[Key]]="","",IFERROR(tblSales[[#This Row],[ต้นทุนต่อแก้ว]]*tblSales[[#This Row],[จำนวนแก้ว]],""))</f>
        <v/>
      </c>
      <c r="O170" s="8" t="str">
        <f>IF(tblSales[[#This Row],[Key]]="","",IFERROR(tblSales[[#This Row],[ยอดขาย (บาท)]]-tblSales[[#This Row],[ต้นทุนรวม (บาท)]],""))</f>
        <v/>
      </c>
      <c r="P170" s="21" t="str">
        <f>IF(tblSales[[#This Row],[Key]]="","",IFERROR(tblSales[[#This Row],[กำไร (บาท)]]/tblSales[[#This Row],[ยอดขาย (บาท)]],""))</f>
        <v/>
      </c>
      <c r="Q170" s="10" t="str">
        <f>IF(tblSales[[#This Row],[Key]]="","",IFERROR(INDEX(ตารางรวม!$D:$D,MATCH(tblSales[[#This Row],[Key]],ตารางรวม!$Z:$Z,0))*tblSales[[#This Row],[จำนวนแก้ว]],0))</f>
        <v/>
      </c>
      <c r="R170" s="10" t="str">
        <f>IF(tblSales[[#This Row],[Key]]="","",IFERROR(INDEX(ตารางรวม!$E:$E,MATCH(tblSales[[#This Row],[Key]],ตารางรวม!$Z:$Z,0))*tblSales[[#This Row],[จำนวนแก้ว]],0))</f>
        <v/>
      </c>
      <c r="S170" s="10" t="str">
        <f>IF(tblSales[[#This Row],[Key]]="","",IFERROR(INDEX(ตารางรวม!$F:$F,MATCH(tblSales[[#This Row],[Key]],ตารางรวม!$Z:$Z,0))*tblSales[[#This Row],[จำนวนแก้ว]],0))</f>
        <v/>
      </c>
      <c r="T170" s="10" t="str">
        <f>IF(tblSales[[#This Row],[Key]]="","",IFERROR(INDEX(ตารางรวม!$G:$G,MATCH(tblSales[[#This Row],[Key]],ตารางรวม!$Z:$Z,0))*tblSales[[#This Row],[จำนวนแก้ว]],0))</f>
        <v/>
      </c>
      <c r="U170" s="10" t="str">
        <f>IF(tblSales[[#This Row],[Key]]="","",IFERROR(INDEX(ตารางรวม!$H:$H,MATCH(tblSales[[#This Row],[Key]],ตารางรวม!$Z:$Z,0))*tblSales[[#This Row],[จำนวนแก้ว]],0))</f>
        <v/>
      </c>
      <c r="V170" s="10" t="str">
        <f>IF(tblSales[[#This Row],[Key]]="","",IFERROR(INDEX(ตารางรวม!$I:$I,MATCH(tblSales[[#This Row],[Key]],ตารางรวม!$Z:$Z,0))*tblSales[[#This Row],[จำนวนแก้ว]],0))</f>
        <v/>
      </c>
      <c r="W170" s="10" t="str">
        <f>IF(tblSales[[#This Row],[Key]]="","",IFERROR(INDEX(ตารางรวม!$J:$J,MATCH(tblSales[[#This Row],[Key]],ตารางรวม!$Z:$Z,0))*tblSales[[#This Row],[จำนวนแก้ว]],0))</f>
        <v/>
      </c>
      <c r="X170" s="10" t="str">
        <f>IF(tblSales[[#This Row],[Key]]="","",IFERROR(INDEX(ตารางรวม!$K:$K,MATCH(tblSales[[#This Row],[Key]],ตารางรวม!$Z:$Z,0))*tblSales[[#This Row],[จำนวนแก้ว]],0))</f>
        <v/>
      </c>
      <c r="Y170" s="10" t="str">
        <f>IF(tblSales[[#This Row],[Key]]="","",IFERROR(INDEX(ตารางรวม!$L:$L,MATCH(tblSales[[#This Row],[Key]],ตารางรวม!$Z:$Z,0))*tblSales[[#This Row],[จำนวนแก้ว]],0))</f>
        <v/>
      </c>
      <c r="Z17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0" s="10" t="str">
        <f>IF(tblSales[[#This Row],[Key]]="","",IF(tblSales[[#This Row],[ขนาด]]="16 oz",tblSales[[#This Row],[จำนวนแก้ว]],0))</f>
        <v/>
      </c>
      <c r="AI170" s="10" t="str">
        <f>IF(tblSales[[#This Row],[Key]]="","",IF(tblSales[[#This Row],[ขนาด]]="20 oz",tblSales[[#This Row],[จำนวนแก้ว]],0))</f>
        <v/>
      </c>
      <c r="AJ170" s="10" t="str">
        <f>IF(tblSales[[#This Row],[Key]]="","",IF(tblSales[[#This Row],[ขนาด]]="22 oz",tblSales[[#This Row],[จำนวนแก้ว]],0))</f>
        <v/>
      </c>
    </row>
    <row r="171" spans="1:36" x14ac:dyDescent="0.25">
      <c r="A171" s="4" t="str">
        <f>IF(tblSales[[#This Row],[วันที่]]="","","S"&amp;TEXT(tblSales[[#This Row],[วันที่]],"yymmdd")&amp;"-"&amp;TEXT(ROW()-5,"000"))</f>
        <v/>
      </c>
      <c r="B171" s="16"/>
      <c r="C171" s="6"/>
      <c r="D171" s="6"/>
      <c r="E171" s="20"/>
      <c r="F171" s="6"/>
      <c r="G171" s="6"/>
      <c r="H171" s="6"/>
      <c r="I171" s="6"/>
      <c r="J17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1" s="8" t="str">
        <f>IF(tblSales[[#This Row],[Key]]="","",IFERROR(INDEX(ตารางรวม!$W:$W,MATCH(tblSales[[#This Row],[Key]],ตารางรวม!$Z:$Z,0)),"ไม่พบสูตร"))</f>
        <v/>
      </c>
      <c r="L171" s="8" t="str">
        <f>IF(tblSales[[#This Row],[Key]]="","",IFERROR(INDEX(ตารางรวม!$V:$V,MATCH(tblSales[[#This Row],[Key]],ตารางรวม!$Z:$Z,0)),"ไม่พบสูตร"))</f>
        <v/>
      </c>
      <c r="M171" s="8" t="str">
        <f>IF(tblSales[[#This Row],[Key]]="","",IFERROR(tblSales[[#This Row],[ราคาต่อแก้ว]]*tblSales[[#This Row],[จำนวนแก้ว]],""))</f>
        <v/>
      </c>
      <c r="N171" s="8" t="str">
        <f>IF(tblSales[[#This Row],[Key]]="","",IFERROR(tblSales[[#This Row],[ต้นทุนต่อแก้ว]]*tblSales[[#This Row],[จำนวนแก้ว]],""))</f>
        <v/>
      </c>
      <c r="O171" s="8" t="str">
        <f>IF(tblSales[[#This Row],[Key]]="","",IFERROR(tblSales[[#This Row],[ยอดขาย (บาท)]]-tblSales[[#This Row],[ต้นทุนรวม (บาท)]],""))</f>
        <v/>
      </c>
      <c r="P171" s="21" t="str">
        <f>IF(tblSales[[#This Row],[Key]]="","",IFERROR(tblSales[[#This Row],[กำไร (บาท)]]/tblSales[[#This Row],[ยอดขาย (บาท)]],""))</f>
        <v/>
      </c>
      <c r="Q171" s="10" t="str">
        <f>IF(tblSales[[#This Row],[Key]]="","",IFERROR(INDEX(ตารางรวม!$D:$D,MATCH(tblSales[[#This Row],[Key]],ตารางรวม!$Z:$Z,0))*tblSales[[#This Row],[จำนวนแก้ว]],0))</f>
        <v/>
      </c>
      <c r="R171" s="10" t="str">
        <f>IF(tblSales[[#This Row],[Key]]="","",IFERROR(INDEX(ตารางรวม!$E:$E,MATCH(tblSales[[#This Row],[Key]],ตารางรวม!$Z:$Z,0))*tblSales[[#This Row],[จำนวนแก้ว]],0))</f>
        <v/>
      </c>
      <c r="S171" s="10" t="str">
        <f>IF(tblSales[[#This Row],[Key]]="","",IFERROR(INDEX(ตารางรวม!$F:$F,MATCH(tblSales[[#This Row],[Key]],ตารางรวม!$Z:$Z,0))*tblSales[[#This Row],[จำนวนแก้ว]],0))</f>
        <v/>
      </c>
      <c r="T171" s="10" t="str">
        <f>IF(tblSales[[#This Row],[Key]]="","",IFERROR(INDEX(ตารางรวม!$G:$G,MATCH(tblSales[[#This Row],[Key]],ตารางรวม!$Z:$Z,0))*tblSales[[#This Row],[จำนวนแก้ว]],0))</f>
        <v/>
      </c>
      <c r="U171" s="10" t="str">
        <f>IF(tblSales[[#This Row],[Key]]="","",IFERROR(INDEX(ตารางรวม!$H:$H,MATCH(tblSales[[#This Row],[Key]],ตารางรวม!$Z:$Z,0))*tblSales[[#This Row],[จำนวนแก้ว]],0))</f>
        <v/>
      </c>
      <c r="V171" s="10" t="str">
        <f>IF(tblSales[[#This Row],[Key]]="","",IFERROR(INDEX(ตารางรวม!$I:$I,MATCH(tblSales[[#This Row],[Key]],ตารางรวม!$Z:$Z,0))*tblSales[[#This Row],[จำนวนแก้ว]],0))</f>
        <v/>
      </c>
      <c r="W171" s="10" t="str">
        <f>IF(tblSales[[#This Row],[Key]]="","",IFERROR(INDEX(ตารางรวม!$J:$J,MATCH(tblSales[[#This Row],[Key]],ตารางรวม!$Z:$Z,0))*tblSales[[#This Row],[จำนวนแก้ว]],0))</f>
        <v/>
      </c>
      <c r="X171" s="10" t="str">
        <f>IF(tblSales[[#This Row],[Key]]="","",IFERROR(INDEX(ตารางรวม!$K:$K,MATCH(tblSales[[#This Row],[Key]],ตารางรวม!$Z:$Z,0))*tblSales[[#This Row],[จำนวนแก้ว]],0))</f>
        <v/>
      </c>
      <c r="Y171" s="10" t="str">
        <f>IF(tblSales[[#This Row],[Key]]="","",IFERROR(INDEX(ตารางรวม!$L:$L,MATCH(tblSales[[#This Row],[Key]],ตารางรวม!$Z:$Z,0))*tblSales[[#This Row],[จำนวนแก้ว]],0))</f>
        <v/>
      </c>
      <c r="Z17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1" s="10" t="str">
        <f>IF(tblSales[[#This Row],[Key]]="","",IF(tblSales[[#This Row],[ขนาด]]="16 oz",tblSales[[#This Row],[จำนวนแก้ว]],0))</f>
        <v/>
      </c>
      <c r="AI171" s="10" t="str">
        <f>IF(tblSales[[#This Row],[Key]]="","",IF(tblSales[[#This Row],[ขนาด]]="20 oz",tblSales[[#This Row],[จำนวนแก้ว]],0))</f>
        <v/>
      </c>
      <c r="AJ171" s="10" t="str">
        <f>IF(tblSales[[#This Row],[Key]]="","",IF(tblSales[[#This Row],[ขนาด]]="22 oz",tblSales[[#This Row],[จำนวนแก้ว]],0))</f>
        <v/>
      </c>
    </row>
    <row r="172" spans="1:36" x14ac:dyDescent="0.25">
      <c r="A172" s="4" t="str">
        <f>IF(tblSales[[#This Row],[วันที่]]="","","S"&amp;TEXT(tblSales[[#This Row],[วันที่]],"yymmdd")&amp;"-"&amp;TEXT(ROW()-5,"000"))</f>
        <v/>
      </c>
      <c r="B172" s="16"/>
      <c r="C172" s="6"/>
      <c r="D172" s="6"/>
      <c r="E172" s="20"/>
      <c r="F172" s="6"/>
      <c r="G172" s="6"/>
      <c r="H172" s="6"/>
      <c r="I172" s="6"/>
      <c r="J17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2" s="8" t="str">
        <f>IF(tblSales[[#This Row],[Key]]="","",IFERROR(INDEX(ตารางรวม!$W:$W,MATCH(tblSales[[#This Row],[Key]],ตารางรวม!$Z:$Z,0)),"ไม่พบสูตร"))</f>
        <v/>
      </c>
      <c r="L172" s="8" t="str">
        <f>IF(tblSales[[#This Row],[Key]]="","",IFERROR(INDEX(ตารางรวม!$V:$V,MATCH(tblSales[[#This Row],[Key]],ตารางรวม!$Z:$Z,0)),"ไม่พบสูตร"))</f>
        <v/>
      </c>
      <c r="M172" s="8" t="str">
        <f>IF(tblSales[[#This Row],[Key]]="","",IFERROR(tblSales[[#This Row],[ราคาต่อแก้ว]]*tblSales[[#This Row],[จำนวนแก้ว]],""))</f>
        <v/>
      </c>
      <c r="N172" s="8" t="str">
        <f>IF(tblSales[[#This Row],[Key]]="","",IFERROR(tblSales[[#This Row],[ต้นทุนต่อแก้ว]]*tblSales[[#This Row],[จำนวนแก้ว]],""))</f>
        <v/>
      </c>
      <c r="O172" s="8" t="str">
        <f>IF(tblSales[[#This Row],[Key]]="","",IFERROR(tblSales[[#This Row],[ยอดขาย (บาท)]]-tblSales[[#This Row],[ต้นทุนรวม (บาท)]],""))</f>
        <v/>
      </c>
      <c r="P172" s="21" t="str">
        <f>IF(tblSales[[#This Row],[Key]]="","",IFERROR(tblSales[[#This Row],[กำไร (บาท)]]/tblSales[[#This Row],[ยอดขาย (บาท)]],""))</f>
        <v/>
      </c>
      <c r="Q172" s="10" t="str">
        <f>IF(tblSales[[#This Row],[Key]]="","",IFERROR(INDEX(ตารางรวม!$D:$D,MATCH(tblSales[[#This Row],[Key]],ตารางรวม!$Z:$Z,0))*tblSales[[#This Row],[จำนวนแก้ว]],0))</f>
        <v/>
      </c>
      <c r="R172" s="10" t="str">
        <f>IF(tblSales[[#This Row],[Key]]="","",IFERROR(INDEX(ตารางรวม!$E:$E,MATCH(tblSales[[#This Row],[Key]],ตารางรวม!$Z:$Z,0))*tblSales[[#This Row],[จำนวนแก้ว]],0))</f>
        <v/>
      </c>
      <c r="S172" s="10" t="str">
        <f>IF(tblSales[[#This Row],[Key]]="","",IFERROR(INDEX(ตารางรวม!$F:$F,MATCH(tblSales[[#This Row],[Key]],ตารางรวม!$Z:$Z,0))*tblSales[[#This Row],[จำนวนแก้ว]],0))</f>
        <v/>
      </c>
      <c r="T172" s="10" t="str">
        <f>IF(tblSales[[#This Row],[Key]]="","",IFERROR(INDEX(ตารางรวม!$G:$G,MATCH(tblSales[[#This Row],[Key]],ตารางรวม!$Z:$Z,0))*tblSales[[#This Row],[จำนวนแก้ว]],0))</f>
        <v/>
      </c>
      <c r="U172" s="10" t="str">
        <f>IF(tblSales[[#This Row],[Key]]="","",IFERROR(INDEX(ตารางรวม!$H:$H,MATCH(tblSales[[#This Row],[Key]],ตารางรวม!$Z:$Z,0))*tblSales[[#This Row],[จำนวนแก้ว]],0))</f>
        <v/>
      </c>
      <c r="V172" s="10" t="str">
        <f>IF(tblSales[[#This Row],[Key]]="","",IFERROR(INDEX(ตารางรวม!$I:$I,MATCH(tblSales[[#This Row],[Key]],ตารางรวม!$Z:$Z,0))*tblSales[[#This Row],[จำนวนแก้ว]],0))</f>
        <v/>
      </c>
      <c r="W172" s="10" t="str">
        <f>IF(tblSales[[#This Row],[Key]]="","",IFERROR(INDEX(ตารางรวม!$J:$J,MATCH(tblSales[[#This Row],[Key]],ตารางรวม!$Z:$Z,0))*tblSales[[#This Row],[จำนวนแก้ว]],0))</f>
        <v/>
      </c>
      <c r="X172" s="10" t="str">
        <f>IF(tblSales[[#This Row],[Key]]="","",IFERROR(INDEX(ตารางรวม!$K:$K,MATCH(tblSales[[#This Row],[Key]],ตารางรวม!$Z:$Z,0))*tblSales[[#This Row],[จำนวนแก้ว]],0))</f>
        <v/>
      </c>
      <c r="Y172" s="10" t="str">
        <f>IF(tblSales[[#This Row],[Key]]="","",IFERROR(INDEX(ตารางรวม!$L:$L,MATCH(tblSales[[#This Row],[Key]],ตารางรวม!$Z:$Z,0))*tblSales[[#This Row],[จำนวนแก้ว]],0))</f>
        <v/>
      </c>
      <c r="Z17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2" s="10" t="str">
        <f>IF(tblSales[[#This Row],[Key]]="","",IF(tblSales[[#This Row],[ขนาด]]="16 oz",tblSales[[#This Row],[จำนวนแก้ว]],0))</f>
        <v/>
      </c>
      <c r="AI172" s="10" t="str">
        <f>IF(tblSales[[#This Row],[Key]]="","",IF(tblSales[[#This Row],[ขนาด]]="20 oz",tblSales[[#This Row],[จำนวนแก้ว]],0))</f>
        <v/>
      </c>
      <c r="AJ172" s="10" t="str">
        <f>IF(tblSales[[#This Row],[Key]]="","",IF(tblSales[[#This Row],[ขนาด]]="22 oz",tblSales[[#This Row],[จำนวนแก้ว]],0))</f>
        <v/>
      </c>
    </row>
    <row r="173" spans="1:36" x14ac:dyDescent="0.25">
      <c r="A173" s="4" t="str">
        <f>IF(tblSales[[#This Row],[วันที่]]="","","S"&amp;TEXT(tblSales[[#This Row],[วันที่]],"yymmdd")&amp;"-"&amp;TEXT(ROW()-5,"000"))</f>
        <v/>
      </c>
      <c r="B173" s="16"/>
      <c r="C173" s="6"/>
      <c r="D173" s="6"/>
      <c r="E173" s="20"/>
      <c r="F173" s="6"/>
      <c r="G173" s="6"/>
      <c r="H173" s="6"/>
      <c r="I173" s="6"/>
      <c r="J17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3" s="8" t="str">
        <f>IF(tblSales[[#This Row],[Key]]="","",IFERROR(INDEX(ตารางรวม!$W:$W,MATCH(tblSales[[#This Row],[Key]],ตารางรวม!$Z:$Z,0)),"ไม่พบสูตร"))</f>
        <v/>
      </c>
      <c r="L173" s="8" t="str">
        <f>IF(tblSales[[#This Row],[Key]]="","",IFERROR(INDEX(ตารางรวม!$V:$V,MATCH(tblSales[[#This Row],[Key]],ตารางรวม!$Z:$Z,0)),"ไม่พบสูตร"))</f>
        <v/>
      </c>
      <c r="M173" s="8" t="str">
        <f>IF(tblSales[[#This Row],[Key]]="","",IFERROR(tblSales[[#This Row],[ราคาต่อแก้ว]]*tblSales[[#This Row],[จำนวนแก้ว]],""))</f>
        <v/>
      </c>
      <c r="N173" s="8" t="str">
        <f>IF(tblSales[[#This Row],[Key]]="","",IFERROR(tblSales[[#This Row],[ต้นทุนต่อแก้ว]]*tblSales[[#This Row],[จำนวนแก้ว]],""))</f>
        <v/>
      </c>
      <c r="O173" s="8" t="str">
        <f>IF(tblSales[[#This Row],[Key]]="","",IFERROR(tblSales[[#This Row],[ยอดขาย (บาท)]]-tblSales[[#This Row],[ต้นทุนรวม (บาท)]],""))</f>
        <v/>
      </c>
      <c r="P173" s="21" t="str">
        <f>IF(tblSales[[#This Row],[Key]]="","",IFERROR(tblSales[[#This Row],[กำไร (บาท)]]/tblSales[[#This Row],[ยอดขาย (บาท)]],""))</f>
        <v/>
      </c>
      <c r="Q173" s="10" t="str">
        <f>IF(tblSales[[#This Row],[Key]]="","",IFERROR(INDEX(ตารางรวม!$D:$D,MATCH(tblSales[[#This Row],[Key]],ตารางรวม!$Z:$Z,0))*tblSales[[#This Row],[จำนวนแก้ว]],0))</f>
        <v/>
      </c>
      <c r="R173" s="10" t="str">
        <f>IF(tblSales[[#This Row],[Key]]="","",IFERROR(INDEX(ตารางรวม!$E:$E,MATCH(tblSales[[#This Row],[Key]],ตารางรวม!$Z:$Z,0))*tblSales[[#This Row],[จำนวนแก้ว]],0))</f>
        <v/>
      </c>
      <c r="S173" s="10" t="str">
        <f>IF(tblSales[[#This Row],[Key]]="","",IFERROR(INDEX(ตารางรวม!$F:$F,MATCH(tblSales[[#This Row],[Key]],ตารางรวม!$Z:$Z,0))*tblSales[[#This Row],[จำนวนแก้ว]],0))</f>
        <v/>
      </c>
      <c r="T173" s="10" t="str">
        <f>IF(tblSales[[#This Row],[Key]]="","",IFERROR(INDEX(ตารางรวม!$G:$G,MATCH(tblSales[[#This Row],[Key]],ตารางรวม!$Z:$Z,0))*tblSales[[#This Row],[จำนวนแก้ว]],0))</f>
        <v/>
      </c>
      <c r="U173" s="10" t="str">
        <f>IF(tblSales[[#This Row],[Key]]="","",IFERROR(INDEX(ตารางรวม!$H:$H,MATCH(tblSales[[#This Row],[Key]],ตารางรวม!$Z:$Z,0))*tblSales[[#This Row],[จำนวนแก้ว]],0))</f>
        <v/>
      </c>
      <c r="V173" s="10" t="str">
        <f>IF(tblSales[[#This Row],[Key]]="","",IFERROR(INDEX(ตารางรวม!$I:$I,MATCH(tblSales[[#This Row],[Key]],ตารางรวม!$Z:$Z,0))*tblSales[[#This Row],[จำนวนแก้ว]],0))</f>
        <v/>
      </c>
      <c r="W173" s="10" t="str">
        <f>IF(tblSales[[#This Row],[Key]]="","",IFERROR(INDEX(ตารางรวม!$J:$J,MATCH(tblSales[[#This Row],[Key]],ตารางรวม!$Z:$Z,0))*tblSales[[#This Row],[จำนวนแก้ว]],0))</f>
        <v/>
      </c>
      <c r="X173" s="10" t="str">
        <f>IF(tblSales[[#This Row],[Key]]="","",IFERROR(INDEX(ตารางรวม!$K:$K,MATCH(tblSales[[#This Row],[Key]],ตารางรวม!$Z:$Z,0))*tblSales[[#This Row],[จำนวนแก้ว]],0))</f>
        <v/>
      </c>
      <c r="Y173" s="10" t="str">
        <f>IF(tblSales[[#This Row],[Key]]="","",IFERROR(INDEX(ตารางรวม!$L:$L,MATCH(tblSales[[#This Row],[Key]],ตารางรวม!$Z:$Z,0))*tblSales[[#This Row],[จำนวนแก้ว]],0))</f>
        <v/>
      </c>
      <c r="Z17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3" s="10" t="str">
        <f>IF(tblSales[[#This Row],[Key]]="","",IF(tblSales[[#This Row],[ขนาด]]="16 oz",tblSales[[#This Row],[จำนวนแก้ว]],0))</f>
        <v/>
      </c>
      <c r="AI173" s="10" t="str">
        <f>IF(tblSales[[#This Row],[Key]]="","",IF(tblSales[[#This Row],[ขนาด]]="20 oz",tblSales[[#This Row],[จำนวนแก้ว]],0))</f>
        <v/>
      </c>
      <c r="AJ173" s="10" t="str">
        <f>IF(tblSales[[#This Row],[Key]]="","",IF(tblSales[[#This Row],[ขนาด]]="22 oz",tblSales[[#This Row],[จำนวนแก้ว]],0))</f>
        <v/>
      </c>
    </row>
    <row r="174" spans="1:36" x14ac:dyDescent="0.25">
      <c r="A174" s="4" t="str">
        <f>IF(tblSales[[#This Row],[วันที่]]="","","S"&amp;TEXT(tblSales[[#This Row],[วันที่]],"yymmdd")&amp;"-"&amp;TEXT(ROW()-5,"000"))</f>
        <v/>
      </c>
      <c r="B174" s="16"/>
      <c r="C174" s="6"/>
      <c r="D174" s="6"/>
      <c r="E174" s="20"/>
      <c r="F174" s="6"/>
      <c r="G174" s="6"/>
      <c r="H174" s="6"/>
      <c r="I174" s="6"/>
      <c r="J17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4" s="8" t="str">
        <f>IF(tblSales[[#This Row],[Key]]="","",IFERROR(INDEX(ตารางรวม!$W:$W,MATCH(tblSales[[#This Row],[Key]],ตารางรวม!$Z:$Z,0)),"ไม่พบสูตร"))</f>
        <v/>
      </c>
      <c r="L174" s="8" t="str">
        <f>IF(tblSales[[#This Row],[Key]]="","",IFERROR(INDEX(ตารางรวม!$V:$V,MATCH(tblSales[[#This Row],[Key]],ตารางรวม!$Z:$Z,0)),"ไม่พบสูตร"))</f>
        <v/>
      </c>
      <c r="M174" s="8" t="str">
        <f>IF(tblSales[[#This Row],[Key]]="","",IFERROR(tblSales[[#This Row],[ราคาต่อแก้ว]]*tblSales[[#This Row],[จำนวนแก้ว]],""))</f>
        <v/>
      </c>
      <c r="N174" s="8" t="str">
        <f>IF(tblSales[[#This Row],[Key]]="","",IFERROR(tblSales[[#This Row],[ต้นทุนต่อแก้ว]]*tblSales[[#This Row],[จำนวนแก้ว]],""))</f>
        <v/>
      </c>
      <c r="O174" s="8" t="str">
        <f>IF(tblSales[[#This Row],[Key]]="","",IFERROR(tblSales[[#This Row],[ยอดขาย (บาท)]]-tblSales[[#This Row],[ต้นทุนรวม (บาท)]],""))</f>
        <v/>
      </c>
      <c r="P174" s="21" t="str">
        <f>IF(tblSales[[#This Row],[Key]]="","",IFERROR(tblSales[[#This Row],[กำไร (บาท)]]/tblSales[[#This Row],[ยอดขาย (บาท)]],""))</f>
        <v/>
      </c>
      <c r="Q174" s="10" t="str">
        <f>IF(tblSales[[#This Row],[Key]]="","",IFERROR(INDEX(ตารางรวม!$D:$D,MATCH(tblSales[[#This Row],[Key]],ตารางรวม!$Z:$Z,0))*tblSales[[#This Row],[จำนวนแก้ว]],0))</f>
        <v/>
      </c>
      <c r="R174" s="10" t="str">
        <f>IF(tblSales[[#This Row],[Key]]="","",IFERROR(INDEX(ตารางรวม!$E:$E,MATCH(tblSales[[#This Row],[Key]],ตารางรวม!$Z:$Z,0))*tblSales[[#This Row],[จำนวนแก้ว]],0))</f>
        <v/>
      </c>
      <c r="S174" s="10" t="str">
        <f>IF(tblSales[[#This Row],[Key]]="","",IFERROR(INDEX(ตารางรวม!$F:$F,MATCH(tblSales[[#This Row],[Key]],ตารางรวม!$Z:$Z,0))*tblSales[[#This Row],[จำนวนแก้ว]],0))</f>
        <v/>
      </c>
      <c r="T174" s="10" t="str">
        <f>IF(tblSales[[#This Row],[Key]]="","",IFERROR(INDEX(ตารางรวม!$G:$G,MATCH(tblSales[[#This Row],[Key]],ตารางรวม!$Z:$Z,0))*tblSales[[#This Row],[จำนวนแก้ว]],0))</f>
        <v/>
      </c>
      <c r="U174" s="10" t="str">
        <f>IF(tblSales[[#This Row],[Key]]="","",IFERROR(INDEX(ตารางรวม!$H:$H,MATCH(tblSales[[#This Row],[Key]],ตารางรวม!$Z:$Z,0))*tblSales[[#This Row],[จำนวนแก้ว]],0))</f>
        <v/>
      </c>
      <c r="V174" s="10" t="str">
        <f>IF(tblSales[[#This Row],[Key]]="","",IFERROR(INDEX(ตารางรวม!$I:$I,MATCH(tblSales[[#This Row],[Key]],ตารางรวม!$Z:$Z,0))*tblSales[[#This Row],[จำนวนแก้ว]],0))</f>
        <v/>
      </c>
      <c r="W174" s="10" t="str">
        <f>IF(tblSales[[#This Row],[Key]]="","",IFERROR(INDEX(ตารางรวม!$J:$J,MATCH(tblSales[[#This Row],[Key]],ตารางรวม!$Z:$Z,0))*tblSales[[#This Row],[จำนวนแก้ว]],0))</f>
        <v/>
      </c>
      <c r="X174" s="10" t="str">
        <f>IF(tblSales[[#This Row],[Key]]="","",IFERROR(INDEX(ตารางรวม!$K:$K,MATCH(tblSales[[#This Row],[Key]],ตารางรวม!$Z:$Z,0))*tblSales[[#This Row],[จำนวนแก้ว]],0))</f>
        <v/>
      </c>
      <c r="Y174" s="10" t="str">
        <f>IF(tblSales[[#This Row],[Key]]="","",IFERROR(INDEX(ตารางรวม!$L:$L,MATCH(tblSales[[#This Row],[Key]],ตารางรวม!$Z:$Z,0))*tblSales[[#This Row],[จำนวนแก้ว]],0))</f>
        <v/>
      </c>
      <c r="Z17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4" s="10" t="str">
        <f>IF(tblSales[[#This Row],[Key]]="","",IF(tblSales[[#This Row],[ขนาด]]="16 oz",tblSales[[#This Row],[จำนวนแก้ว]],0))</f>
        <v/>
      </c>
      <c r="AI174" s="10" t="str">
        <f>IF(tblSales[[#This Row],[Key]]="","",IF(tblSales[[#This Row],[ขนาด]]="20 oz",tblSales[[#This Row],[จำนวนแก้ว]],0))</f>
        <v/>
      </c>
      <c r="AJ174" s="10" t="str">
        <f>IF(tblSales[[#This Row],[Key]]="","",IF(tblSales[[#This Row],[ขนาด]]="22 oz",tblSales[[#This Row],[จำนวนแก้ว]],0))</f>
        <v/>
      </c>
    </row>
    <row r="175" spans="1:36" x14ac:dyDescent="0.25">
      <c r="A175" s="4" t="str">
        <f>IF(tblSales[[#This Row],[วันที่]]="","","S"&amp;TEXT(tblSales[[#This Row],[วันที่]],"yymmdd")&amp;"-"&amp;TEXT(ROW()-5,"000"))</f>
        <v/>
      </c>
      <c r="B175" s="16"/>
      <c r="C175" s="6"/>
      <c r="D175" s="6"/>
      <c r="E175" s="20"/>
      <c r="F175" s="6"/>
      <c r="G175" s="6"/>
      <c r="H175" s="6"/>
      <c r="I175" s="6"/>
      <c r="J17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5" s="8" t="str">
        <f>IF(tblSales[[#This Row],[Key]]="","",IFERROR(INDEX(ตารางรวม!$W:$W,MATCH(tblSales[[#This Row],[Key]],ตารางรวม!$Z:$Z,0)),"ไม่พบสูตร"))</f>
        <v/>
      </c>
      <c r="L175" s="8" t="str">
        <f>IF(tblSales[[#This Row],[Key]]="","",IFERROR(INDEX(ตารางรวม!$V:$V,MATCH(tblSales[[#This Row],[Key]],ตารางรวม!$Z:$Z,0)),"ไม่พบสูตร"))</f>
        <v/>
      </c>
      <c r="M175" s="8" t="str">
        <f>IF(tblSales[[#This Row],[Key]]="","",IFERROR(tblSales[[#This Row],[ราคาต่อแก้ว]]*tblSales[[#This Row],[จำนวนแก้ว]],""))</f>
        <v/>
      </c>
      <c r="N175" s="8" t="str">
        <f>IF(tblSales[[#This Row],[Key]]="","",IFERROR(tblSales[[#This Row],[ต้นทุนต่อแก้ว]]*tblSales[[#This Row],[จำนวนแก้ว]],""))</f>
        <v/>
      </c>
      <c r="O175" s="8" t="str">
        <f>IF(tblSales[[#This Row],[Key]]="","",IFERROR(tblSales[[#This Row],[ยอดขาย (บาท)]]-tblSales[[#This Row],[ต้นทุนรวม (บาท)]],""))</f>
        <v/>
      </c>
      <c r="P175" s="21" t="str">
        <f>IF(tblSales[[#This Row],[Key]]="","",IFERROR(tblSales[[#This Row],[กำไร (บาท)]]/tblSales[[#This Row],[ยอดขาย (บาท)]],""))</f>
        <v/>
      </c>
      <c r="Q175" s="10" t="str">
        <f>IF(tblSales[[#This Row],[Key]]="","",IFERROR(INDEX(ตารางรวม!$D:$D,MATCH(tblSales[[#This Row],[Key]],ตารางรวม!$Z:$Z,0))*tblSales[[#This Row],[จำนวนแก้ว]],0))</f>
        <v/>
      </c>
      <c r="R175" s="10" t="str">
        <f>IF(tblSales[[#This Row],[Key]]="","",IFERROR(INDEX(ตารางรวม!$E:$E,MATCH(tblSales[[#This Row],[Key]],ตารางรวม!$Z:$Z,0))*tblSales[[#This Row],[จำนวนแก้ว]],0))</f>
        <v/>
      </c>
      <c r="S175" s="10" t="str">
        <f>IF(tblSales[[#This Row],[Key]]="","",IFERROR(INDEX(ตารางรวม!$F:$F,MATCH(tblSales[[#This Row],[Key]],ตารางรวม!$Z:$Z,0))*tblSales[[#This Row],[จำนวนแก้ว]],0))</f>
        <v/>
      </c>
      <c r="T175" s="10" t="str">
        <f>IF(tblSales[[#This Row],[Key]]="","",IFERROR(INDEX(ตารางรวม!$G:$G,MATCH(tblSales[[#This Row],[Key]],ตารางรวม!$Z:$Z,0))*tblSales[[#This Row],[จำนวนแก้ว]],0))</f>
        <v/>
      </c>
      <c r="U175" s="10" t="str">
        <f>IF(tblSales[[#This Row],[Key]]="","",IFERROR(INDEX(ตารางรวม!$H:$H,MATCH(tblSales[[#This Row],[Key]],ตารางรวม!$Z:$Z,0))*tblSales[[#This Row],[จำนวนแก้ว]],0))</f>
        <v/>
      </c>
      <c r="V175" s="10" t="str">
        <f>IF(tblSales[[#This Row],[Key]]="","",IFERROR(INDEX(ตารางรวม!$I:$I,MATCH(tblSales[[#This Row],[Key]],ตารางรวม!$Z:$Z,0))*tblSales[[#This Row],[จำนวนแก้ว]],0))</f>
        <v/>
      </c>
      <c r="W175" s="10" t="str">
        <f>IF(tblSales[[#This Row],[Key]]="","",IFERROR(INDEX(ตารางรวม!$J:$J,MATCH(tblSales[[#This Row],[Key]],ตารางรวม!$Z:$Z,0))*tblSales[[#This Row],[จำนวนแก้ว]],0))</f>
        <v/>
      </c>
      <c r="X175" s="10" t="str">
        <f>IF(tblSales[[#This Row],[Key]]="","",IFERROR(INDEX(ตารางรวม!$K:$K,MATCH(tblSales[[#This Row],[Key]],ตารางรวม!$Z:$Z,0))*tblSales[[#This Row],[จำนวนแก้ว]],0))</f>
        <v/>
      </c>
      <c r="Y175" s="10" t="str">
        <f>IF(tblSales[[#This Row],[Key]]="","",IFERROR(INDEX(ตารางรวม!$L:$L,MATCH(tblSales[[#This Row],[Key]],ตารางรวม!$Z:$Z,0))*tblSales[[#This Row],[จำนวนแก้ว]],0))</f>
        <v/>
      </c>
      <c r="Z17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5" s="10" t="str">
        <f>IF(tblSales[[#This Row],[Key]]="","",IF(tblSales[[#This Row],[ขนาด]]="16 oz",tblSales[[#This Row],[จำนวนแก้ว]],0))</f>
        <v/>
      </c>
      <c r="AI175" s="10" t="str">
        <f>IF(tblSales[[#This Row],[Key]]="","",IF(tblSales[[#This Row],[ขนาด]]="20 oz",tblSales[[#This Row],[จำนวนแก้ว]],0))</f>
        <v/>
      </c>
      <c r="AJ175" s="10" t="str">
        <f>IF(tblSales[[#This Row],[Key]]="","",IF(tblSales[[#This Row],[ขนาด]]="22 oz",tblSales[[#This Row],[จำนวนแก้ว]],0))</f>
        <v/>
      </c>
    </row>
    <row r="176" spans="1:36" x14ac:dyDescent="0.25">
      <c r="A176" s="4" t="str">
        <f>IF(tblSales[[#This Row],[วันที่]]="","","S"&amp;TEXT(tblSales[[#This Row],[วันที่]],"yymmdd")&amp;"-"&amp;TEXT(ROW()-5,"000"))</f>
        <v/>
      </c>
      <c r="B176" s="16"/>
      <c r="C176" s="6"/>
      <c r="D176" s="6"/>
      <c r="E176" s="20"/>
      <c r="F176" s="6"/>
      <c r="G176" s="6"/>
      <c r="H176" s="6"/>
      <c r="I176" s="6"/>
      <c r="J17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6" s="8" t="str">
        <f>IF(tblSales[[#This Row],[Key]]="","",IFERROR(INDEX(ตารางรวม!$W:$W,MATCH(tblSales[[#This Row],[Key]],ตารางรวม!$Z:$Z,0)),"ไม่พบสูตร"))</f>
        <v/>
      </c>
      <c r="L176" s="8" t="str">
        <f>IF(tblSales[[#This Row],[Key]]="","",IFERROR(INDEX(ตารางรวม!$V:$V,MATCH(tblSales[[#This Row],[Key]],ตารางรวม!$Z:$Z,0)),"ไม่พบสูตร"))</f>
        <v/>
      </c>
      <c r="M176" s="8" t="str">
        <f>IF(tblSales[[#This Row],[Key]]="","",IFERROR(tblSales[[#This Row],[ราคาต่อแก้ว]]*tblSales[[#This Row],[จำนวนแก้ว]],""))</f>
        <v/>
      </c>
      <c r="N176" s="8" t="str">
        <f>IF(tblSales[[#This Row],[Key]]="","",IFERROR(tblSales[[#This Row],[ต้นทุนต่อแก้ว]]*tblSales[[#This Row],[จำนวนแก้ว]],""))</f>
        <v/>
      </c>
      <c r="O176" s="8" t="str">
        <f>IF(tblSales[[#This Row],[Key]]="","",IFERROR(tblSales[[#This Row],[ยอดขาย (บาท)]]-tblSales[[#This Row],[ต้นทุนรวม (บาท)]],""))</f>
        <v/>
      </c>
      <c r="P176" s="21" t="str">
        <f>IF(tblSales[[#This Row],[Key]]="","",IFERROR(tblSales[[#This Row],[กำไร (บาท)]]/tblSales[[#This Row],[ยอดขาย (บาท)]],""))</f>
        <v/>
      </c>
      <c r="Q176" s="10" t="str">
        <f>IF(tblSales[[#This Row],[Key]]="","",IFERROR(INDEX(ตารางรวม!$D:$D,MATCH(tblSales[[#This Row],[Key]],ตารางรวม!$Z:$Z,0))*tblSales[[#This Row],[จำนวนแก้ว]],0))</f>
        <v/>
      </c>
      <c r="R176" s="10" t="str">
        <f>IF(tblSales[[#This Row],[Key]]="","",IFERROR(INDEX(ตารางรวม!$E:$E,MATCH(tblSales[[#This Row],[Key]],ตารางรวม!$Z:$Z,0))*tblSales[[#This Row],[จำนวนแก้ว]],0))</f>
        <v/>
      </c>
      <c r="S176" s="10" t="str">
        <f>IF(tblSales[[#This Row],[Key]]="","",IFERROR(INDEX(ตารางรวม!$F:$F,MATCH(tblSales[[#This Row],[Key]],ตารางรวม!$Z:$Z,0))*tblSales[[#This Row],[จำนวนแก้ว]],0))</f>
        <v/>
      </c>
      <c r="T176" s="10" t="str">
        <f>IF(tblSales[[#This Row],[Key]]="","",IFERROR(INDEX(ตารางรวม!$G:$G,MATCH(tblSales[[#This Row],[Key]],ตารางรวม!$Z:$Z,0))*tblSales[[#This Row],[จำนวนแก้ว]],0))</f>
        <v/>
      </c>
      <c r="U176" s="10" t="str">
        <f>IF(tblSales[[#This Row],[Key]]="","",IFERROR(INDEX(ตารางรวม!$H:$H,MATCH(tblSales[[#This Row],[Key]],ตารางรวม!$Z:$Z,0))*tblSales[[#This Row],[จำนวนแก้ว]],0))</f>
        <v/>
      </c>
      <c r="V176" s="10" t="str">
        <f>IF(tblSales[[#This Row],[Key]]="","",IFERROR(INDEX(ตารางรวม!$I:$I,MATCH(tblSales[[#This Row],[Key]],ตารางรวม!$Z:$Z,0))*tblSales[[#This Row],[จำนวนแก้ว]],0))</f>
        <v/>
      </c>
      <c r="W176" s="10" t="str">
        <f>IF(tblSales[[#This Row],[Key]]="","",IFERROR(INDEX(ตารางรวม!$J:$J,MATCH(tblSales[[#This Row],[Key]],ตารางรวม!$Z:$Z,0))*tblSales[[#This Row],[จำนวนแก้ว]],0))</f>
        <v/>
      </c>
      <c r="X176" s="10" t="str">
        <f>IF(tblSales[[#This Row],[Key]]="","",IFERROR(INDEX(ตารางรวม!$K:$K,MATCH(tblSales[[#This Row],[Key]],ตารางรวม!$Z:$Z,0))*tblSales[[#This Row],[จำนวนแก้ว]],0))</f>
        <v/>
      </c>
      <c r="Y176" s="10" t="str">
        <f>IF(tblSales[[#This Row],[Key]]="","",IFERROR(INDEX(ตารางรวม!$L:$L,MATCH(tblSales[[#This Row],[Key]],ตารางรวม!$Z:$Z,0))*tblSales[[#This Row],[จำนวนแก้ว]],0))</f>
        <v/>
      </c>
      <c r="Z17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6" s="10" t="str">
        <f>IF(tblSales[[#This Row],[Key]]="","",IF(tblSales[[#This Row],[ขนาด]]="16 oz",tblSales[[#This Row],[จำนวนแก้ว]],0))</f>
        <v/>
      </c>
      <c r="AI176" s="10" t="str">
        <f>IF(tblSales[[#This Row],[Key]]="","",IF(tblSales[[#This Row],[ขนาด]]="20 oz",tblSales[[#This Row],[จำนวนแก้ว]],0))</f>
        <v/>
      </c>
      <c r="AJ176" s="10" t="str">
        <f>IF(tblSales[[#This Row],[Key]]="","",IF(tblSales[[#This Row],[ขนาด]]="22 oz",tblSales[[#This Row],[จำนวนแก้ว]],0))</f>
        <v/>
      </c>
    </row>
    <row r="177" spans="1:36" x14ac:dyDescent="0.25">
      <c r="A177" s="4" t="str">
        <f>IF(tblSales[[#This Row],[วันที่]]="","","S"&amp;TEXT(tblSales[[#This Row],[วันที่]],"yymmdd")&amp;"-"&amp;TEXT(ROW()-5,"000"))</f>
        <v/>
      </c>
      <c r="B177" s="16"/>
      <c r="C177" s="6"/>
      <c r="D177" s="6"/>
      <c r="E177" s="20"/>
      <c r="F177" s="6"/>
      <c r="G177" s="6"/>
      <c r="H177" s="6"/>
      <c r="I177" s="6"/>
      <c r="J17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7" s="8" t="str">
        <f>IF(tblSales[[#This Row],[Key]]="","",IFERROR(INDEX(ตารางรวม!$W:$W,MATCH(tblSales[[#This Row],[Key]],ตารางรวม!$Z:$Z,0)),"ไม่พบสูตร"))</f>
        <v/>
      </c>
      <c r="L177" s="8" t="str">
        <f>IF(tblSales[[#This Row],[Key]]="","",IFERROR(INDEX(ตารางรวม!$V:$V,MATCH(tblSales[[#This Row],[Key]],ตารางรวม!$Z:$Z,0)),"ไม่พบสูตร"))</f>
        <v/>
      </c>
      <c r="M177" s="8" t="str">
        <f>IF(tblSales[[#This Row],[Key]]="","",IFERROR(tblSales[[#This Row],[ราคาต่อแก้ว]]*tblSales[[#This Row],[จำนวนแก้ว]],""))</f>
        <v/>
      </c>
      <c r="N177" s="8" t="str">
        <f>IF(tblSales[[#This Row],[Key]]="","",IFERROR(tblSales[[#This Row],[ต้นทุนต่อแก้ว]]*tblSales[[#This Row],[จำนวนแก้ว]],""))</f>
        <v/>
      </c>
      <c r="O177" s="8" t="str">
        <f>IF(tblSales[[#This Row],[Key]]="","",IFERROR(tblSales[[#This Row],[ยอดขาย (บาท)]]-tblSales[[#This Row],[ต้นทุนรวม (บาท)]],""))</f>
        <v/>
      </c>
      <c r="P177" s="21" t="str">
        <f>IF(tblSales[[#This Row],[Key]]="","",IFERROR(tblSales[[#This Row],[กำไร (บาท)]]/tblSales[[#This Row],[ยอดขาย (บาท)]],""))</f>
        <v/>
      </c>
      <c r="Q177" s="10" t="str">
        <f>IF(tblSales[[#This Row],[Key]]="","",IFERROR(INDEX(ตารางรวม!$D:$D,MATCH(tblSales[[#This Row],[Key]],ตารางรวม!$Z:$Z,0))*tblSales[[#This Row],[จำนวนแก้ว]],0))</f>
        <v/>
      </c>
      <c r="R177" s="10" t="str">
        <f>IF(tblSales[[#This Row],[Key]]="","",IFERROR(INDEX(ตารางรวม!$E:$E,MATCH(tblSales[[#This Row],[Key]],ตารางรวม!$Z:$Z,0))*tblSales[[#This Row],[จำนวนแก้ว]],0))</f>
        <v/>
      </c>
      <c r="S177" s="10" t="str">
        <f>IF(tblSales[[#This Row],[Key]]="","",IFERROR(INDEX(ตารางรวม!$F:$F,MATCH(tblSales[[#This Row],[Key]],ตารางรวม!$Z:$Z,0))*tblSales[[#This Row],[จำนวนแก้ว]],0))</f>
        <v/>
      </c>
      <c r="T177" s="10" t="str">
        <f>IF(tblSales[[#This Row],[Key]]="","",IFERROR(INDEX(ตารางรวม!$G:$G,MATCH(tblSales[[#This Row],[Key]],ตารางรวม!$Z:$Z,0))*tblSales[[#This Row],[จำนวนแก้ว]],0))</f>
        <v/>
      </c>
      <c r="U177" s="10" t="str">
        <f>IF(tblSales[[#This Row],[Key]]="","",IFERROR(INDEX(ตารางรวม!$H:$H,MATCH(tblSales[[#This Row],[Key]],ตารางรวม!$Z:$Z,0))*tblSales[[#This Row],[จำนวนแก้ว]],0))</f>
        <v/>
      </c>
      <c r="V177" s="10" t="str">
        <f>IF(tblSales[[#This Row],[Key]]="","",IFERROR(INDEX(ตารางรวม!$I:$I,MATCH(tblSales[[#This Row],[Key]],ตารางรวม!$Z:$Z,0))*tblSales[[#This Row],[จำนวนแก้ว]],0))</f>
        <v/>
      </c>
      <c r="W177" s="10" t="str">
        <f>IF(tblSales[[#This Row],[Key]]="","",IFERROR(INDEX(ตารางรวม!$J:$J,MATCH(tblSales[[#This Row],[Key]],ตารางรวม!$Z:$Z,0))*tblSales[[#This Row],[จำนวนแก้ว]],0))</f>
        <v/>
      </c>
      <c r="X177" s="10" t="str">
        <f>IF(tblSales[[#This Row],[Key]]="","",IFERROR(INDEX(ตารางรวม!$K:$K,MATCH(tblSales[[#This Row],[Key]],ตารางรวม!$Z:$Z,0))*tblSales[[#This Row],[จำนวนแก้ว]],0))</f>
        <v/>
      </c>
      <c r="Y177" s="10" t="str">
        <f>IF(tblSales[[#This Row],[Key]]="","",IFERROR(INDEX(ตารางรวม!$L:$L,MATCH(tblSales[[#This Row],[Key]],ตารางรวม!$Z:$Z,0))*tblSales[[#This Row],[จำนวนแก้ว]],0))</f>
        <v/>
      </c>
      <c r="Z17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7" s="10" t="str">
        <f>IF(tblSales[[#This Row],[Key]]="","",IF(tblSales[[#This Row],[ขนาด]]="16 oz",tblSales[[#This Row],[จำนวนแก้ว]],0))</f>
        <v/>
      </c>
      <c r="AI177" s="10" t="str">
        <f>IF(tblSales[[#This Row],[Key]]="","",IF(tblSales[[#This Row],[ขนาด]]="20 oz",tblSales[[#This Row],[จำนวนแก้ว]],0))</f>
        <v/>
      </c>
      <c r="AJ177" s="10" t="str">
        <f>IF(tblSales[[#This Row],[Key]]="","",IF(tblSales[[#This Row],[ขนาด]]="22 oz",tblSales[[#This Row],[จำนวนแก้ว]],0))</f>
        <v/>
      </c>
    </row>
    <row r="178" spans="1:36" x14ac:dyDescent="0.25">
      <c r="A178" s="4" t="str">
        <f>IF(tblSales[[#This Row],[วันที่]]="","","S"&amp;TEXT(tblSales[[#This Row],[วันที่]],"yymmdd")&amp;"-"&amp;TEXT(ROW()-5,"000"))</f>
        <v/>
      </c>
      <c r="B178" s="16"/>
      <c r="C178" s="6"/>
      <c r="D178" s="6"/>
      <c r="E178" s="20"/>
      <c r="F178" s="6"/>
      <c r="G178" s="6"/>
      <c r="H178" s="6"/>
      <c r="I178" s="6"/>
      <c r="J17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8" s="8" t="str">
        <f>IF(tblSales[[#This Row],[Key]]="","",IFERROR(INDEX(ตารางรวม!$W:$W,MATCH(tblSales[[#This Row],[Key]],ตารางรวม!$Z:$Z,0)),"ไม่พบสูตร"))</f>
        <v/>
      </c>
      <c r="L178" s="8" t="str">
        <f>IF(tblSales[[#This Row],[Key]]="","",IFERROR(INDEX(ตารางรวม!$V:$V,MATCH(tblSales[[#This Row],[Key]],ตารางรวม!$Z:$Z,0)),"ไม่พบสูตร"))</f>
        <v/>
      </c>
      <c r="M178" s="8" t="str">
        <f>IF(tblSales[[#This Row],[Key]]="","",IFERROR(tblSales[[#This Row],[ราคาต่อแก้ว]]*tblSales[[#This Row],[จำนวนแก้ว]],""))</f>
        <v/>
      </c>
      <c r="N178" s="8" t="str">
        <f>IF(tblSales[[#This Row],[Key]]="","",IFERROR(tblSales[[#This Row],[ต้นทุนต่อแก้ว]]*tblSales[[#This Row],[จำนวนแก้ว]],""))</f>
        <v/>
      </c>
      <c r="O178" s="8" t="str">
        <f>IF(tblSales[[#This Row],[Key]]="","",IFERROR(tblSales[[#This Row],[ยอดขาย (บาท)]]-tblSales[[#This Row],[ต้นทุนรวม (บาท)]],""))</f>
        <v/>
      </c>
      <c r="P178" s="21" t="str">
        <f>IF(tblSales[[#This Row],[Key]]="","",IFERROR(tblSales[[#This Row],[กำไร (บาท)]]/tblSales[[#This Row],[ยอดขาย (บาท)]],""))</f>
        <v/>
      </c>
      <c r="Q178" s="10" t="str">
        <f>IF(tblSales[[#This Row],[Key]]="","",IFERROR(INDEX(ตารางรวม!$D:$D,MATCH(tblSales[[#This Row],[Key]],ตารางรวม!$Z:$Z,0))*tblSales[[#This Row],[จำนวนแก้ว]],0))</f>
        <v/>
      </c>
      <c r="R178" s="10" t="str">
        <f>IF(tblSales[[#This Row],[Key]]="","",IFERROR(INDEX(ตารางรวม!$E:$E,MATCH(tblSales[[#This Row],[Key]],ตารางรวม!$Z:$Z,0))*tblSales[[#This Row],[จำนวนแก้ว]],0))</f>
        <v/>
      </c>
      <c r="S178" s="10" t="str">
        <f>IF(tblSales[[#This Row],[Key]]="","",IFERROR(INDEX(ตารางรวม!$F:$F,MATCH(tblSales[[#This Row],[Key]],ตารางรวม!$Z:$Z,0))*tblSales[[#This Row],[จำนวนแก้ว]],0))</f>
        <v/>
      </c>
      <c r="T178" s="10" t="str">
        <f>IF(tblSales[[#This Row],[Key]]="","",IFERROR(INDEX(ตารางรวม!$G:$G,MATCH(tblSales[[#This Row],[Key]],ตารางรวม!$Z:$Z,0))*tblSales[[#This Row],[จำนวนแก้ว]],0))</f>
        <v/>
      </c>
      <c r="U178" s="10" t="str">
        <f>IF(tblSales[[#This Row],[Key]]="","",IFERROR(INDEX(ตารางรวม!$H:$H,MATCH(tblSales[[#This Row],[Key]],ตารางรวม!$Z:$Z,0))*tblSales[[#This Row],[จำนวนแก้ว]],0))</f>
        <v/>
      </c>
      <c r="V178" s="10" t="str">
        <f>IF(tblSales[[#This Row],[Key]]="","",IFERROR(INDEX(ตารางรวม!$I:$I,MATCH(tblSales[[#This Row],[Key]],ตารางรวม!$Z:$Z,0))*tblSales[[#This Row],[จำนวนแก้ว]],0))</f>
        <v/>
      </c>
      <c r="W178" s="10" t="str">
        <f>IF(tblSales[[#This Row],[Key]]="","",IFERROR(INDEX(ตารางรวม!$J:$J,MATCH(tblSales[[#This Row],[Key]],ตารางรวม!$Z:$Z,0))*tblSales[[#This Row],[จำนวนแก้ว]],0))</f>
        <v/>
      </c>
      <c r="X178" s="10" t="str">
        <f>IF(tblSales[[#This Row],[Key]]="","",IFERROR(INDEX(ตารางรวม!$K:$K,MATCH(tblSales[[#This Row],[Key]],ตารางรวม!$Z:$Z,0))*tblSales[[#This Row],[จำนวนแก้ว]],0))</f>
        <v/>
      </c>
      <c r="Y178" s="10" t="str">
        <f>IF(tblSales[[#This Row],[Key]]="","",IFERROR(INDEX(ตารางรวม!$L:$L,MATCH(tblSales[[#This Row],[Key]],ตารางรวม!$Z:$Z,0))*tblSales[[#This Row],[จำนวนแก้ว]],0))</f>
        <v/>
      </c>
      <c r="Z17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8" s="10" t="str">
        <f>IF(tblSales[[#This Row],[Key]]="","",IF(tblSales[[#This Row],[ขนาด]]="16 oz",tblSales[[#This Row],[จำนวนแก้ว]],0))</f>
        <v/>
      </c>
      <c r="AI178" s="10" t="str">
        <f>IF(tblSales[[#This Row],[Key]]="","",IF(tblSales[[#This Row],[ขนาด]]="20 oz",tblSales[[#This Row],[จำนวนแก้ว]],0))</f>
        <v/>
      </c>
      <c r="AJ178" s="10" t="str">
        <f>IF(tblSales[[#This Row],[Key]]="","",IF(tblSales[[#This Row],[ขนาด]]="22 oz",tblSales[[#This Row],[จำนวนแก้ว]],0))</f>
        <v/>
      </c>
    </row>
    <row r="179" spans="1:36" x14ac:dyDescent="0.25">
      <c r="A179" s="4" t="str">
        <f>IF(tblSales[[#This Row],[วันที่]]="","","S"&amp;TEXT(tblSales[[#This Row],[วันที่]],"yymmdd")&amp;"-"&amp;TEXT(ROW()-5,"000"))</f>
        <v/>
      </c>
      <c r="B179" s="16"/>
      <c r="C179" s="6"/>
      <c r="D179" s="6"/>
      <c r="E179" s="20"/>
      <c r="F179" s="6"/>
      <c r="G179" s="6"/>
      <c r="H179" s="6"/>
      <c r="I179" s="6"/>
      <c r="J17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79" s="8" t="str">
        <f>IF(tblSales[[#This Row],[Key]]="","",IFERROR(INDEX(ตารางรวม!$W:$W,MATCH(tblSales[[#This Row],[Key]],ตารางรวม!$Z:$Z,0)),"ไม่พบสูตร"))</f>
        <v/>
      </c>
      <c r="L179" s="8" t="str">
        <f>IF(tblSales[[#This Row],[Key]]="","",IFERROR(INDEX(ตารางรวม!$V:$V,MATCH(tblSales[[#This Row],[Key]],ตารางรวม!$Z:$Z,0)),"ไม่พบสูตร"))</f>
        <v/>
      </c>
      <c r="M179" s="8" t="str">
        <f>IF(tblSales[[#This Row],[Key]]="","",IFERROR(tblSales[[#This Row],[ราคาต่อแก้ว]]*tblSales[[#This Row],[จำนวนแก้ว]],""))</f>
        <v/>
      </c>
      <c r="N179" s="8" t="str">
        <f>IF(tblSales[[#This Row],[Key]]="","",IFERROR(tblSales[[#This Row],[ต้นทุนต่อแก้ว]]*tblSales[[#This Row],[จำนวนแก้ว]],""))</f>
        <v/>
      </c>
      <c r="O179" s="8" t="str">
        <f>IF(tblSales[[#This Row],[Key]]="","",IFERROR(tblSales[[#This Row],[ยอดขาย (บาท)]]-tblSales[[#This Row],[ต้นทุนรวม (บาท)]],""))</f>
        <v/>
      </c>
      <c r="P179" s="21" t="str">
        <f>IF(tblSales[[#This Row],[Key]]="","",IFERROR(tblSales[[#This Row],[กำไร (บาท)]]/tblSales[[#This Row],[ยอดขาย (บาท)]],""))</f>
        <v/>
      </c>
      <c r="Q179" s="10" t="str">
        <f>IF(tblSales[[#This Row],[Key]]="","",IFERROR(INDEX(ตารางรวม!$D:$D,MATCH(tblSales[[#This Row],[Key]],ตารางรวม!$Z:$Z,0))*tblSales[[#This Row],[จำนวนแก้ว]],0))</f>
        <v/>
      </c>
      <c r="R179" s="10" t="str">
        <f>IF(tblSales[[#This Row],[Key]]="","",IFERROR(INDEX(ตารางรวม!$E:$E,MATCH(tblSales[[#This Row],[Key]],ตารางรวม!$Z:$Z,0))*tblSales[[#This Row],[จำนวนแก้ว]],0))</f>
        <v/>
      </c>
      <c r="S179" s="10" t="str">
        <f>IF(tblSales[[#This Row],[Key]]="","",IFERROR(INDEX(ตารางรวม!$F:$F,MATCH(tblSales[[#This Row],[Key]],ตารางรวม!$Z:$Z,0))*tblSales[[#This Row],[จำนวนแก้ว]],0))</f>
        <v/>
      </c>
      <c r="T179" s="10" t="str">
        <f>IF(tblSales[[#This Row],[Key]]="","",IFERROR(INDEX(ตารางรวม!$G:$G,MATCH(tblSales[[#This Row],[Key]],ตารางรวม!$Z:$Z,0))*tblSales[[#This Row],[จำนวนแก้ว]],0))</f>
        <v/>
      </c>
      <c r="U179" s="10" t="str">
        <f>IF(tblSales[[#This Row],[Key]]="","",IFERROR(INDEX(ตารางรวม!$H:$H,MATCH(tblSales[[#This Row],[Key]],ตารางรวม!$Z:$Z,0))*tblSales[[#This Row],[จำนวนแก้ว]],0))</f>
        <v/>
      </c>
      <c r="V179" s="10" t="str">
        <f>IF(tblSales[[#This Row],[Key]]="","",IFERROR(INDEX(ตารางรวม!$I:$I,MATCH(tblSales[[#This Row],[Key]],ตารางรวม!$Z:$Z,0))*tblSales[[#This Row],[จำนวนแก้ว]],0))</f>
        <v/>
      </c>
      <c r="W179" s="10" t="str">
        <f>IF(tblSales[[#This Row],[Key]]="","",IFERROR(INDEX(ตารางรวม!$J:$J,MATCH(tblSales[[#This Row],[Key]],ตารางรวม!$Z:$Z,0))*tblSales[[#This Row],[จำนวนแก้ว]],0))</f>
        <v/>
      </c>
      <c r="X179" s="10" t="str">
        <f>IF(tblSales[[#This Row],[Key]]="","",IFERROR(INDEX(ตารางรวม!$K:$K,MATCH(tblSales[[#This Row],[Key]],ตารางรวม!$Z:$Z,0))*tblSales[[#This Row],[จำนวนแก้ว]],0))</f>
        <v/>
      </c>
      <c r="Y179" s="10" t="str">
        <f>IF(tblSales[[#This Row],[Key]]="","",IFERROR(INDEX(ตารางรวม!$L:$L,MATCH(tblSales[[#This Row],[Key]],ตารางรวม!$Z:$Z,0))*tblSales[[#This Row],[จำนวนแก้ว]],0))</f>
        <v/>
      </c>
      <c r="Z17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7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7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7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7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7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7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7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79" s="10" t="str">
        <f>IF(tblSales[[#This Row],[Key]]="","",IF(tblSales[[#This Row],[ขนาด]]="16 oz",tblSales[[#This Row],[จำนวนแก้ว]],0))</f>
        <v/>
      </c>
      <c r="AI179" s="10" t="str">
        <f>IF(tblSales[[#This Row],[Key]]="","",IF(tblSales[[#This Row],[ขนาด]]="20 oz",tblSales[[#This Row],[จำนวนแก้ว]],0))</f>
        <v/>
      </c>
      <c r="AJ179" s="10" t="str">
        <f>IF(tblSales[[#This Row],[Key]]="","",IF(tblSales[[#This Row],[ขนาด]]="22 oz",tblSales[[#This Row],[จำนวนแก้ว]],0))</f>
        <v/>
      </c>
    </row>
    <row r="180" spans="1:36" x14ac:dyDescent="0.25">
      <c r="A180" s="4" t="str">
        <f>IF(tblSales[[#This Row],[วันที่]]="","","S"&amp;TEXT(tblSales[[#This Row],[วันที่]],"yymmdd")&amp;"-"&amp;TEXT(ROW()-5,"000"))</f>
        <v/>
      </c>
      <c r="B180" s="16"/>
      <c r="C180" s="6"/>
      <c r="D180" s="6"/>
      <c r="E180" s="20"/>
      <c r="F180" s="6"/>
      <c r="G180" s="6"/>
      <c r="H180" s="6"/>
      <c r="I180" s="6"/>
      <c r="J18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0" s="8" t="str">
        <f>IF(tblSales[[#This Row],[Key]]="","",IFERROR(INDEX(ตารางรวม!$W:$W,MATCH(tblSales[[#This Row],[Key]],ตารางรวม!$Z:$Z,0)),"ไม่พบสูตร"))</f>
        <v/>
      </c>
      <c r="L180" s="8" t="str">
        <f>IF(tblSales[[#This Row],[Key]]="","",IFERROR(INDEX(ตารางรวม!$V:$V,MATCH(tblSales[[#This Row],[Key]],ตารางรวม!$Z:$Z,0)),"ไม่พบสูตร"))</f>
        <v/>
      </c>
      <c r="M180" s="8" t="str">
        <f>IF(tblSales[[#This Row],[Key]]="","",IFERROR(tblSales[[#This Row],[ราคาต่อแก้ว]]*tblSales[[#This Row],[จำนวนแก้ว]],""))</f>
        <v/>
      </c>
      <c r="N180" s="8" t="str">
        <f>IF(tblSales[[#This Row],[Key]]="","",IFERROR(tblSales[[#This Row],[ต้นทุนต่อแก้ว]]*tblSales[[#This Row],[จำนวนแก้ว]],""))</f>
        <v/>
      </c>
      <c r="O180" s="8" t="str">
        <f>IF(tblSales[[#This Row],[Key]]="","",IFERROR(tblSales[[#This Row],[ยอดขาย (บาท)]]-tblSales[[#This Row],[ต้นทุนรวม (บาท)]],""))</f>
        <v/>
      </c>
      <c r="P180" s="21" t="str">
        <f>IF(tblSales[[#This Row],[Key]]="","",IFERROR(tblSales[[#This Row],[กำไร (บาท)]]/tblSales[[#This Row],[ยอดขาย (บาท)]],""))</f>
        <v/>
      </c>
      <c r="Q180" s="10" t="str">
        <f>IF(tblSales[[#This Row],[Key]]="","",IFERROR(INDEX(ตารางรวม!$D:$D,MATCH(tblSales[[#This Row],[Key]],ตารางรวม!$Z:$Z,0))*tblSales[[#This Row],[จำนวนแก้ว]],0))</f>
        <v/>
      </c>
      <c r="R180" s="10" t="str">
        <f>IF(tblSales[[#This Row],[Key]]="","",IFERROR(INDEX(ตารางรวม!$E:$E,MATCH(tblSales[[#This Row],[Key]],ตารางรวม!$Z:$Z,0))*tblSales[[#This Row],[จำนวนแก้ว]],0))</f>
        <v/>
      </c>
      <c r="S180" s="10" t="str">
        <f>IF(tblSales[[#This Row],[Key]]="","",IFERROR(INDEX(ตารางรวม!$F:$F,MATCH(tblSales[[#This Row],[Key]],ตารางรวม!$Z:$Z,0))*tblSales[[#This Row],[จำนวนแก้ว]],0))</f>
        <v/>
      </c>
      <c r="T180" s="10" t="str">
        <f>IF(tblSales[[#This Row],[Key]]="","",IFERROR(INDEX(ตารางรวม!$G:$G,MATCH(tblSales[[#This Row],[Key]],ตารางรวม!$Z:$Z,0))*tblSales[[#This Row],[จำนวนแก้ว]],0))</f>
        <v/>
      </c>
      <c r="U180" s="10" t="str">
        <f>IF(tblSales[[#This Row],[Key]]="","",IFERROR(INDEX(ตารางรวม!$H:$H,MATCH(tblSales[[#This Row],[Key]],ตารางรวม!$Z:$Z,0))*tblSales[[#This Row],[จำนวนแก้ว]],0))</f>
        <v/>
      </c>
      <c r="V180" s="10" t="str">
        <f>IF(tblSales[[#This Row],[Key]]="","",IFERROR(INDEX(ตารางรวม!$I:$I,MATCH(tblSales[[#This Row],[Key]],ตารางรวม!$Z:$Z,0))*tblSales[[#This Row],[จำนวนแก้ว]],0))</f>
        <v/>
      </c>
      <c r="W180" s="10" t="str">
        <f>IF(tblSales[[#This Row],[Key]]="","",IFERROR(INDEX(ตารางรวม!$J:$J,MATCH(tblSales[[#This Row],[Key]],ตารางรวม!$Z:$Z,0))*tblSales[[#This Row],[จำนวนแก้ว]],0))</f>
        <v/>
      </c>
      <c r="X180" s="10" t="str">
        <f>IF(tblSales[[#This Row],[Key]]="","",IFERROR(INDEX(ตารางรวม!$K:$K,MATCH(tblSales[[#This Row],[Key]],ตารางรวม!$Z:$Z,0))*tblSales[[#This Row],[จำนวนแก้ว]],0))</f>
        <v/>
      </c>
      <c r="Y180" s="10" t="str">
        <f>IF(tblSales[[#This Row],[Key]]="","",IFERROR(INDEX(ตารางรวม!$L:$L,MATCH(tblSales[[#This Row],[Key]],ตารางรวม!$Z:$Z,0))*tblSales[[#This Row],[จำนวนแก้ว]],0))</f>
        <v/>
      </c>
      <c r="Z18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0" s="10" t="str">
        <f>IF(tblSales[[#This Row],[Key]]="","",IF(tblSales[[#This Row],[ขนาด]]="16 oz",tblSales[[#This Row],[จำนวนแก้ว]],0))</f>
        <v/>
      </c>
      <c r="AI180" s="10" t="str">
        <f>IF(tblSales[[#This Row],[Key]]="","",IF(tblSales[[#This Row],[ขนาด]]="20 oz",tblSales[[#This Row],[จำนวนแก้ว]],0))</f>
        <v/>
      </c>
      <c r="AJ180" s="10" t="str">
        <f>IF(tblSales[[#This Row],[Key]]="","",IF(tblSales[[#This Row],[ขนาด]]="22 oz",tblSales[[#This Row],[จำนวนแก้ว]],0))</f>
        <v/>
      </c>
    </row>
    <row r="181" spans="1:36" x14ac:dyDescent="0.25">
      <c r="A181" s="4" t="str">
        <f>IF(tblSales[[#This Row],[วันที่]]="","","S"&amp;TEXT(tblSales[[#This Row],[วันที่]],"yymmdd")&amp;"-"&amp;TEXT(ROW()-5,"000"))</f>
        <v/>
      </c>
      <c r="B181" s="16"/>
      <c r="C181" s="6"/>
      <c r="D181" s="6"/>
      <c r="E181" s="20"/>
      <c r="F181" s="6"/>
      <c r="G181" s="6"/>
      <c r="H181" s="6"/>
      <c r="I181" s="6"/>
      <c r="J18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1" s="8" t="str">
        <f>IF(tblSales[[#This Row],[Key]]="","",IFERROR(INDEX(ตารางรวม!$W:$W,MATCH(tblSales[[#This Row],[Key]],ตารางรวม!$Z:$Z,0)),"ไม่พบสูตร"))</f>
        <v/>
      </c>
      <c r="L181" s="8" t="str">
        <f>IF(tblSales[[#This Row],[Key]]="","",IFERROR(INDEX(ตารางรวม!$V:$V,MATCH(tblSales[[#This Row],[Key]],ตารางรวม!$Z:$Z,0)),"ไม่พบสูตร"))</f>
        <v/>
      </c>
      <c r="M181" s="8" t="str">
        <f>IF(tblSales[[#This Row],[Key]]="","",IFERROR(tblSales[[#This Row],[ราคาต่อแก้ว]]*tblSales[[#This Row],[จำนวนแก้ว]],""))</f>
        <v/>
      </c>
      <c r="N181" s="8" t="str">
        <f>IF(tblSales[[#This Row],[Key]]="","",IFERROR(tblSales[[#This Row],[ต้นทุนต่อแก้ว]]*tblSales[[#This Row],[จำนวนแก้ว]],""))</f>
        <v/>
      </c>
      <c r="O181" s="8" t="str">
        <f>IF(tblSales[[#This Row],[Key]]="","",IFERROR(tblSales[[#This Row],[ยอดขาย (บาท)]]-tblSales[[#This Row],[ต้นทุนรวม (บาท)]],""))</f>
        <v/>
      </c>
      <c r="P181" s="21" t="str">
        <f>IF(tblSales[[#This Row],[Key]]="","",IFERROR(tblSales[[#This Row],[กำไร (บาท)]]/tblSales[[#This Row],[ยอดขาย (บาท)]],""))</f>
        <v/>
      </c>
      <c r="Q181" s="10" t="str">
        <f>IF(tblSales[[#This Row],[Key]]="","",IFERROR(INDEX(ตารางรวม!$D:$D,MATCH(tblSales[[#This Row],[Key]],ตารางรวม!$Z:$Z,0))*tblSales[[#This Row],[จำนวนแก้ว]],0))</f>
        <v/>
      </c>
      <c r="R181" s="10" t="str">
        <f>IF(tblSales[[#This Row],[Key]]="","",IFERROR(INDEX(ตารางรวม!$E:$E,MATCH(tblSales[[#This Row],[Key]],ตารางรวม!$Z:$Z,0))*tblSales[[#This Row],[จำนวนแก้ว]],0))</f>
        <v/>
      </c>
      <c r="S181" s="10" t="str">
        <f>IF(tblSales[[#This Row],[Key]]="","",IFERROR(INDEX(ตารางรวม!$F:$F,MATCH(tblSales[[#This Row],[Key]],ตารางรวม!$Z:$Z,0))*tblSales[[#This Row],[จำนวนแก้ว]],0))</f>
        <v/>
      </c>
      <c r="T181" s="10" t="str">
        <f>IF(tblSales[[#This Row],[Key]]="","",IFERROR(INDEX(ตารางรวม!$G:$G,MATCH(tblSales[[#This Row],[Key]],ตารางรวม!$Z:$Z,0))*tblSales[[#This Row],[จำนวนแก้ว]],0))</f>
        <v/>
      </c>
      <c r="U181" s="10" t="str">
        <f>IF(tblSales[[#This Row],[Key]]="","",IFERROR(INDEX(ตารางรวม!$H:$H,MATCH(tblSales[[#This Row],[Key]],ตารางรวม!$Z:$Z,0))*tblSales[[#This Row],[จำนวนแก้ว]],0))</f>
        <v/>
      </c>
      <c r="V181" s="10" t="str">
        <f>IF(tblSales[[#This Row],[Key]]="","",IFERROR(INDEX(ตารางรวม!$I:$I,MATCH(tblSales[[#This Row],[Key]],ตารางรวม!$Z:$Z,0))*tblSales[[#This Row],[จำนวนแก้ว]],0))</f>
        <v/>
      </c>
      <c r="W181" s="10" t="str">
        <f>IF(tblSales[[#This Row],[Key]]="","",IFERROR(INDEX(ตารางรวม!$J:$J,MATCH(tblSales[[#This Row],[Key]],ตารางรวม!$Z:$Z,0))*tblSales[[#This Row],[จำนวนแก้ว]],0))</f>
        <v/>
      </c>
      <c r="X181" s="10" t="str">
        <f>IF(tblSales[[#This Row],[Key]]="","",IFERROR(INDEX(ตารางรวม!$K:$K,MATCH(tblSales[[#This Row],[Key]],ตารางรวม!$Z:$Z,0))*tblSales[[#This Row],[จำนวนแก้ว]],0))</f>
        <v/>
      </c>
      <c r="Y181" s="10" t="str">
        <f>IF(tblSales[[#This Row],[Key]]="","",IFERROR(INDEX(ตารางรวม!$L:$L,MATCH(tblSales[[#This Row],[Key]],ตารางรวม!$Z:$Z,0))*tblSales[[#This Row],[จำนวนแก้ว]],0))</f>
        <v/>
      </c>
      <c r="Z18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1" s="10" t="str">
        <f>IF(tblSales[[#This Row],[Key]]="","",IF(tblSales[[#This Row],[ขนาด]]="16 oz",tblSales[[#This Row],[จำนวนแก้ว]],0))</f>
        <v/>
      </c>
      <c r="AI181" s="10" t="str">
        <f>IF(tblSales[[#This Row],[Key]]="","",IF(tblSales[[#This Row],[ขนาด]]="20 oz",tblSales[[#This Row],[จำนวนแก้ว]],0))</f>
        <v/>
      </c>
      <c r="AJ181" s="10" t="str">
        <f>IF(tblSales[[#This Row],[Key]]="","",IF(tblSales[[#This Row],[ขนาด]]="22 oz",tblSales[[#This Row],[จำนวนแก้ว]],0))</f>
        <v/>
      </c>
    </row>
    <row r="182" spans="1:36" x14ac:dyDescent="0.25">
      <c r="A182" s="4" t="str">
        <f>IF(tblSales[[#This Row],[วันที่]]="","","S"&amp;TEXT(tblSales[[#This Row],[วันที่]],"yymmdd")&amp;"-"&amp;TEXT(ROW()-5,"000"))</f>
        <v/>
      </c>
      <c r="B182" s="16"/>
      <c r="C182" s="6"/>
      <c r="D182" s="6"/>
      <c r="E182" s="20"/>
      <c r="F182" s="6"/>
      <c r="G182" s="6"/>
      <c r="H182" s="6"/>
      <c r="I182" s="6"/>
      <c r="J18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2" s="8" t="str">
        <f>IF(tblSales[[#This Row],[Key]]="","",IFERROR(INDEX(ตารางรวม!$W:$W,MATCH(tblSales[[#This Row],[Key]],ตารางรวม!$Z:$Z,0)),"ไม่พบสูตร"))</f>
        <v/>
      </c>
      <c r="L182" s="8" t="str">
        <f>IF(tblSales[[#This Row],[Key]]="","",IFERROR(INDEX(ตารางรวม!$V:$V,MATCH(tblSales[[#This Row],[Key]],ตารางรวม!$Z:$Z,0)),"ไม่พบสูตร"))</f>
        <v/>
      </c>
      <c r="M182" s="8" t="str">
        <f>IF(tblSales[[#This Row],[Key]]="","",IFERROR(tblSales[[#This Row],[ราคาต่อแก้ว]]*tblSales[[#This Row],[จำนวนแก้ว]],""))</f>
        <v/>
      </c>
      <c r="N182" s="8" t="str">
        <f>IF(tblSales[[#This Row],[Key]]="","",IFERROR(tblSales[[#This Row],[ต้นทุนต่อแก้ว]]*tblSales[[#This Row],[จำนวนแก้ว]],""))</f>
        <v/>
      </c>
      <c r="O182" s="8" t="str">
        <f>IF(tblSales[[#This Row],[Key]]="","",IFERROR(tblSales[[#This Row],[ยอดขาย (บาท)]]-tblSales[[#This Row],[ต้นทุนรวม (บาท)]],""))</f>
        <v/>
      </c>
      <c r="P182" s="21" t="str">
        <f>IF(tblSales[[#This Row],[Key]]="","",IFERROR(tblSales[[#This Row],[กำไร (บาท)]]/tblSales[[#This Row],[ยอดขาย (บาท)]],""))</f>
        <v/>
      </c>
      <c r="Q182" s="10" t="str">
        <f>IF(tblSales[[#This Row],[Key]]="","",IFERROR(INDEX(ตารางรวม!$D:$D,MATCH(tblSales[[#This Row],[Key]],ตารางรวม!$Z:$Z,0))*tblSales[[#This Row],[จำนวนแก้ว]],0))</f>
        <v/>
      </c>
      <c r="R182" s="10" t="str">
        <f>IF(tblSales[[#This Row],[Key]]="","",IFERROR(INDEX(ตารางรวม!$E:$E,MATCH(tblSales[[#This Row],[Key]],ตารางรวม!$Z:$Z,0))*tblSales[[#This Row],[จำนวนแก้ว]],0))</f>
        <v/>
      </c>
      <c r="S182" s="10" t="str">
        <f>IF(tblSales[[#This Row],[Key]]="","",IFERROR(INDEX(ตารางรวม!$F:$F,MATCH(tblSales[[#This Row],[Key]],ตารางรวม!$Z:$Z,0))*tblSales[[#This Row],[จำนวนแก้ว]],0))</f>
        <v/>
      </c>
      <c r="T182" s="10" t="str">
        <f>IF(tblSales[[#This Row],[Key]]="","",IFERROR(INDEX(ตารางรวม!$G:$G,MATCH(tblSales[[#This Row],[Key]],ตารางรวม!$Z:$Z,0))*tblSales[[#This Row],[จำนวนแก้ว]],0))</f>
        <v/>
      </c>
      <c r="U182" s="10" t="str">
        <f>IF(tblSales[[#This Row],[Key]]="","",IFERROR(INDEX(ตารางรวม!$H:$H,MATCH(tblSales[[#This Row],[Key]],ตารางรวม!$Z:$Z,0))*tblSales[[#This Row],[จำนวนแก้ว]],0))</f>
        <v/>
      </c>
      <c r="V182" s="10" t="str">
        <f>IF(tblSales[[#This Row],[Key]]="","",IFERROR(INDEX(ตารางรวม!$I:$I,MATCH(tblSales[[#This Row],[Key]],ตารางรวม!$Z:$Z,0))*tblSales[[#This Row],[จำนวนแก้ว]],0))</f>
        <v/>
      </c>
      <c r="W182" s="10" t="str">
        <f>IF(tblSales[[#This Row],[Key]]="","",IFERROR(INDEX(ตารางรวม!$J:$J,MATCH(tblSales[[#This Row],[Key]],ตารางรวม!$Z:$Z,0))*tblSales[[#This Row],[จำนวนแก้ว]],0))</f>
        <v/>
      </c>
      <c r="X182" s="10" t="str">
        <f>IF(tblSales[[#This Row],[Key]]="","",IFERROR(INDEX(ตารางรวม!$K:$K,MATCH(tblSales[[#This Row],[Key]],ตารางรวม!$Z:$Z,0))*tblSales[[#This Row],[จำนวนแก้ว]],0))</f>
        <v/>
      </c>
      <c r="Y182" s="10" t="str">
        <f>IF(tblSales[[#This Row],[Key]]="","",IFERROR(INDEX(ตารางรวม!$L:$L,MATCH(tblSales[[#This Row],[Key]],ตารางรวม!$Z:$Z,0))*tblSales[[#This Row],[จำนวนแก้ว]],0))</f>
        <v/>
      </c>
      <c r="Z18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2" s="10" t="str">
        <f>IF(tblSales[[#This Row],[Key]]="","",IF(tblSales[[#This Row],[ขนาด]]="16 oz",tblSales[[#This Row],[จำนวนแก้ว]],0))</f>
        <v/>
      </c>
      <c r="AI182" s="10" t="str">
        <f>IF(tblSales[[#This Row],[Key]]="","",IF(tblSales[[#This Row],[ขนาด]]="20 oz",tblSales[[#This Row],[จำนวนแก้ว]],0))</f>
        <v/>
      </c>
      <c r="AJ182" s="10" t="str">
        <f>IF(tblSales[[#This Row],[Key]]="","",IF(tblSales[[#This Row],[ขนาด]]="22 oz",tblSales[[#This Row],[จำนวนแก้ว]],0))</f>
        <v/>
      </c>
    </row>
    <row r="183" spans="1:36" x14ac:dyDescent="0.25">
      <c r="A183" s="4" t="str">
        <f>IF(tblSales[[#This Row],[วันที่]]="","","S"&amp;TEXT(tblSales[[#This Row],[วันที่]],"yymmdd")&amp;"-"&amp;TEXT(ROW()-5,"000"))</f>
        <v/>
      </c>
      <c r="B183" s="16"/>
      <c r="C183" s="6"/>
      <c r="D183" s="6"/>
      <c r="E183" s="20"/>
      <c r="F183" s="6"/>
      <c r="G183" s="6"/>
      <c r="H183" s="6"/>
      <c r="I183" s="6"/>
      <c r="J18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3" s="8" t="str">
        <f>IF(tblSales[[#This Row],[Key]]="","",IFERROR(INDEX(ตารางรวม!$W:$W,MATCH(tblSales[[#This Row],[Key]],ตารางรวม!$Z:$Z,0)),"ไม่พบสูตร"))</f>
        <v/>
      </c>
      <c r="L183" s="8" t="str">
        <f>IF(tblSales[[#This Row],[Key]]="","",IFERROR(INDEX(ตารางรวม!$V:$V,MATCH(tblSales[[#This Row],[Key]],ตารางรวม!$Z:$Z,0)),"ไม่พบสูตร"))</f>
        <v/>
      </c>
      <c r="M183" s="8" t="str">
        <f>IF(tblSales[[#This Row],[Key]]="","",IFERROR(tblSales[[#This Row],[ราคาต่อแก้ว]]*tblSales[[#This Row],[จำนวนแก้ว]],""))</f>
        <v/>
      </c>
      <c r="N183" s="8" t="str">
        <f>IF(tblSales[[#This Row],[Key]]="","",IFERROR(tblSales[[#This Row],[ต้นทุนต่อแก้ว]]*tblSales[[#This Row],[จำนวนแก้ว]],""))</f>
        <v/>
      </c>
      <c r="O183" s="8" t="str">
        <f>IF(tblSales[[#This Row],[Key]]="","",IFERROR(tblSales[[#This Row],[ยอดขาย (บาท)]]-tblSales[[#This Row],[ต้นทุนรวม (บาท)]],""))</f>
        <v/>
      </c>
      <c r="P183" s="21" t="str">
        <f>IF(tblSales[[#This Row],[Key]]="","",IFERROR(tblSales[[#This Row],[กำไร (บาท)]]/tblSales[[#This Row],[ยอดขาย (บาท)]],""))</f>
        <v/>
      </c>
      <c r="Q183" s="10" t="str">
        <f>IF(tblSales[[#This Row],[Key]]="","",IFERROR(INDEX(ตารางรวม!$D:$D,MATCH(tblSales[[#This Row],[Key]],ตารางรวม!$Z:$Z,0))*tblSales[[#This Row],[จำนวนแก้ว]],0))</f>
        <v/>
      </c>
      <c r="R183" s="10" t="str">
        <f>IF(tblSales[[#This Row],[Key]]="","",IFERROR(INDEX(ตารางรวม!$E:$E,MATCH(tblSales[[#This Row],[Key]],ตารางรวม!$Z:$Z,0))*tblSales[[#This Row],[จำนวนแก้ว]],0))</f>
        <v/>
      </c>
      <c r="S183" s="10" t="str">
        <f>IF(tblSales[[#This Row],[Key]]="","",IFERROR(INDEX(ตารางรวม!$F:$F,MATCH(tblSales[[#This Row],[Key]],ตารางรวม!$Z:$Z,0))*tblSales[[#This Row],[จำนวนแก้ว]],0))</f>
        <v/>
      </c>
      <c r="T183" s="10" t="str">
        <f>IF(tblSales[[#This Row],[Key]]="","",IFERROR(INDEX(ตารางรวม!$G:$G,MATCH(tblSales[[#This Row],[Key]],ตารางรวม!$Z:$Z,0))*tblSales[[#This Row],[จำนวนแก้ว]],0))</f>
        <v/>
      </c>
      <c r="U183" s="10" t="str">
        <f>IF(tblSales[[#This Row],[Key]]="","",IFERROR(INDEX(ตารางรวม!$H:$H,MATCH(tblSales[[#This Row],[Key]],ตารางรวม!$Z:$Z,0))*tblSales[[#This Row],[จำนวนแก้ว]],0))</f>
        <v/>
      </c>
      <c r="V183" s="10" t="str">
        <f>IF(tblSales[[#This Row],[Key]]="","",IFERROR(INDEX(ตารางรวม!$I:$I,MATCH(tblSales[[#This Row],[Key]],ตารางรวม!$Z:$Z,0))*tblSales[[#This Row],[จำนวนแก้ว]],0))</f>
        <v/>
      </c>
      <c r="W183" s="10" t="str">
        <f>IF(tblSales[[#This Row],[Key]]="","",IFERROR(INDEX(ตารางรวม!$J:$J,MATCH(tblSales[[#This Row],[Key]],ตารางรวม!$Z:$Z,0))*tblSales[[#This Row],[จำนวนแก้ว]],0))</f>
        <v/>
      </c>
      <c r="X183" s="10" t="str">
        <f>IF(tblSales[[#This Row],[Key]]="","",IFERROR(INDEX(ตารางรวม!$K:$K,MATCH(tblSales[[#This Row],[Key]],ตารางรวม!$Z:$Z,0))*tblSales[[#This Row],[จำนวนแก้ว]],0))</f>
        <v/>
      </c>
      <c r="Y183" s="10" t="str">
        <f>IF(tblSales[[#This Row],[Key]]="","",IFERROR(INDEX(ตารางรวม!$L:$L,MATCH(tblSales[[#This Row],[Key]],ตารางรวม!$Z:$Z,0))*tblSales[[#This Row],[จำนวนแก้ว]],0))</f>
        <v/>
      </c>
      <c r="Z18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3" s="10" t="str">
        <f>IF(tblSales[[#This Row],[Key]]="","",IF(tblSales[[#This Row],[ขนาด]]="16 oz",tblSales[[#This Row],[จำนวนแก้ว]],0))</f>
        <v/>
      </c>
      <c r="AI183" s="10" t="str">
        <f>IF(tblSales[[#This Row],[Key]]="","",IF(tblSales[[#This Row],[ขนาด]]="20 oz",tblSales[[#This Row],[จำนวนแก้ว]],0))</f>
        <v/>
      </c>
      <c r="AJ183" s="10" t="str">
        <f>IF(tblSales[[#This Row],[Key]]="","",IF(tblSales[[#This Row],[ขนาด]]="22 oz",tblSales[[#This Row],[จำนวนแก้ว]],0))</f>
        <v/>
      </c>
    </row>
    <row r="184" spans="1:36" x14ac:dyDescent="0.25">
      <c r="A184" s="4" t="str">
        <f>IF(tblSales[[#This Row],[วันที่]]="","","S"&amp;TEXT(tblSales[[#This Row],[วันที่]],"yymmdd")&amp;"-"&amp;TEXT(ROW()-5,"000"))</f>
        <v/>
      </c>
      <c r="B184" s="16"/>
      <c r="C184" s="6"/>
      <c r="D184" s="6"/>
      <c r="E184" s="20"/>
      <c r="F184" s="6"/>
      <c r="G184" s="6"/>
      <c r="H184" s="6"/>
      <c r="I184" s="6"/>
      <c r="J18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4" s="8" t="str">
        <f>IF(tblSales[[#This Row],[Key]]="","",IFERROR(INDEX(ตารางรวม!$W:$W,MATCH(tblSales[[#This Row],[Key]],ตารางรวม!$Z:$Z,0)),"ไม่พบสูตร"))</f>
        <v/>
      </c>
      <c r="L184" s="8" t="str">
        <f>IF(tblSales[[#This Row],[Key]]="","",IFERROR(INDEX(ตารางรวม!$V:$V,MATCH(tblSales[[#This Row],[Key]],ตารางรวม!$Z:$Z,0)),"ไม่พบสูตร"))</f>
        <v/>
      </c>
      <c r="M184" s="8" t="str">
        <f>IF(tblSales[[#This Row],[Key]]="","",IFERROR(tblSales[[#This Row],[ราคาต่อแก้ว]]*tblSales[[#This Row],[จำนวนแก้ว]],""))</f>
        <v/>
      </c>
      <c r="N184" s="8" t="str">
        <f>IF(tblSales[[#This Row],[Key]]="","",IFERROR(tblSales[[#This Row],[ต้นทุนต่อแก้ว]]*tblSales[[#This Row],[จำนวนแก้ว]],""))</f>
        <v/>
      </c>
      <c r="O184" s="8" t="str">
        <f>IF(tblSales[[#This Row],[Key]]="","",IFERROR(tblSales[[#This Row],[ยอดขาย (บาท)]]-tblSales[[#This Row],[ต้นทุนรวม (บาท)]],""))</f>
        <v/>
      </c>
      <c r="P184" s="21" t="str">
        <f>IF(tblSales[[#This Row],[Key]]="","",IFERROR(tblSales[[#This Row],[กำไร (บาท)]]/tblSales[[#This Row],[ยอดขาย (บาท)]],""))</f>
        <v/>
      </c>
      <c r="Q184" s="10" t="str">
        <f>IF(tblSales[[#This Row],[Key]]="","",IFERROR(INDEX(ตารางรวม!$D:$D,MATCH(tblSales[[#This Row],[Key]],ตารางรวม!$Z:$Z,0))*tblSales[[#This Row],[จำนวนแก้ว]],0))</f>
        <v/>
      </c>
      <c r="R184" s="10" t="str">
        <f>IF(tblSales[[#This Row],[Key]]="","",IFERROR(INDEX(ตารางรวม!$E:$E,MATCH(tblSales[[#This Row],[Key]],ตารางรวม!$Z:$Z,0))*tblSales[[#This Row],[จำนวนแก้ว]],0))</f>
        <v/>
      </c>
      <c r="S184" s="10" t="str">
        <f>IF(tblSales[[#This Row],[Key]]="","",IFERROR(INDEX(ตารางรวม!$F:$F,MATCH(tblSales[[#This Row],[Key]],ตารางรวม!$Z:$Z,0))*tblSales[[#This Row],[จำนวนแก้ว]],0))</f>
        <v/>
      </c>
      <c r="T184" s="10" t="str">
        <f>IF(tblSales[[#This Row],[Key]]="","",IFERROR(INDEX(ตารางรวม!$G:$G,MATCH(tblSales[[#This Row],[Key]],ตารางรวม!$Z:$Z,0))*tblSales[[#This Row],[จำนวนแก้ว]],0))</f>
        <v/>
      </c>
      <c r="U184" s="10" t="str">
        <f>IF(tblSales[[#This Row],[Key]]="","",IFERROR(INDEX(ตารางรวม!$H:$H,MATCH(tblSales[[#This Row],[Key]],ตารางรวม!$Z:$Z,0))*tblSales[[#This Row],[จำนวนแก้ว]],0))</f>
        <v/>
      </c>
      <c r="V184" s="10" t="str">
        <f>IF(tblSales[[#This Row],[Key]]="","",IFERROR(INDEX(ตารางรวม!$I:$I,MATCH(tblSales[[#This Row],[Key]],ตารางรวม!$Z:$Z,0))*tblSales[[#This Row],[จำนวนแก้ว]],0))</f>
        <v/>
      </c>
      <c r="W184" s="10" t="str">
        <f>IF(tblSales[[#This Row],[Key]]="","",IFERROR(INDEX(ตารางรวม!$J:$J,MATCH(tblSales[[#This Row],[Key]],ตารางรวม!$Z:$Z,0))*tblSales[[#This Row],[จำนวนแก้ว]],0))</f>
        <v/>
      </c>
      <c r="X184" s="10" t="str">
        <f>IF(tblSales[[#This Row],[Key]]="","",IFERROR(INDEX(ตารางรวม!$K:$K,MATCH(tblSales[[#This Row],[Key]],ตารางรวม!$Z:$Z,0))*tblSales[[#This Row],[จำนวนแก้ว]],0))</f>
        <v/>
      </c>
      <c r="Y184" s="10" t="str">
        <f>IF(tblSales[[#This Row],[Key]]="","",IFERROR(INDEX(ตารางรวม!$L:$L,MATCH(tblSales[[#This Row],[Key]],ตารางรวม!$Z:$Z,0))*tblSales[[#This Row],[จำนวนแก้ว]],0))</f>
        <v/>
      </c>
      <c r="Z18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4" s="10" t="str">
        <f>IF(tblSales[[#This Row],[Key]]="","",IF(tblSales[[#This Row],[ขนาด]]="16 oz",tblSales[[#This Row],[จำนวนแก้ว]],0))</f>
        <v/>
      </c>
      <c r="AI184" s="10" t="str">
        <f>IF(tblSales[[#This Row],[Key]]="","",IF(tblSales[[#This Row],[ขนาด]]="20 oz",tblSales[[#This Row],[จำนวนแก้ว]],0))</f>
        <v/>
      </c>
      <c r="AJ184" s="10" t="str">
        <f>IF(tblSales[[#This Row],[Key]]="","",IF(tblSales[[#This Row],[ขนาด]]="22 oz",tblSales[[#This Row],[จำนวนแก้ว]],0))</f>
        <v/>
      </c>
    </row>
    <row r="185" spans="1:36" x14ac:dyDescent="0.25">
      <c r="A185" s="4" t="str">
        <f>IF(tblSales[[#This Row],[วันที่]]="","","S"&amp;TEXT(tblSales[[#This Row],[วันที่]],"yymmdd")&amp;"-"&amp;TEXT(ROW()-5,"000"))</f>
        <v/>
      </c>
      <c r="B185" s="16"/>
      <c r="C185" s="6"/>
      <c r="D185" s="6"/>
      <c r="E185" s="20"/>
      <c r="F185" s="6"/>
      <c r="G185" s="6"/>
      <c r="H185" s="6"/>
      <c r="I185" s="6"/>
      <c r="J18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5" s="8" t="str">
        <f>IF(tblSales[[#This Row],[Key]]="","",IFERROR(INDEX(ตารางรวม!$W:$W,MATCH(tblSales[[#This Row],[Key]],ตารางรวม!$Z:$Z,0)),"ไม่พบสูตร"))</f>
        <v/>
      </c>
      <c r="L185" s="8" t="str">
        <f>IF(tblSales[[#This Row],[Key]]="","",IFERROR(INDEX(ตารางรวม!$V:$V,MATCH(tblSales[[#This Row],[Key]],ตารางรวม!$Z:$Z,0)),"ไม่พบสูตร"))</f>
        <v/>
      </c>
      <c r="M185" s="8" t="str">
        <f>IF(tblSales[[#This Row],[Key]]="","",IFERROR(tblSales[[#This Row],[ราคาต่อแก้ว]]*tblSales[[#This Row],[จำนวนแก้ว]],""))</f>
        <v/>
      </c>
      <c r="N185" s="8" t="str">
        <f>IF(tblSales[[#This Row],[Key]]="","",IFERROR(tblSales[[#This Row],[ต้นทุนต่อแก้ว]]*tblSales[[#This Row],[จำนวนแก้ว]],""))</f>
        <v/>
      </c>
      <c r="O185" s="8" t="str">
        <f>IF(tblSales[[#This Row],[Key]]="","",IFERROR(tblSales[[#This Row],[ยอดขาย (บาท)]]-tblSales[[#This Row],[ต้นทุนรวม (บาท)]],""))</f>
        <v/>
      </c>
      <c r="P185" s="21" t="str">
        <f>IF(tblSales[[#This Row],[Key]]="","",IFERROR(tblSales[[#This Row],[กำไร (บาท)]]/tblSales[[#This Row],[ยอดขาย (บาท)]],""))</f>
        <v/>
      </c>
      <c r="Q185" s="10" t="str">
        <f>IF(tblSales[[#This Row],[Key]]="","",IFERROR(INDEX(ตารางรวม!$D:$D,MATCH(tblSales[[#This Row],[Key]],ตารางรวม!$Z:$Z,0))*tblSales[[#This Row],[จำนวนแก้ว]],0))</f>
        <v/>
      </c>
      <c r="R185" s="10" t="str">
        <f>IF(tblSales[[#This Row],[Key]]="","",IFERROR(INDEX(ตารางรวม!$E:$E,MATCH(tblSales[[#This Row],[Key]],ตารางรวม!$Z:$Z,0))*tblSales[[#This Row],[จำนวนแก้ว]],0))</f>
        <v/>
      </c>
      <c r="S185" s="10" t="str">
        <f>IF(tblSales[[#This Row],[Key]]="","",IFERROR(INDEX(ตารางรวม!$F:$F,MATCH(tblSales[[#This Row],[Key]],ตารางรวม!$Z:$Z,0))*tblSales[[#This Row],[จำนวนแก้ว]],0))</f>
        <v/>
      </c>
      <c r="T185" s="10" t="str">
        <f>IF(tblSales[[#This Row],[Key]]="","",IFERROR(INDEX(ตารางรวม!$G:$G,MATCH(tblSales[[#This Row],[Key]],ตารางรวม!$Z:$Z,0))*tblSales[[#This Row],[จำนวนแก้ว]],0))</f>
        <v/>
      </c>
      <c r="U185" s="10" t="str">
        <f>IF(tblSales[[#This Row],[Key]]="","",IFERROR(INDEX(ตารางรวม!$H:$H,MATCH(tblSales[[#This Row],[Key]],ตารางรวม!$Z:$Z,0))*tblSales[[#This Row],[จำนวนแก้ว]],0))</f>
        <v/>
      </c>
      <c r="V185" s="10" t="str">
        <f>IF(tblSales[[#This Row],[Key]]="","",IFERROR(INDEX(ตารางรวม!$I:$I,MATCH(tblSales[[#This Row],[Key]],ตารางรวม!$Z:$Z,0))*tblSales[[#This Row],[จำนวนแก้ว]],0))</f>
        <v/>
      </c>
      <c r="W185" s="10" t="str">
        <f>IF(tblSales[[#This Row],[Key]]="","",IFERROR(INDEX(ตารางรวม!$J:$J,MATCH(tblSales[[#This Row],[Key]],ตารางรวม!$Z:$Z,0))*tblSales[[#This Row],[จำนวนแก้ว]],0))</f>
        <v/>
      </c>
      <c r="X185" s="10" t="str">
        <f>IF(tblSales[[#This Row],[Key]]="","",IFERROR(INDEX(ตารางรวม!$K:$K,MATCH(tblSales[[#This Row],[Key]],ตารางรวม!$Z:$Z,0))*tblSales[[#This Row],[จำนวนแก้ว]],0))</f>
        <v/>
      </c>
      <c r="Y185" s="10" t="str">
        <f>IF(tblSales[[#This Row],[Key]]="","",IFERROR(INDEX(ตารางรวม!$L:$L,MATCH(tblSales[[#This Row],[Key]],ตารางรวม!$Z:$Z,0))*tblSales[[#This Row],[จำนวนแก้ว]],0))</f>
        <v/>
      </c>
      <c r="Z18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5" s="10" t="str">
        <f>IF(tblSales[[#This Row],[Key]]="","",IF(tblSales[[#This Row],[ขนาด]]="16 oz",tblSales[[#This Row],[จำนวนแก้ว]],0))</f>
        <v/>
      </c>
      <c r="AI185" s="10" t="str">
        <f>IF(tblSales[[#This Row],[Key]]="","",IF(tblSales[[#This Row],[ขนาด]]="20 oz",tblSales[[#This Row],[จำนวนแก้ว]],0))</f>
        <v/>
      </c>
      <c r="AJ185" s="10" t="str">
        <f>IF(tblSales[[#This Row],[Key]]="","",IF(tblSales[[#This Row],[ขนาด]]="22 oz",tblSales[[#This Row],[จำนวนแก้ว]],0))</f>
        <v/>
      </c>
    </row>
    <row r="186" spans="1:36" x14ac:dyDescent="0.25">
      <c r="A186" s="4" t="str">
        <f>IF(tblSales[[#This Row],[วันที่]]="","","S"&amp;TEXT(tblSales[[#This Row],[วันที่]],"yymmdd")&amp;"-"&amp;TEXT(ROW()-5,"000"))</f>
        <v/>
      </c>
      <c r="B186" s="16"/>
      <c r="C186" s="6"/>
      <c r="D186" s="6"/>
      <c r="E186" s="20"/>
      <c r="F186" s="6"/>
      <c r="G186" s="6"/>
      <c r="H186" s="6"/>
      <c r="I186" s="6"/>
      <c r="J18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6" s="8" t="str">
        <f>IF(tblSales[[#This Row],[Key]]="","",IFERROR(INDEX(ตารางรวม!$W:$W,MATCH(tblSales[[#This Row],[Key]],ตารางรวม!$Z:$Z,0)),"ไม่พบสูตร"))</f>
        <v/>
      </c>
      <c r="L186" s="8" t="str">
        <f>IF(tblSales[[#This Row],[Key]]="","",IFERROR(INDEX(ตารางรวม!$V:$V,MATCH(tblSales[[#This Row],[Key]],ตารางรวม!$Z:$Z,0)),"ไม่พบสูตร"))</f>
        <v/>
      </c>
      <c r="M186" s="8" t="str">
        <f>IF(tblSales[[#This Row],[Key]]="","",IFERROR(tblSales[[#This Row],[ราคาต่อแก้ว]]*tblSales[[#This Row],[จำนวนแก้ว]],""))</f>
        <v/>
      </c>
      <c r="N186" s="8" t="str">
        <f>IF(tblSales[[#This Row],[Key]]="","",IFERROR(tblSales[[#This Row],[ต้นทุนต่อแก้ว]]*tblSales[[#This Row],[จำนวนแก้ว]],""))</f>
        <v/>
      </c>
      <c r="O186" s="8" t="str">
        <f>IF(tblSales[[#This Row],[Key]]="","",IFERROR(tblSales[[#This Row],[ยอดขาย (บาท)]]-tblSales[[#This Row],[ต้นทุนรวม (บาท)]],""))</f>
        <v/>
      </c>
      <c r="P186" s="21" t="str">
        <f>IF(tblSales[[#This Row],[Key]]="","",IFERROR(tblSales[[#This Row],[กำไร (บาท)]]/tblSales[[#This Row],[ยอดขาย (บาท)]],""))</f>
        <v/>
      </c>
      <c r="Q186" s="10" t="str">
        <f>IF(tblSales[[#This Row],[Key]]="","",IFERROR(INDEX(ตารางรวม!$D:$D,MATCH(tblSales[[#This Row],[Key]],ตารางรวม!$Z:$Z,0))*tblSales[[#This Row],[จำนวนแก้ว]],0))</f>
        <v/>
      </c>
      <c r="R186" s="10" t="str">
        <f>IF(tblSales[[#This Row],[Key]]="","",IFERROR(INDEX(ตารางรวม!$E:$E,MATCH(tblSales[[#This Row],[Key]],ตารางรวม!$Z:$Z,0))*tblSales[[#This Row],[จำนวนแก้ว]],0))</f>
        <v/>
      </c>
      <c r="S186" s="10" t="str">
        <f>IF(tblSales[[#This Row],[Key]]="","",IFERROR(INDEX(ตารางรวม!$F:$F,MATCH(tblSales[[#This Row],[Key]],ตารางรวม!$Z:$Z,0))*tblSales[[#This Row],[จำนวนแก้ว]],0))</f>
        <v/>
      </c>
      <c r="T186" s="10" t="str">
        <f>IF(tblSales[[#This Row],[Key]]="","",IFERROR(INDEX(ตารางรวม!$G:$G,MATCH(tblSales[[#This Row],[Key]],ตารางรวม!$Z:$Z,0))*tblSales[[#This Row],[จำนวนแก้ว]],0))</f>
        <v/>
      </c>
      <c r="U186" s="10" t="str">
        <f>IF(tblSales[[#This Row],[Key]]="","",IFERROR(INDEX(ตารางรวม!$H:$H,MATCH(tblSales[[#This Row],[Key]],ตารางรวม!$Z:$Z,0))*tblSales[[#This Row],[จำนวนแก้ว]],0))</f>
        <v/>
      </c>
      <c r="V186" s="10" t="str">
        <f>IF(tblSales[[#This Row],[Key]]="","",IFERROR(INDEX(ตารางรวม!$I:$I,MATCH(tblSales[[#This Row],[Key]],ตารางรวม!$Z:$Z,0))*tblSales[[#This Row],[จำนวนแก้ว]],0))</f>
        <v/>
      </c>
      <c r="W186" s="10" t="str">
        <f>IF(tblSales[[#This Row],[Key]]="","",IFERROR(INDEX(ตารางรวม!$J:$J,MATCH(tblSales[[#This Row],[Key]],ตารางรวม!$Z:$Z,0))*tblSales[[#This Row],[จำนวนแก้ว]],0))</f>
        <v/>
      </c>
      <c r="X186" s="10" t="str">
        <f>IF(tblSales[[#This Row],[Key]]="","",IFERROR(INDEX(ตารางรวม!$K:$K,MATCH(tblSales[[#This Row],[Key]],ตารางรวม!$Z:$Z,0))*tblSales[[#This Row],[จำนวนแก้ว]],0))</f>
        <v/>
      </c>
      <c r="Y186" s="10" t="str">
        <f>IF(tblSales[[#This Row],[Key]]="","",IFERROR(INDEX(ตารางรวม!$L:$L,MATCH(tblSales[[#This Row],[Key]],ตารางรวม!$Z:$Z,0))*tblSales[[#This Row],[จำนวนแก้ว]],0))</f>
        <v/>
      </c>
      <c r="Z18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6" s="10" t="str">
        <f>IF(tblSales[[#This Row],[Key]]="","",IF(tblSales[[#This Row],[ขนาด]]="16 oz",tblSales[[#This Row],[จำนวนแก้ว]],0))</f>
        <v/>
      </c>
      <c r="AI186" s="10" t="str">
        <f>IF(tblSales[[#This Row],[Key]]="","",IF(tblSales[[#This Row],[ขนาด]]="20 oz",tblSales[[#This Row],[จำนวนแก้ว]],0))</f>
        <v/>
      </c>
      <c r="AJ186" s="10" t="str">
        <f>IF(tblSales[[#This Row],[Key]]="","",IF(tblSales[[#This Row],[ขนาด]]="22 oz",tblSales[[#This Row],[จำนวนแก้ว]],0))</f>
        <v/>
      </c>
    </row>
    <row r="187" spans="1:36" x14ac:dyDescent="0.25">
      <c r="A187" s="4" t="str">
        <f>IF(tblSales[[#This Row],[วันที่]]="","","S"&amp;TEXT(tblSales[[#This Row],[วันที่]],"yymmdd")&amp;"-"&amp;TEXT(ROW()-5,"000"))</f>
        <v/>
      </c>
      <c r="B187" s="16"/>
      <c r="C187" s="6"/>
      <c r="D187" s="6"/>
      <c r="E187" s="20"/>
      <c r="F187" s="6"/>
      <c r="G187" s="6"/>
      <c r="H187" s="6"/>
      <c r="I187" s="6"/>
      <c r="J18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7" s="8" t="str">
        <f>IF(tblSales[[#This Row],[Key]]="","",IFERROR(INDEX(ตารางรวม!$W:$W,MATCH(tblSales[[#This Row],[Key]],ตารางรวม!$Z:$Z,0)),"ไม่พบสูตร"))</f>
        <v/>
      </c>
      <c r="L187" s="8" t="str">
        <f>IF(tblSales[[#This Row],[Key]]="","",IFERROR(INDEX(ตารางรวม!$V:$V,MATCH(tblSales[[#This Row],[Key]],ตารางรวม!$Z:$Z,0)),"ไม่พบสูตร"))</f>
        <v/>
      </c>
      <c r="M187" s="8" t="str">
        <f>IF(tblSales[[#This Row],[Key]]="","",IFERROR(tblSales[[#This Row],[ราคาต่อแก้ว]]*tblSales[[#This Row],[จำนวนแก้ว]],""))</f>
        <v/>
      </c>
      <c r="N187" s="8" t="str">
        <f>IF(tblSales[[#This Row],[Key]]="","",IFERROR(tblSales[[#This Row],[ต้นทุนต่อแก้ว]]*tblSales[[#This Row],[จำนวนแก้ว]],""))</f>
        <v/>
      </c>
      <c r="O187" s="8" t="str">
        <f>IF(tblSales[[#This Row],[Key]]="","",IFERROR(tblSales[[#This Row],[ยอดขาย (บาท)]]-tblSales[[#This Row],[ต้นทุนรวม (บาท)]],""))</f>
        <v/>
      </c>
      <c r="P187" s="21" t="str">
        <f>IF(tblSales[[#This Row],[Key]]="","",IFERROR(tblSales[[#This Row],[กำไร (บาท)]]/tblSales[[#This Row],[ยอดขาย (บาท)]],""))</f>
        <v/>
      </c>
      <c r="Q187" s="10" t="str">
        <f>IF(tblSales[[#This Row],[Key]]="","",IFERROR(INDEX(ตารางรวม!$D:$D,MATCH(tblSales[[#This Row],[Key]],ตารางรวม!$Z:$Z,0))*tblSales[[#This Row],[จำนวนแก้ว]],0))</f>
        <v/>
      </c>
      <c r="R187" s="10" t="str">
        <f>IF(tblSales[[#This Row],[Key]]="","",IFERROR(INDEX(ตารางรวม!$E:$E,MATCH(tblSales[[#This Row],[Key]],ตารางรวม!$Z:$Z,0))*tblSales[[#This Row],[จำนวนแก้ว]],0))</f>
        <v/>
      </c>
      <c r="S187" s="10" t="str">
        <f>IF(tblSales[[#This Row],[Key]]="","",IFERROR(INDEX(ตารางรวม!$F:$F,MATCH(tblSales[[#This Row],[Key]],ตารางรวม!$Z:$Z,0))*tblSales[[#This Row],[จำนวนแก้ว]],0))</f>
        <v/>
      </c>
      <c r="T187" s="10" t="str">
        <f>IF(tblSales[[#This Row],[Key]]="","",IFERROR(INDEX(ตารางรวม!$G:$G,MATCH(tblSales[[#This Row],[Key]],ตารางรวม!$Z:$Z,0))*tblSales[[#This Row],[จำนวนแก้ว]],0))</f>
        <v/>
      </c>
      <c r="U187" s="10" t="str">
        <f>IF(tblSales[[#This Row],[Key]]="","",IFERROR(INDEX(ตารางรวม!$H:$H,MATCH(tblSales[[#This Row],[Key]],ตารางรวม!$Z:$Z,0))*tblSales[[#This Row],[จำนวนแก้ว]],0))</f>
        <v/>
      </c>
      <c r="V187" s="10" t="str">
        <f>IF(tblSales[[#This Row],[Key]]="","",IFERROR(INDEX(ตารางรวม!$I:$I,MATCH(tblSales[[#This Row],[Key]],ตารางรวม!$Z:$Z,0))*tblSales[[#This Row],[จำนวนแก้ว]],0))</f>
        <v/>
      </c>
      <c r="W187" s="10" t="str">
        <f>IF(tblSales[[#This Row],[Key]]="","",IFERROR(INDEX(ตารางรวม!$J:$J,MATCH(tblSales[[#This Row],[Key]],ตารางรวม!$Z:$Z,0))*tblSales[[#This Row],[จำนวนแก้ว]],0))</f>
        <v/>
      </c>
      <c r="X187" s="10" t="str">
        <f>IF(tblSales[[#This Row],[Key]]="","",IFERROR(INDEX(ตารางรวม!$K:$K,MATCH(tblSales[[#This Row],[Key]],ตารางรวม!$Z:$Z,0))*tblSales[[#This Row],[จำนวนแก้ว]],0))</f>
        <v/>
      </c>
      <c r="Y187" s="10" t="str">
        <f>IF(tblSales[[#This Row],[Key]]="","",IFERROR(INDEX(ตารางรวม!$L:$L,MATCH(tblSales[[#This Row],[Key]],ตารางรวม!$Z:$Z,0))*tblSales[[#This Row],[จำนวนแก้ว]],0))</f>
        <v/>
      </c>
      <c r="Z18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7" s="10" t="str">
        <f>IF(tblSales[[#This Row],[Key]]="","",IF(tblSales[[#This Row],[ขนาด]]="16 oz",tblSales[[#This Row],[จำนวนแก้ว]],0))</f>
        <v/>
      </c>
      <c r="AI187" s="10" t="str">
        <f>IF(tblSales[[#This Row],[Key]]="","",IF(tblSales[[#This Row],[ขนาด]]="20 oz",tblSales[[#This Row],[จำนวนแก้ว]],0))</f>
        <v/>
      </c>
      <c r="AJ187" s="10" t="str">
        <f>IF(tblSales[[#This Row],[Key]]="","",IF(tblSales[[#This Row],[ขนาด]]="22 oz",tblSales[[#This Row],[จำนวนแก้ว]],0))</f>
        <v/>
      </c>
    </row>
    <row r="188" spans="1:36" x14ac:dyDescent="0.25">
      <c r="A188" s="4" t="str">
        <f>IF(tblSales[[#This Row],[วันที่]]="","","S"&amp;TEXT(tblSales[[#This Row],[วันที่]],"yymmdd")&amp;"-"&amp;TEXT(ROW()-5,"000"))</f>
        <v/>
      </c>
      <c r="B188" s="16"/>
      <c r="C188" s="6"/>
      <c r="D188" s="6"/>
      <c r="E188" s="20"/>
      <c r="F188" s="6"/>
      <c r="G188" s="6"/>
      <c r="H188" s="6"/>
      <c r="I188" s="6"/>
      <c r="J18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8" s="8" t="str">
        <f>IF(tblSales[[#This Row],[Key]]="","",IFERROR(INDEX(ตารางรวม!$W:$W,MATCH(tblSales[[#This Row],[Key]],ตารางรวม!$Z:$Z,0)),"ไม่พบสูตร"))</f>
        <v/>
      </c>
      <c r="L188" s="8" t="str">
        <f>IF(tblSales[[#This Row],[Key]]="","",IFERROR(INDEX(ตารางรวม!$V:$V,MATCH(tblSales[[#This Row],[Key]],ตารางรวม!$Z:$Z,0)),"ไม่พบสูตร"))</f>
        <v/>
      </c>
      <c r="M188" s="8" t="str">
        <f>IF(tblSales[[#This Row],[Key]]="","",IFERROR(tblSales[[#This Row],[ราคาต่อแก้ว]]*tblSales[[#This Row],[จำนวนแก้ว]],""))</f>
        <v/>
      </c>
      <c r="N188" s="8" t="str">
        <f>IF(tblSales[[#This Row],[Key]]="","",IFERROR(tblSales[[#This Row],[ต้นทุนต่อแก้ว]]*tblSales[[#This Row],[จำนวนแก้ว]],""))</f>
        <v/>
      </c>
      <c r="O188" s="8" t="str">
        <f>IF(tblSales[[#This Row],[Key]]="","",IFERROR(tblSales[[#This Row],[ยอดขาย (บาท)]]-tblSales[[#This Row],[ต้นทุนรวม (บาท)]],""))</f>
        <v/>
      </c>
      <c r="P188" s="21" t="str">
        <f>IF(tblSales[[#This Row],[Key]]="","",IFERROR(tblSales[[#This Row],[กำไร (บาท)]]/tblSales[[#This Row],[ยอดขาย (บาท)]],""))</f>
        <v/>
      </c>
      <c r="Q188" s="10" t="str">
        <f>IF(tblSales[[#This Row],[Key]]="","",IFERROR(INDEX(ตารางรวม!$D:$D,MATCH(tblSales[[#This Row],[Key]],ตารางรวม!$Z:$Z,0))*tblSales[[#This Row],[จำนวนแก้ว]],0))</f>
        <v/>
      </c>
      <c r="R188" s="10" t="str">
        <f>IF(tblSales[[#This Row],[Key]]="","",IFERROR(INDEX(ตารางรวม!$E:$E,MATCH(tblSales[[#This Row],[Key]],ตารางรวม!$Z:$Z,0))*tblSales[[#This Row],[จำนวนแก้ว]],0))</f>
        <v/>
      </c>
      <c r="S188" s="10" t="str">
        <f>IF(tblSales[[#This Row],[Key]]="","",IFERROR(INDEX(ตารางรวม!$F:$F,MATCH(tblSales[[#This Row],[Key]],ตารางรวม!$Z:$Z,0))*tblSales[[#This Row],[จำนวนแก้ว]],0))</f>
        <v/>
      </c>
      <c r="T188" s="10" t="str">
        <f>IF(tblSales[[#This Row],[Key]]="","",IFERROR(INDEX(ตารางรวม!$G:$G,MATCH(tblSales[[#This Row],[Key]],ตารางรวม!$Z:$Z,0))*tblSales[[#This Row],[จำนวนแก้ว]],0))</f>
        <v/>
      </c>
      <c r="U188" s="10" t="str">
        <f>IF(tblSales[[#This Row],[Key]]="","",IFERROR(INDEX(ตารางรวม!$H:$H,MATCH(tblSales[[#This Row],[Key]],ตารางรวม!$Z:$Z,0))*tblSales[[#This Row],[จำนวนแก้ว]],0))</f>
        <v/>
      </c>
      <c r="V188" s="10" t="str">
        <f>IF(tblSales[[#This Row],[Key]]="","",IFERROR(INDEX(ตารางรวม!$I:$I,MATCH(tblSales[[#This Row],[Key]],ตารางรวม!$Z:$Z,0))*tblSales[[#This Row],[จำนวนแก้ว]],0))</f>
        <v/>
      </c>
      <c r="W188" s="10" t="str">
        <f>IF(tblSales[[#This Row],[Key]]="","",IFERROR(INDEX(ตารางรวม!$J:$J,MATCH(tblSales[[#This Row],[Key]],ตารางรวม!$Z:$Z,0))*tblSales[[#This Row],[จำนวนแก้ว]],0))</f>
        <v/>
      </c>
      <c r="X188" s="10" t="str">
        <f>IF(tblSales[[#This Row],[Key]]="","",IFERROR(INDEX(ตารางรวม!$K:$K,MATCH(tblSales[[#This Row],[Key]],ตารางรวม!$Z:$Z,0))*tblSales[[#This Row],[จำนวนแก้ว]],0))</f>
        <v/>
      </c>
      <c r="Y188" s="10" t="str">
        <f>IF(tblSales[[#This Row],[Key]]="","",IFERROR(INDEX(ตารางรวม!$L:$L,MATCH(tblSales[[#This Row],[Key]],ตารางรวม!$Z:$Z,0))*tblSales[[#This Row],[จำนวนแก้ว]],0))</f>
        <v/>
      </c>
      <c r="Z18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8" s="10" t="str">
        <f>IF(tblSales[[#This Row],[Key]]="","",IF(tblSales[[#This Row],[ขนาด]]="16 oz",tblSales[[#This Row],[จำนวนแก้ว]],0))</f>
        <v/>
      </c>
      <c r="AI188" s="10" t="str">
        <f>IF(tblSales[[#This Row],[Key]]="","",IF(tblSales[[#This Row],[ขนาด]]="20 oz",tblSales[[#This Row],[จำนวนแก้ว]],0))</f>
        <v/>
      </c>
      <c r="AJ188" s="10" t="str">
        <f>IF(tblSales[[#This Row],[Key]]="","",IF(tblSales[[#This Row],[ขนาด]]="22 oz",tblSales[[#This Row],[จำนวนแก้ว]],0))</f>
        <v/>
      </c>
    </row>
    <row r="189" spans="1:36" x14ac:dyDescent="0.25">
      <c r="A189" s="4" t="str">
        <f>IF(tblSales[[#This Row],[วันที่]]="","","S"&amp;TEXT(tblSales[[#This Row],[วันที่]],"yymmdd")&amp;"-"&amp;TEXT(ROW()-5,"000"))</f>
        <v/>
      </c>
      <c r="B189" s="16"/>
      <c r="C189" s="6"/>
      <c r="D189" s="6"/>
      <c r="E189" s="20"/>
      <c r="F189" s="6"/>
      <c r="G189" s="6"/>
      <c r="H189" s="6"/>
      <c r="I189" s="6"/>
      <c r="J18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89" s="8" t="str">
        <f>IF(tblSales[[#This Row],[Key]]="","",IFERROR(INDEX(ตารางรวม!$W:$W,MATCH(tblSales[[#This Row],[Key]],ตารางรวม!$Z:$Z,0)),"ไม่พบสูตร"))</f>
        <v/>
      </c>
      <c r="L189" s="8" t="str">
        <f>IF(tblSales[[#This Row],[Key]]="","",IFERROR(INDEX(ตารางรวม!$V:$V,MATCH(tblSales[[#This Row],[Key]],ตารางรวม!$Z:$Z,0)),"ไม่พบสูตร"))</f>
        <v/>
      </c>
      <c r="M189" s="8" t="str">
        <f>IF(tblSales[[#This Row],[Key]]="","",IFERROR(tblSales[[#This Row],[ราคาต่อแก้ว]]*tblSales[[#This Row],[จำนวนแก้ว]],""))</f>
        <v/>
      </c>
      <c r="N189" s="8" t="str">
        <f>IF(tblSales[[#This Row],[Key]]="","",IFERROR(tblSales[[#This Row],[ต้นทุนต่อแก้ว]]*tblSales[[#This Row],[จำนวนแก้ว]],""))</f>
        <v/>
      </c>
      <c r="O189" s="8" t="str">
        <f>IF(tblSales[[#This Row],[Key]]="","",IFERROR(tblSales[[#This Row],[ยอดขาย (บาท)]]-tblSales[[#This Row],[ต้นทุนรวม (บาท)]],""))</f>
        <v/>
      </c>
      <c r="P189" s="21" t="str">
        <f>IF(tblSales[[#This Row],[Key]]="","",IFERROR(tblSales[[#This Row],[กำไร (บาท)]]/tblSales[[#This Row],[ยอดขาย (บาท)]],""))</f>
        <v/>
      </c>
      <c r="Q189" s="10" t="str">
        <f>IF(tblSales[[#This Row],[Key]]="","",IFERROR(INDEX(ตารางรวม!$D:$D,MATCH(tblSales[[#This Row],[Key]],ตารางรวม!$Z:$Z,0))*tblSales[[#This Row],[จำนวนแก้ว]],0))</f>
        <v/>
      </c>
      <c r="R189" s="10" t="str">
        <f>IF(tblSales[[#This Row],[Key]]="","",IFERROR(INDEX(ตารางรวม!$E:$E,MATCH(tblSales[[#This Row],[Key]],ตารางรวม!$Z:$Z,0))*tblSales[[#This Row],[จำนวนแก้ว]],0))</f>
        <v/>
      </c>
      <c r="S189" s="10" t="str">
        <f>IF(tblSales[[#This Row],[Key]]="","",IFERROR(INDEX(ตารางรวม!$F:$F,MATCH(tblSales[[#This Row],[Key]],ตารางรวม!$Z:$Z,0))*tblSales[[#This Row],[จำนวนแก้ว]],0))</f>
        <v/>
      </c>
      <c r="T189" s="10" t="str">
        <f>IF(tblSales[[#This Row],[Key]]="","",IFERROR(INDEX(ตารางรวม!$G:$G,MATCH(tblSales[[#This Row],[Key]],ตารางรวม!$Z:$Z,0))*tblSales[[#This Row],[จำนวนแก้ว]],0))</f>
        <v/>
      </c>
      <c r="U189" s="10" t="str">
        <f>IF(tblSales[[#This Row],[Key]]="","",IFERROR(INDEX(ตารางรวม!$H:$H,MATCH(tblSales[[#This Row],[Key]],ตารางรวม!$Z:$Z,0))*tblSales[[#This Row],[จำนวนแก้ว]],0))</f>
        <v/>
      </c>
      <c r="V189" s="10" t="str">
        <f>IF(tblSales[[#This Row],[Key]]="","",IFERROR(INDEX(ตารางรวม!$I:$I,MATCH(tblSales[[#This Row],[Key]],ตารางรวม!$Z:$Z,0))*tblSales[[#This Row],[จำนวนแก้ว]],0))</f>
        <v/>
      </c>
      <c r="W189" s="10" t="str">
        <f>IF(tblSales[[#This Row],[Key]]="","",IFERROR(INDEX(ตารางรวม!$J:$J,MATCH(tblSales[[#This Row],[Key]],ตารางรวม!$Z:$Z,0))*tblSales[[#This Row],[จำนวนแก้ว]],0))</f>
        <v/>
      </c>
      <c r="X189" s="10" t="str">
        <f>IF(tblSales[[#This Row],[Key]]="","",IFERROR(INDEX(ตารางรวม!$K:$K,MATCH(tblSales[[#This Row],[Key]],ตารางรวม!$Z:$Z,0))*tblSales[[#This Row],[จำนวนแก้ว]],0))</f>
        <v/>
      </c>
      <c r="Y189" s="10" t="str">
        <f>IF(tblSales[[#This Row],[Key]]="","",IFERROR(INDEX(ตารางรวม!$L:$L,MATCH(tblSales[[#This Row],[Key]],ตารางรวม!$Z:$Z,0))*tblSales[[#This Row],[จำนวนแก้ว]],0))</f>
        <v/>
      </c>
      <c r="Z18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8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8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8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8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8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8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8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89" s="10" t="str">
        <f>IF(tblSales[[#This Row],[Key]]="","",IF(tblSales[[#This Row],[ขนาด]]="16 oz",tblSales[[#This Row],[จำนวนแก้ว]],0))</f>
        <v/>
      </c>
      <c r="AI189" s="10" t="str">
        <f>IF(tblSales[[#This Row],[Key]]="","",IF(tblSales[[#This Row],[ขนาด]]="20 oz",tblSales[[#This Row],[จำนวนแก้ว]],0))</f>
        <v/>
      </c>
      <c r="AJ189" s="10" t="str">
        <f>IF(tblSales[[#This Row],[Key]]="","",IF(tblSales[[#This Row],[ขนาด]]="22 oz",tblSales[[#This Row],[จำนวนแก้ว]],0))</f>
        <v/>
      </c>
    </row>
    <row r="190" spans="1:36" x14ac:dyDescent="0.25">
      <c r="A190" s="4" t="str">
        <f>IF(tblSales[[#This Row],[วันที่]]="","","S"&amp;TEXT(tblSales[[#This Row],[วันที่]],"yymmdd")&amp;"-"&amp;TEXT(ROW()-5,"000"))</f>
        <v/>
      </c>
      <c r="B190" s="16"/>
      <c r="C190" s="6"/>
      <c r="D190" s="6"/>
      <c r="E190" s="20"/>
      <c r="F190" s="6"/>
      <c r="G190" s="6"/>
      <c r="H190" s="6"/>
      <c r="I190" s="6"/>
      <c r="J19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0" s="8" t="str">
        <f>IF(tblSales[[#This Row],[Key]]="","",IFERROR(INDEX(ตารางรวม!$W:$W,MATCH(tblSales[[#This Row],[Key]],ตารางรวม!$Z:$Z,0)),"ไม่พบสูตร"))</f>
        <v/>
      </c>
      <c r="L190" s="8" t="str">
        <f>IF(tblSales[[#This Row],[Key]]="","",IFERROR(INDEX(ตารางรวม!$V:$V,MATCH(tblSales[[#This Row],[Key]],ตารางรวม!$Z:$Z,0)),"ไม่พบสูตร"))</f>
        <v/>
      </c>
      <c r="M190" s="8" t="str">
        <f>IF(tblSales[[#This Row],[Key]]="","",IFERROR(tblSales[[#This Row],[ราคาต่อแก้ว]]*tblSales[[#This Row],[จำนวนแก้ว]],""))</f>
        <v/>
      </c>
      <c r="N190" s="8" t="str">
        <f>IF(tblSales[[#This Row],[Key]]="","",IFERROR(tblSales[[#This Row],[ต้นทุนต่อแก้ว]]*tblSales[[#This Row],[จำนวนแก้ว]],""))</f>
        <v/>
      </c>
      <c r="O190" s="8" t="str">
        <f>IF(tblSales[[#This Row],[Key]]="","",IFERROR(tblSales[[#This Row],[ยอดขาย (บาท)]]-tblSales[[#This Row],[ต้นทุนรวม (บาท)]],""))</f>
        <v/>
      </c>
      <c r="P190" s="21" t="str">
        <f>IF(tblSales[[#This Row],[Key]]="","",IFERROR(tblSales[[#This Row],[กำไร (บาท)]]/tblSales[[#This Row],[ยอดขาย (บาท)]],""))</f>
        <v/>
      </c>
      <c r="Q190" s="10" t="str">
        <f>IF(tblSales[[#This Row],[Key]]="","",IFERROR(INDEX(ตารางรวม!$D:$D,MATCH(tblSales[[#This Row],[Key]],ตารางรวม!$Z:$Z,0))*tblSales[[#This Row],[จำนวนแก้ว]],0))</f>
        <v/>
      </c>
      <c r="R190" s="10" t="str">
        <f>IF(tblSales[[#This Row],[Key]]="","",IFERROR(INDEX(ตารางรวม!$E:$E,MATCH(tblSales[[#This Row],[Key]],ตารางรวม!$Z:$Z,0))*tblSales[[#This Row],[จำนวนแก้ว]],0))</f>
        <v/>
      </c>
      <c r="S190" s="10" t="str">
        <f>IF(tblSales[[#This Row],[Key]]="","",IFERROR(INDEX(ตารางรวม!$F:$F,MATCH(tblSales[[#This Row],[Key]],ตารางรวม!$Z:$Z,0))*tblSales[[#This Row],[จำนวนแก้ว]],0))</f>
        <v/>
      </c>
      <c r="T190" s="10" t="str">
        <f>IF(tblSales[[#This Row],[Key]]="","",IFERROR(INDEX(ตารางรวม!$G:$G,MATCH(tblSales[[#This Row],[Key]],ตารางรวม!$Z:$Z,0))*tblSales[[#This Row],[จำนวนแก้ว]],0))</f>
        <v/>
      </c>
      <c r="U190" s="10" t="str">
        <f>IF(tblSales[[#This Row],[Key]]="","",IFERROR(INDEX(ตารางรวม!$H:$H,MATCH(tblSales[[#This Row],[Key]],ตารางรวม!$Z:$Z,0))*tblSales[[#This Row],[จำนวนแก้ว]],0))</f>
        <v/>
      </c>
      <c r="V190" s="10" t="str">
        <f>IF(tblSales[[#This Row],[Key]]="","",IFERROR(INDEX(ตารางรวม!$I:$I,MATCH(tblSales[[#This Row],[Key]],ตารางรวม!$Z:$Z,0))*tblSales[[#This Row],[จำนวนแก้ว]],0))</f>
        <v/>
      </c>
      <c r="W190" s="10" t="str">
        <f>IF(tblSales[[#This Row],[Key]]="","",IFERROR(INDEX(ตารางรวม!$J:$J,MATCH(tblSales[[#This Row],[Key]],ตารางรวม!$Z:$Z,0))*tblSales[[#This Row],[จำนวนแก้ว]],0))</f>
        <v/>
      </c>
      <c r="X190" s="10" t="str">
        <f>IF(tblSales[[#This Row],[Key]]="","",IFERROR(INDEX(ตารางรวม!$K:$K,MATCH(tblSales[[#This Row],[Key]],ตารางรวม!$Z:$Z,0))*tblSales[[#This Row],[จำนวนแก้ว]],0))</f>
        <v/>
      </c>
      <c r="Y190" s="10" t="str">
        <f>IF(tblSales[[#This Row],[Key]]="","",IFERROR(INDEX(ตารางรวม!$L:$L,MATCH(tblSales[[#This Row],[Key]],ตารางรวม!$Z:$Z,0))*tblSales[[#This Row],[จำนวนแก้ว]],0))</f>
        <v/>
      </c>
      <c r="Z190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0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0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0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0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0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0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0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0" s="10" t="str">
        <f>IF(tblSales[[#This Row],[Key]]="","",IF(tblSales[[#This Row],[ขนาด]]="16 oz",tblSales[[#This Row],[จำนวนแก้ว]],0))</f>
        <v/>
      </c>
      <c r="AI190" s="10" t="str">
        <f>IF(tblSales[[#This Row],[Key]]="","",IF(tblSales[[#This Row],[ขนาด]]="20 oz",tblSales[[#This Row],[จำนวนแก้ว]],0))</f>
        <v/>
      </c>
      <c r="AJ190" s="10" t="str">
        <f>IF(tblSales[[#This Row],[Key]]="","",IF(tblSales[[#This Row],[ขนาด]]="22 oz",tblSales[[#This Row],[จำนวนแก้ว]],0))</f>
        <v/>
      </c>
    </row>
    <row r="191" spans="1:36" x14ac:dyDescent="0.25">
      <c r="A191" s="4" t="str">
        <f>IF(tblSales[[#This Row],[วันที่]]="","","S"&amp;TEXT(tblSales[[#This Row],[วันที่]],"yymmdd")&amp;"-"&amp;TEXT(ROW()-5,"000"))</f>
        <v/>
      </c>
      <c r="B191" s="16"/>
      <c r="C191" s="6"/>
      <c r="D191" s="6"/>
      <c r="E191" s="20"/>
      <c r="F191" s="6"/>
      <c r="G191" s="6"/>
      <c r="H191" s="6"/>
      <c r="I191" s="6"/>
      <c r="J19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1" s="8" t="str">
        <f>IF(tblSales[[#This Row],[Key]]="","",IFERROR(INDEX(ตารางรวม!$W:$W,MATCH(tblSales[[#This Row],[Key]],ตารางรวม!$Z:$Z,0)),"ไม่พบสูตร"))</f>
        <v/>
      </c>
      <c r="L191" s="8" t="str">
        <f>IF(tblSales[[#This Row],[Key]]="","",IFERROR(INDEX(ตารางรวม!$V:$V,MATCH(tblSales[[#This Row],[Key]],ตารางรวม!$Z:$Z,0)),"ไม่พบสูตร"))</f>
        <v/>
      </c>
      <c r="M191" s="8" t="str">
        <f>IF(tblSales[[#This Row],[Key]]="","",IFERROR(tblSales[[#This Row],[ราคาต่อแก้ว]]*tblSales[[#This Row],[จำนวนแก้ว]],""))</f>
        <v/>
      </c>
      <c r="N191" s="8" t="str">
        <f>IF(tblSales[[#This Row],[Key]]="","",IFERROR(tblSales[[#This Row],[ต้นทุนต่อแก้ว]]*tblSales[[#This Row],[จำนวนแก้ว]],""))</f>
        <v/>
      </c>
      <c r="O191" s="8" t="str">
        <f>IF(tblSales[[#This Row],[Key]]="","",IFERROR(tblSales[[#This Row],[ยอดขาย (บาท)]]-tblSales[[#This Row],[ต้นทุนรวม (บาท)]],""))</f>
        <v/>
      </c>
      <c r="P191" s="21" t="str">
        <f>IF(tblSales[[#This Row],[Key]]="","",IFERROR(tblSales[[#This Row],[กำไร (บาท)]]/tblSales[[#This Row],[ยอดขาย (บาท)]],""))</f>
        <v/>
      </c>
      <c r="Q191" s="10" t="str">
        <f>IF(tblSales[[#This Row],[Key]]="","",IFERROR(INDEX(ตารางรวม!$D:$D,MATCH(tblSales[[#This Row],[Key]],ตารางรวม!$Z:$Z,0))*tblSales[[#This Row],[จำนวนแก้ว]],0))</f>
        <v/>
      </c>
      <c r="R191" s="10" t="str">
        <f>IF(tblSales[[#This Row],[Key]]="","",IFERROR(INDEX(ตารางรวม!$E:$E,MATCH(tblSales[[#This Row],[Key]],ตารางรวม!$Z:$Z,0))*tblSales[[#This Row],[จำนวนแก้ว]],0))</f>
        <v/>
      </c>
      <c r="S191" s="10" t="str">
        <f>IF(tblSales[[#This Row],[Key]]="","",IFERROR(INDEX(ตารางรวม!$F:$F,MATCH(tblSales[[#This Row],[Key]],ตารางรวม!$Z:$Z,0))*tblSales[[#This Row],[จำนวนแก้ว]],0))</f>
        <v/>
      </c>
      <c r="T191" s="10" t="str">
        <f>IF(tblSales[[#This Row],[Key]]="","",IFERROR(INDEX(ตารางรวม!$G:$G,MATCH(tblSales[[#This Row],[Key]],ตารางรวม!$Z:$Z,0))*tblSales[[#This Row],[จำนวนแก้ว]],0))</f>
        <v/>
      </c>
      <c r="U191" s="10" t="str">
        <f>IF(tblSales[[#This Row],[Key]]="","",IFERROR(INDEX(ตารางรวม!$H:$H,MATCH(tblSales[[#This Row],[Key]],ตารางรวม!$Z:$Z,0))*tblSales[[#This Row],[จำนวนแก้ว]],0))</f>
        <v/>
      </c>
      <c r="V191" s="10" t="str">
        <f>IF(tblSales[[#This Row],[Key]]="","",IFERROR(INDEX(ตารางรวม!$I:$I,MATCH(tblSales[[#This Row],[Key]],ตารางรวม!$Z:$Z,0))*tblSales[[#This Row],[จำนวนแก้ว]],0))</f>
        <v/>
      </c>
      <c r="W191" s="10" t="str">
        <f>IF(tblSales[[#This Row],[Key]]="","",IFERROR(INDEX(ตารางรวม!$J:$J,MATCH(tblSales[[#This Row],[Key]],ตารางรวม!$Z:$Z,0))*tblSales[[#This Row],[จำนวนแก้ว]],0))</f>
        <v/>
      </c>
      <c r="X191" s="10" t="str">
        <f>IF(tblSales[[#This Row],[Key]]="","",IFERROR(INDEX(ตารางรวม!$K:$K,MATCH(tblSales[[#This Row],[Key]],ตารางรวม!$Z:$Z,0))*tblSales[[#This Row],[จำนวนแก้ว]],0))</f>
        <v/>
      </c>
      <c r="Y191" s="10" t="str">
        <f>IF(tblSales[[#This Row],[Key]]="","",IFERROR(INDEX(ตารางรวม!$L:$L,MATCH(tblSales[[#This Row],[Key]],ตารางรวม!$Z:$Z,0))*tblSales[[#This Row],[จำนวนแก้ว]],0))</f>
        <v/>
      </c>
      <c r="Z191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1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1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1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1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1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1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1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1" s="10" t="str">
        <f>IF(tblSales[[#This Row],[Key]]="","",IF(tblSales[[#This Row],[ขนาด]]="16 oz",tblSales[[#This Row],[จำนวนแก้ว]],0))</f>
        <v/>
      </c>
      <c r="AI191" s="10" t="str">
        <f>IF(tblSales[[#This Row],[Key]]="","",IF(tblSales[[#This Row],[ขนาด]]="20 oz",tblSales[[#This Row],[จำนวนแก้ว]],0))</f>
        <v/>
      </c>
      <c r="AJ191" s="10" t="str">
        <f>IF(tblSales[[#This Row],[Key]]="","",IF(tblSales[[#This Row],[ขนาด]]="22 oz",tblSales[[#This Row],[จำนวนแก้ว]],0))</f>
        <v/>
      </c>
    </row>
    <row r="192" spans="1:36" x14ac:dyDescent="0.25">
      <c r="A192" s="4" t="str">
        <f>IF(tblSales[[#This Row],[วันที่]]="","","S"&amp;TEXT(tblSales[[#This Row],[วันที่]],"yymmdd")&amp;"-"&amp;TEXT(ROW()-5,"000"))</f>
        <v/>
      </c>
      <c r="B192" s="16"/>
      <c r="C192" s="6"/>
      <c r="D192" s="6"/>
      <c r="E192" s="20"/>
      <c r="F192" s="6"/>
      <c r="G192" s="6"/>
      <c r="H192" s="6"/>
      <c r="I192" s="6"/>
      <c r="J19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2" s="8" t="str">
        <f>IF(tblSales[[#This Row],[Key]]="","",IFERROR(INDEX(ตารางรวม!$W:$W,MATCH(tblSales[[#This Row],[Key]],ตารางรวม!$Z:$Z,0)),"ไม่พบสูตร"))</f>
        <v/>
      </c>
      <c r="L192" s="8" t="str">
        <f>IF(tblSales[[#This Row],[Key]]="","",IFERROR(INDEX(ตารางรวม!$V:$V,MATCH(tblSales[[#This Row],[Key]],ตารางรวม!$Z:$Z,0)),"ไม่พบสูตร"))</f>
        <v/>
      </c>
      <c r="M192" s="8" t="str">
        <f>IF(tblSales[[#This Row],[Key]]="","",IFERROR(tblSales[[#This Row],[ราคาต่อแก้ว]]*tblSales[[#This Row],[จำนวนแก้ว]],""))</f>
        <v/>
      </c>
      <c r="N192" s="8" t="str">
        <f>IF(tblSales[[#This Row],[Key]]="","",IFERROR(tblSales[[#This Row],[ต้นทุนต่อแก้ว]]*tblSales[[#This Row],[จำนวนแก้ว]],""))</f>
        <v/>
      </c>
      <c r="O192" s="8" t="str">
        <f>IF(tblSales[[#This Row],[Key]]="","",IFERROR(tblSales[[#This Row],[ยอดขาย (บาท)]]-tblSales[[#This Row],[ต้นทุนรวม (บาท)]],""))</f>
        <v/>
      </c>
      <c r="P192" s="21" t="str">
        <f>IF(tblSales[[#This Row],[Key]]="","",IFERROR(tblSales[[#This Row],[กำไร (บาท)]]/tblSales[[#This Row],[ยอดขาย (บาท)]],""))</f>
        <v/>
      </c>
      <c r="Q192" s="10" t="str">
        <f>IF(tblSales[[#This Row],[Key]]="","",IFERROR(INDEX(ตารางรวม!$D:$D,MATCH(tblSales[[#This Row],[Key]],ตารางรวม!$Z:$Z,0))*tblSales[[#This Row],[จำนวนแก้ว]],0))</f>
        <v/>
      </c>
      <c r="R192" s="10" t="str">
        <f>IF(tblSales[[#This Row],[Key]]="","",IFERROR(INDEX(ตารางรวม!$E:$E,MATCH(tblSales[[#This Row],[Key]],ตารางรวม!$Z:$Z,0))*tblSales[[#This Row],[จำนวนแก้ว]],0))</f>
        <v/>
      </c>
      <c r="S192" s="10" t="str">
        <f>IF(tblSales[[#This Row],[Key]]="","",IFERROR(INDEX(ตารางรวม!$F:$F,MATCH(tblSales[[#This Row],[Key]],ตารางรวม!$Z:$Z,0))*tblSales[[#This Row],[จำนวนแก้ว]],0))</f>
        <v/>
      </c>
      <c r="T192" s="10" t="str">
        <f>IF(tblSales[[#This Row],[Key]]="","",IFERROR(INDEX(ตารางรวม!$G:$G,MATCH(tblSales[[#This Row],[Key]],ตารางรวม!$Z:$Z,0))*tblSales[[#This Row],[จำนวนแก้ว]],0))</f>
        <v/>
      </c>
      <c r="U192" s="10" t="str">
        <f>IF(tblSales[[#This Row],[Key]]="","",IFERROR(INDEX(ตารางรวม!$H:$H,MATCH(tblSales[[#This Row],[Key]],ตารางรวม!$Z:$Z,0))*tblSales[[#This Row],[จำนวนแก้ว]],0))</f>
        <v/>
      </c>
      <c r="V192" s="10" t="str">
        <f>IF(tblSales[[#This Row],[Key]]="","",IFERROR(INDEX(ตารางรวม!$I:$I,MATCH(tblSales[[#This Row],[Key]],ตารางรวม!$Z:$Z,0))*tblSales[[#This Row],[จำนวนแก้ว]],0))</f>
        <v/>
      </c>
      <c r="W192" s="10" t="str">
        <f>IF(tblSales[[#This Row],[Key]]="","",IFERROR(INDEX(ตารางรวม!$J:$J,MATCH(tblSales[[#This Row],[Key]],ตารางรวม!$Z:$Z,0))*tblSales[[#This Row],[จำนวนแก้ว]],0))</f>
        <v/>
      </c>
      <c r="X192" s="10" t="str">
        <f>IF(tblSales[[#This Row],[Key]]="","",IFERROR(INDEX(ตารางรวม!$K:$K,MATCH(tblSales[[#This Row],[Key]],ตารางรวม!$Z:$Z,0))*tblSales[[#This Row],[จำนวนแก้ว]],0))</f>
        <v/>
      </c>
      <c r="Y192" s="10" t="str">
        <f>IF(tblSales[[#This Row],[Key]]="","",IFERROR(INDEX(ตารางรวม!$L:$L,MATCH(tblSales[[#This Row],[Key]],ตารางรวม!$Z:$Z,0))*tblSales[[#This Row],[จำนวนแก้ว]],0))</f>
        <v/>
      </c>
      <c r="Z192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2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2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2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2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2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2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2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2" s="10" t="str">
        <f>IF(tblSales[[#This Row],[Key]]="","",IF(tblSales[[#This Row],[ขนาด]]="16 oz",tblSales[[#This Row],[จำนวนแก้ว]],0))</f>
        <v/>
      </c>
      <c r="AI192" s="10" t="str">
        <f>IF(tblSales[[#This Row],[Key]]="","",IF(tblSales[[#This Row],[ขนาด]]="20 oz",tblSales[[#This Row],[จำนวนแก้ว]],0))</f>
        <v/>
      </c>
      <c r="AJ192" s="10" t="str">
        <f>IF(tblSales[[#This Row],[Key]]="","",IF(tblSales[[#This Row],[ขนาด]]="22 oz",tblSales[[#This Row],[จำนวนแก้ว]],0))</f>
        <v/>
      </c>
    </row>
    <row r="193" spans="1:36" x14ac:dyDescent="0.25">
      <c r="A193" s="4" t="str">
        <f>IF(tblSales[[#This Row],[วันที่]]="","","S"&amp;TEXT(tblSales[[#This Row],[วันที่]],"yymmdd")&amp;"-"&amp;TEXT(ROW()-5,"000"))</f>
        <v/>
      </c>
      <c r="B193" s="16"/>
      <c r="C193" s="6"/>
      <c r="D193" s="6"/>
      <c r="E193" s="20"/>
      <c r="F193" s="6"/>
      <c r="G193" s="6"/>
      <c r="H193" s="6"/>
      <c r="I193" s="6"/>
      <c r="J19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3" s="8" t="str">
        <f>IF(tblSales[[#This Row],[Key]]="","",IFERROR(INDEX(ตารางรวม!$W:$W,MATCH(tblSales[[#This Row],[Key]],ตารางรวม!$Z:$Z,0)),"ไม่พบสูตร"))</f>
        <v/>
      </c>
      <c r="L193" s="8" t="str">
        <f>IF(tblSales[[#This Row],[Key]]="","",IFERROR(INDEX(ตารางรวม!$V:$V,MATCH(tblSales[[#This Row],[Key]],ตารางรวม!$Z:$Z,0)),"ไม่พบสูตร"))</f>
        <v/>
      </c>
      <c r="M193" s="8" t="str">
        <f>IF(tblSales[[#This Row],[Key]]="","",IFERROR(tblSales[[#This Row],[ราคาต่อแก้ว]]*tblSales[[#This Row],[จำนวนแก้ว]],""))</f>
        <v/>
      </c>
      <c r="N193" s="8" t="str">
        <f>IF(tblSales[[#This Row],[Key]]="","",IFERROR(tblSales[[#This Row],[ต้นทุนต่อแก้ว]]*tblSales[[#This Row],[จำนวนแก้ว]],""))</f>
        <v/>
      </c>
      <c r="O193" s="8" t="str">
        <f>IF(tblSales[[#This Row],[Key]]="","",IFERROR(tblSales[[#This Row],[ยอดขาย (บาท)]]-tblSales[[#This Row],[ต้นทุนรวม (บาท)]],""))</f>
        <v/>
      </c>
      <c r="P193" s="21" t="str">
        <f>IF(tblSales[[#This Row],[Key]]="","",IFERROR(tblSales[[#This Row],[กำไร (บาท)]]/tblSales[[#This Row],[ยอดขาย (บาท)]],""))</f>
        <v/>
      </c>
      <c r="Q193" s="10" t="str">
        <f>IF(tblSales[[#This Row],[Key]]="","",IFERROR(INDEX(ตารางรวม!$D:$D,MATCH(tblSales[[#This Row],[Key]],ตารางรวม!$Z:$Z,0))*tblSales[[#This Row],[จำนวนแก้ว]],0))</f>
        <v/>
      </c>
      <c r="R193" s="10" t="str">
        <f>IF(tblSales[[#This Row],[Key]]="","",IFERROR(INDEX(ตารางรวม!$E:$E,MATCH(tblSales[[#This Row],[Key]],ตารางรวม!$Z:$Z,0))*tblSales[[#This Row],[จำนวนแก้ว]],0))</f>
        <v/>
      </c>
      <c r="S193" s="10" t="str">
        <f>IF(tblSales[[#This Row],[Key]]="","",IFERROR(INDEX(ตารางรวม!$F:$F,MATCH(tblSales[[#This Row],[Key]],ตารางรวม!$Z:$Z,0))*tblSales[[#This Row],[จำนวนแก้ว]],0))</f>
        <v/>
      </c>
      <c r="T193" s="10" t="str">
        <f>IF(tblSales[[#This Row],[Key]]="","",IFERROR(INDEX(ตารางรวม!$G:$G,MATCH(tblSales[[#This Row],[Key]],ตารางรวม!$Z:$Z,0))*tblSales[[#This Row],[จำนวนแก้ว]],0))</f>
        <v/>
      </c>
      <c r="U193" s="10" t="str">
        <f>IF(tblSales[[#This Row],[Key]]="","",IFERROR(INDEX(ตารางรวม!$H:$H,MATCH(tblSales[[#This Row],[Key]],ตารางรวม!$Z:$Z,0))*tblSales[[#This Row],[จำนวนแก้ว]],0))</f>
        <v/>
      </c>
      <c r="V193" s="10" t="str">
        <f>IF(tblSales[[#This Row],[Key]]="","",IFERROR(INDEX(ตารางรวม!$I:$I,MATCH(tblSales[[#This Row],[Key]],ตารางรวม!$Z:$Z,0))*tblSales[[#This Row],[จำนวนแก้ว]],0))</f>
        <v/>
      </c>
      <c r="W193" s="10" t="str">
        <f>IF(tblSales[[#This Row],[Key]]="","",IFERROR(INDEX(ตารางรวม!$J:$J,MATCH(tblSales[[#This Row],[Key]],ตารางรวม!$Z:$Z,0))*tblSales[[#This Row],[จำนวนแก้ว]],0))</f>
        <v/>
      </c>
      <c r="X193" s="10" t="str">
        <f>IF(tblSales[[#This Row],[Key]]="","",IFERROR(INDEX(ตารางรวม!$K:$K,MATCH(tblSales[[#This Row],[Key]],ตารางรวม!$Z:$Z,0))*tblSales[[#This Row],[จำนวนแก้ว]],0))</f>
        <v/>
      </c>
      <c r="Y193" s="10" t="str">
        <f>IF(tblSales[[#This Row],[Key]]="","",IFERROR(INDEX(ตารางรวม!$L:$L,MATCH(tblSales[[#This Row],[Key]],ตารางรวม!$Z:$Z,0))*tblSales[[#This Row],[จำนวนแก้ว]],0))</f>
        <v/>
      </c>
      <c r="Z193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3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3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3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3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3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3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3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3" s="10" t="str">
        <f>IF(tblSales[[#This Row],[Key]]="","",IF(tblSales[[#This Row],[ขนาด]]="16 oz",tblSales[[#This Row],[จำนวนแก้ว]],0))</f>
        <v/>
      </c>
      <c r="AI193" s="10" t="str">
        <f>IF(tblSales[[#This Row],[Key]]="","",IF(tblSales[[#This Row],[ขนาด]]="20 oz",tblSales[[#This Row],[จำนวนแก้ว]],0))</f>
        <v/>
      </c>
      <c r="AJ193" s="10" t="str">
        <f>IF(tblSales[[#This Row],[Key]]="","",IF(tblSales[[#This Row],[ขนาด]]="22 oz",tblSales[[#This Row],[จำนวนแก้ว]],0))</f>
        <v/>
      </c>
    </row>
    <row r="194" spans="1:36" x14ac:dyDescent="0.25">
      <c r="A194" s="4" t="str">
        <f>IF(tblSales[[#This Row],[วันที่]]="","","S"&amp;TEXT(tblSales[[#This Row],[วันที่]],"yymmdd")&amp;"-"&amp;TEXT(ROW()-5,"000"))</f>
        <v/>
      </c>
      <c r="B194" s="16"/>
      <c r="C194" s="6"/>
      <c r="D194" s="6"/>
      <c r="E194" s="20"/>
      <c r="F194" s="6"/>
      <c r="G194" s="6"/>
      <c r="H194" s="6"/>
      <c r="I194" s="6"/>
      <c r="J19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4" s="8" t="str">
        <f>IF(tblSales[[#This Row],[Key]]="","",IFERROR(INDEX(ตารางรวม!$W:$W,MATCH(tblSales[[#This Row],[Key]],ตารางรวม!$Z:$Z,0)),"ไม่พบสูตร"))</f>
        <v/>
      </c>
      <c r="L194" s="8" t="str">
        <f>IF(tblSales[[#This Row],[Key]]="","",IFERROR(INDEX(ตารางรวม!$V:$V,MATCH(tblSales[[#This Row],[Key]],ตารางรวม!$Z:$Z,0)),"ไม่พบสูตร"))</f>
        <v/>
      </c>
      <c r="M194" s="8" t="str">
        <f>IF(tblSales[[#This Row],[Key]]="","",IFERROR(tblSales[[#This Row],[ราคาต่อแก้ว]]*tblSales[[#This Row],[จำนวนแก้ว]],""))</f>
        <v/>
      </c>
      <c r="N194" s="8" t="str">
        <f>IF(tblSales[[#This Row],[Key]]="","",IFERROR(tblSales[[#This Row],[ต้นทุนต่อแก้ว]]*tblSales[[#This Row],[จำนวนแก้ว]],""))</f>
        <v/>
      </c>
      <c r="O194" s="8" t="str">
        <f>IF(tblSales[[#This Row],[Key]]="","",IFERROR(tblSales[[#This Row],[ยอดขาย (บาท)]]-tblSales[[#This Row],[ต้นทุนรวม (บาท)]],""))</f>
        <v/>
      </c>
      <c r="P194" s="21" t="str">
        <f>IF(tblSales[[#This Row],[Key]]="","",IFERROR(tblSales[[#This Row],[กำไร (บาท)]]/tblSales[[#This Row],[ยอดขาย (บาท)]],""))</f>
        <v/>
      </c>
      <c r="Q194" s="10" t="str">
        <f>IF(tblSales[[#This Row],[Key]]="","",IFERROR(INDEX(ตารางรวม!$D:$D,MATCH(tblSales[[#This Row],[Key]],ตารางรวม!$Z:$Z,0))*tblSales[[#This Row],[จำนวนแก้ว]],0))</f>
        <v/>
      </c>
      <c r="R194" s="10" t="str">
        <f>IF(tblSales[[#This Row],[Key]]="","",IFERROR(INDEX(ตารางรวม!$E:$E,MATCH(tblSales[[#This Row],[Key]],ตารางรวม!$Z:$Z,0))*tblSales[[#This Row],[จำนวนแก้ว]],0))</f>
        <v/>
      </c>
      <c r="S194" s="10" t="str">
        <f>IF(tblSales[[#This Row],[Key]]="","",IFERROR(INDEX(ตารางรวม!$F:$F,MATCH(tblSales[[#This Row],[Key]],ตารางรวม!$Z:$Z,0))*tblSales[[#This Row],[จำนวนแก้ว]],0))</f>
        <v/>
      </c>
      <c r="T194" s="10" t="str">
        <f>IF(tblSales[[#This Row],[Key]]="","",IFERROR(INDEX(ตารางรวม!$G:$G,MATCH(tblSales[[#This Row],[Key]],ตารางรวม!$Z:$Z,0))*tblSales[[#This Row],[จำนวนแก้ว]],0))</f>
        <v/>
      </c>
      <c r="U194" s="10" t="str">
        <f>IF(tblSales[[#This Row],[Key]]="","",IFERROR(INDEX(ตารางรวม!$H:$H,MATCH(tblSales[[#This Row],[Key]],ตารางรวม!$Z:$Z,0))*tblSales[[#This Row],[จำนวนแก้ว]],0))</f>
        <v/>
      </c>
      <c r="V194" s="10" t="str">
        <f>IF(tblSales[[#This Row],[Key]]="","",IFERROR(INDEX(ตารางรวม!$I:$I,MATCH(tblSales[[#This Row],[Key]],ตารางรวม!$Z:$Z,0))*tblSales[[#This Row],[จำนวนแก้ว]],0))</f>
        <v/>
      </c>
      <c r="W194" s="10" t="str">
        <f>IF(tblSales[[#This Row],[Key]]="","",IFERROR(INDEX(ตารางรวม!$J:$J,MATCH(tblSales[[#This Row],[Key]],ตารางรวม!$Z:$Z,0))*tblSales[[#This Row],[จำนวนแก้ว]],0))</f>
        <v/>
      </c>
      <c r="X194" s="10" t="str">
        <f>IF(tblSales[[#This Row],[Key]]="","",IFERROR(INDEX(ตารางรวม!$K:$K,MATCH(tblSales[[#This Row],[Key]],ตารางรวม!$Z:$Z,0))*tblSales[[#This Row],[จำนวนแก้ว]],0))</f>
        <v/>
      </c>
      <c r="Y194" s="10" t="str">
        <f>IF(tblSales[[#This Row],[Key]]="","",IFERROR(INDEX(ตารางรวม!$L:$L,MATCH(tblSales[[#This Row],[Key]],ตารางรวม!$Z:$Z,0))*tblSales[[#This Row],[จำนวนแก้ว]],0))</f>
        <v/>
      </c>
      <c r="Z194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4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4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4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4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4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4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4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4" s="10" t="str">
        <f>IF(tblSales[[#This Row],[Key]]="","",IF(tblSales[[#This Row],[ขนาด]]="16 oz",tblSales[[#This Row],[จำนวนแก้ว]],0))</f>
        <v/>
      </c>
      <c r="AI194" s="10" t="str">
        <f>IF(tblSales[[#This Row],[Key]]="","",IF(tblSales[[#This Row],[ขนาด]]="20 oz",tblSales[[#This Row],[จำนวนแก้ว]],0))</f>
        <v/>
      </c>
      <c r="AJ194" s="10" t="str">
        <f>IF(tblSales[[#This Row],[Key]]="","",IF(tblSales[[#This Row],[ขนาด]]="22 oz",tblSales[[#This Row],[จำนวนแก้ว]],0))</f>
        <v/>
      </c>
    </row>
    <row r="195" spans="1:36" x14ac:dyDescent="0.25">
      <c r="A195" s="4" t="str">
        <f>IF(tblSales[[#This Row],[วันที่]]="","","S"&amp;TEXT(tblSales[[#This Row],[วันที่]],"yymmdd")&amp;"-"&amp;TEXT(ROW()-5,"000"))</f>
        <v/>
      </c>
      <c r="B195" s="16"/>
      <c r="C195" s="6"/>
      <c r="D195" s="6"/>
      <c r="E195" s="20"/>
      <c r="F195" s="6"/>
      <c r="G195" s="6"/>
      <c r="H195" s="6"/>
      <c r="I195" s="6"/>
      <c r="J19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5" s="8" t="str">
        <f>IF(tblSales[[#This Row],[Key]]="","",IFERROR(INDEX(ตารางรวม!$W:$W,MATCH(tblSales[[#This Row],[Key]],ตารางรวม!$Z:$Z,0)),"ไม่พบสูตร"))</f>
        <v/>
      </c>
      <c r="L195" s="8" t="str">
        <f>IF(tblSales[[#This Row],[Key]]="","",IFERROR(INDEX(ตารางรวม!$V:$V,MATCH(tblSales[[#This Row],[Key]],ตารางรวม!$Z:$Z,0)),"ไม่พบสูตร"))</f>
        <v/>
      </c>
      <c r="M195" s="8" t="str">
        <f>IF(tblSales[[#This Row],[Key]]="","",IFERROR(tblSales[[#This Row],[ราคาต่อแก้ว]]*tblSales[[#This Row],[จำนวนแก้ว]],""))</f>
        <v/>
      </c>
      <c r="N195" s="8" t="str">
        <f>IF(tblSales[[#This Row],[Key]]="","",IFERROR(tblSales[[#This Row],[ต้นทุนต่อแก้ว]]*tblSales[[#This Row],[จำนวนแก้ว]],""))</f>
        <v/>
      </c>
      <c r="O195" s="8" t="str">
        <f>IF(tblSales[[#This Row],[Key]]="","",IFERROR(tblSales[[#This Row],[ยอดขาย (บาท)]]-tblSales[[#This Row],[ต้นทุนรวม (บาท)]],""))</f>
        <v/>
      </c>
      <c r="P195" s="21" t="str">
        <f>IF(tblSales[[#This Row],[Key]]="","",IFERROR(tblSales[[#This Row],[กำไร (บาท)]]/tblSales[[#This Row],[ยอดขาย (บาท)]],""))</f>
        <v/>
      </c>
      <c r="Q195" s="10" t="str">
        <f>IF(tblSales[[#This Row],[Key]]="","",IFERROR(INDEX(ตารางรวม!$D:$D,MATCH(tblSales[[#This Row],[Key]],ตารางรวม!$Z:$Z,0))*tblSales[[#This Row],[จำนวนแก้ว]],0))</f>
        <v/>
      </c>
      <c r="R195" s="10" t="str">
        <f>IF(tblSales[[#This Row],[Key]]="","",IFERROR(INDEX(ตารางรวม!$E:$E,MATCH(tblSales[[#This Row],[Key]],ตารางรวม!$Z:$Z,0))*tblSales[[#This Row],[จำนวนแก้ว]],0))</f>
        <v/>
      </c>
      <c r="S195" s="10" t="str">
        <f>IF(tblSales[[#This Row],[Key]]="","",IFERROR(INDEX(ตารางรวม!$F:$F,MATCH(tblSales[[#This Row],[Key]],ตารางรวม!$Z:$Z,0))*tblSales[[#This Row],[จำนวนแก้ว]],0))</f>
        <v/>
      </c>
      <c r="T195" s="10" t="str">
        <f>IF(tblSales[[#This Row],[Key]]="","",IFERROR(INDEX(ตารางรวม!$G:$G,MATCH(tblSales[[#This Row],[Key]],ตารางรวม!$Z:$Z,0))*tblSales[[#This Row],[จำนวนแก้ว]],0))</f>
        <v/>
      </c>
      <c r="U195" s="10" t="str">
        <f>IF(tblSales[[#This Row],[Key]]="","",IFERROR(INDEX(ตารางรวม!$H:$H,MATCH(tblSales[[#This Row],[Key]],ตารางรวม!$Z:$Z,0))*tblSales[[#This Row],[จำนวนแก้ว]],0))</f>
        <v/>
      </c>
      <c r="V195" s="10" t="str">
        <f>IF(tblSales[[#This Row],[Key]]="","",IFERROR(INDEX(ตารางรวม!$I:$I,MATCH(tblSales[[#This Row],[Key]],ตารางรวม!$Z:$Z,0))*tblSales[[#This Row],[จำนวนแก้ว]],0))</f>
        <v/>
      </c>
      <c r="W195" s="10" t="str">
        <f>IF(tblSales[[#This Row],[Key]]="","",IFERROR(INDEX(ตารางรวม!$J:$J,MATCH(tblSales[[#This Row],[Key]],ตารางรวม!$Z:$Z,0))*tblSales[[#This Row],[จำนวนแก้ว]],0))</f>
        <v/>
      </c>
      <c r="X195" s="10" t="str">
        <f>IF(tblSales[[#This Row],[Key]]="","",IFERROR(INDEX(ตารางรวม!$K:$K,MATCH(tblSales[[#This Row],[Key]],ตารางรวม!$Z:$Z,0))*tblSales[[#This Row],[จำนวนแก้ว]],0))</f>
        <v/>
      </c>
      <c r="Y195" s="10" t="str">
        <f>IF(tblSales[[#This Row],[Key]]="","",IFERROR(INDEX(ตารางรวม!$L:$L,MATCH(tblSales[[#This Row],[Key]],ตารางรวม!$Z:$Z,0))*tblSales[[#This Row],[จำนวนแก้ว]],0))</f>
        <v/>
      </c>
      <c r="Z195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5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5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5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5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5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5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5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5" s="10" t="str">
        <f>IF(tblSales[[#This Row],[Key]]="","",IF(tblSales[[#This Row],[ขนาด]]="16 oz",tblSales[[#This Row],[จำนวนแก้ว]],0))</f>
        <v/>
      </c>
      <c r="AI195" s="10" t="str">
        <f>IF(tblSales[[#This Row],[Key]]="","",IF(tblSales[[#This Row],[ขนาด]]="20 oz",tblSales[[#This Row],[จำนวนแก้ว]],0))</f>
        <v/>
      </c>
      <c r="AJ195" s="10" t="str">
        <f>IF(tblSales[[#This Row],[Key]]="","",IF(tblSales[[#This Row],[ขนาด]]="22 oz",tblSales[[#This Row],[จำนวนแก้ว]],0))</f>
        <v/>
      </c>
    </row>
    <row r="196" spans="1:36" x14ac:dyDescent="0.25">
      <c r="A196" s="4" t="str">
        <f>IF(tblSales[[#This Row],[วันที่]]="","","S"&amp;TEXT(tblSales[[#This Row],[วันที่]],"yymmdd")&amp;"-"&amp;TEXT(ROW()-5,"000"))</f>
        <v/>
      </c>
      <c r="B196" s="16"/>
      <c r="C196" s="6"/>
      <c r="D196" s="6"/>
      <c r="E196" s="20"/>
      <c r="F196" s="6"/>
      <c r="G196" s="6"/>
      <c r="H196" s="6"/>
      <c r="I196" s="6"/>
      <c r="J19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6" s="8" t="str">
        <f>IF(tblSales[[#This Row],[Key]]="","",IFERROR(INDEX(ตารางรวม!$W:$W,MATCH(tblSales[[#This Row],[Key]],ตารางรวม!$Z:$Z,0)),"ไม่พบสูตร"))</f>
        <v/>
      </c>
      <c r="L196" s="8" t="str">
        <f>IF(tblSales[[#This Row],[Key]]="","",IFERROR(INDEX(ตารางรวม!$V:$V,MATCH(tblSales[[#This Row],[Key]],ตารางรวม!$Z:$Z,0)),"ไม่พบสูตร"))</f>
        <v/>
      </c>
      <c r="M196" s="8" t="str">
        <f>IF(tblSales[[#This Row],[Key]]="","",IFERROR(tblSales[[#This Row],[ราคาต่อแก้ว]]*tblSales[[#This Row],[จำนวนแก้ว]],""))</f>
        <v/>
      </c>
      <c r="N196" s="8" t="str">
        <f>IF(tblSales[[#This Row],[Key]]="","",IFERROR(tblSales[[#This Row],[ต้นทุนต่อแก้ว]]*tblSales[[#This Row],[จำนวนแก้ว]],""))</f>
        <v/>
      </c>
      <c r="O196" s="8" t="str">
        <f>IF(tblSales[[#This Row],[Key]]="","",IFERROR(tblSales[[#This Row],[ยอดขาย (บาท)]]-tblSales[[#This Row],[ต้นทุนรวม (บาท)]],""))</f>
        <v/>
      </c>
      <c r="P196" s="21" t="str">
        <f>IF(tblSales[[#This Row],[Key]]="","",IFERROR(tblSales[[#This Row],[กำไร (บาท)]]/tblSales[[#This Row],[ยอดขาย (บาท)]],""))</f>
        <v/>
      </c>
      <c r="Q196" s="10" t="str">
        <f>IF(tblSales[[#This Row],[Key]]="","",IFERROR(INDEX(ตารางรวม!$D:$D,MATCH(tblSales[[#This Row],[Key]],ตารางรวม!$Z:$Z,0))*tblSales[[#This Row],[จำนวนแก้ว]],0))</f>
        <v/>
      </c>
      <c r="R196" s="10" t="str">
        <f>IF(tblSales[[#This Row],[Key]]="","",IFERROR(INDEX(ตารางรวม!$E:$E,MATCH(tblSales[[#This Row],[Key]],ตารางรวม!$Z:$Z,0))*tblSales[[#This Row],[จำนวนแก้ว]],0))</f>
        <v/>
      </c>
      <c r="S196" s="10" t="str">
        <f>IF(tblSales[[#This Row],[Key]]="","",IFERROR(INDEX(ตารางรวม!$F:$F,MATCH(tblSales[[#This Row],[Key]],ตารางรวม!$Z:$Z,0))*tblSales[[#This Row],[จำนวนแก้ว]],0))</f>
        <v/>
      </c>
      <c r="T196" s="10" t="str">
        <f>IF(tblSales[[#This Row],[Key]]="","",IFERROR(INDEX(ตารางรวม!$G:$G,MATCH(tblSales[[#This Row],[Key]],ตารางรวม!$Z:$Z,0))*tblSales[[#This Row],[จำนวนแก้ว]],0))</f>
        <v/>
      </c>
      <c r="U196" s="10" t="str">
        <f>IF(tblSales[[#This Row],[Key]]="","",IFERROR(INDEX(ตารางรวม!$H:$H,MATCH(tblSales[[#This Row],[Key]],ตารางรวม!$Z:$Z,0))*tblSales[[#This Row],[จำนวนแก้ว]],0))</f>
        <v/>
      </c>
      <c r="V196" s="10" t="str">
        <f>IF(tblSales[[#This Row],[Key]]="","",IFERROR(INDEX(ตารางรวม!$I:$I,MATCH(tblSales[[#This Row],[Key]],ตารางรวม!$Z:$Z,0))*tblSales[[#This Row],[จำนวนแก้ว]],0))</f>
        <v/>
      </c>
      <c r="W196" s="10" t="str">
        <f>IF(tblSales[[#This Row],[Key]]="","",IFERROR(INDEX(ตารางรวม!$J:$J,MATCH(tblSales[[#This Row],[Key]],ตารางรวม!$Z:$Z,0))*tblSales[[#This Row],[จำนวนแก้ว]],0))</f>
        <v/>
      </c>
      <c r="X196" s="10" t="str">
        <f>IF(tblSales[[#This Row],[Key]]="","",IFERROR(INDEX(ตารางรวม!$K:$K,MATCH(tblSales[[#This Row],[Key]],ตารางรวม!$Z:$Z,0))*tblSales[[#This Row],[จำนวนแก้ว]],0))</f>
        <v/>
      </c>
      <c r="Y196" s="10" t="str">
        <f>IF(tblSales[[#This Row],[Key]]="","",IFERROR(INDEX(ตารางรวม!$L:$L,MATCH(tblSales[[#This Row],[Key]],ตารางรวม!$Z:$Z,0))*tblSales[[#This Row],[จำนวนแก้ว]],0))</f>
        <v/>
      </c>
      <c r="Z196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6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6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6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6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6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6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6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6" s="10" t="str">
        <f>IF(tblSales[[#This Row],[Key]]="","",IF(tblSales[[#This Row],[ขนาด]]="16 oz",tblSales[[#This Row],[จำนวนแก้ว]],0))</f>
        <v/>
      </c>
      <c r="AI196" s="10" t="str">
        <f>IF(tblSales[[#This Row],[Key]]="","",IF(tblSales[[#This Row],[ขนาด]]="20 oz",tblSales[[#This Row],[จำนวนแก้ว]],0))</f>
        <v/>
      </c>
      <c r="AJ196" s="10" t="str">
        <f>IF(tblSales[[#This Row],[Key]]="","",IF(tblSales[[#This Row],[ขนาด]]="22 oz",tblSales[[#This Row],[จำนวนแก้ว]],0))</f>
        <v/>
      </c>
    </row>
    <row r="197" spans="1:36" x14ac:dyDescent="0.25">
      <c r="A197" s="4" t="str">
        <f>IF(tblSales[[#This Row],[วันที่]]="","","S"&amp;TEXT(tblSales[[#This Row],[วันที่]],"yymmdd")&amp;"-"&amp;TEXT(ROW()-5,"000"))</f>
        <v/>
      </c>
      <c r="B197" s="16"/>
      <c r="C197" s="6"/>
      <c r="D197" s="6"/>
      <c r="E197" s="20"/>
      <c r="F197" s="6"/>
      <c r="G197" s="6"/>
      <c r="H197" s="6"/>
      <c r="I197" s="6"/>
      <c r="J19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7" s="8" t="str">
        <f>IF(tblSales[[#This Row],[Key]]="","",IFERROR(INDEX(ตารางรวม!$W:$W,MATCH(tblSales[[#This Row],[Key]],ตารางรวม!$Z:$Z,0)),"ไม่พบสูตร"))</f>
        <v/>
      </c>
      <c r="L197" s="8" t="str">
        <f>IF(tblSales[[#This Row],[Key]]="","",IFERROR(INDEX(ตารางรวม!$V:$V,MATCH(tblSales[[#This Row],[Key]],ตารางรวม!$Z:$Z,0)),"ไม่พบสูตร"))</f>
        <v/>
      </c>
      <c r="M197" s="8" t="str">
        <f>IF(tblSales[[#This Row],[Key]]="","",IFERROR(tblSales[[#This Row],[ราคาต่อแก้ว]]*tblSales[[#This Row],[จำนวนแก้ว]],""))</f>
        <v/>
      </c>
      <c r="N197" s="8" t="str">
        <f>IF(tblSales[[#This Row],[Key]]="","",IFERROR(tblSales[[#This Row],[ต้นทุนต่อแก้ว]]*tblSales[[#This Row],[จำนวนแก้ว]],""))</f>
        <v/>
      </c>
      <c r="O197" s="8" t="str">
        <f>IF(tblSales[[#This Row],[Key]]="","",IFERROR(tblSales[[#This Row],[ยอดขาย (บาท)]]-tblSales[[#This Row],[ต้นทุนรวม (บาท)]],""))</f>
        <v/>
      </c>
      <c r="P197" s="21" t="str">
        <f>IF(tblSales[[#This Row],[Key]]="","",IFERROR(tblSales[[#This Row],[กำไร (บาท)]]/tblSales[[#This Row],[ยอดขาย (บาท)]],""))</f>
        <v/>
      </c>
      <c r="Q197" s="10" t="str">
        <f>IF(tblSales[[#This Row],[Key]]="","",IFERROR(INDEX(ตารางรวม!$D:$D,MATCH(tblSales[[#This Row],[Key]],ตารางรวม!$Z:$Z,0))*tblSales[[#This Row],[จำนวนแก้ว]],0))</f>
        <v/>
      </c>
      <c r="R197" s="10" t="str">
        <f>IF(tblSales[[#This Row],[Key]]="","",IFERROR(INDEX(ตารางรวม!$E:$E,MATCH(tblSales[[#This Row],[Key]],ตารางรวม!$Z:$Z,0))*tblSales[[#This Row],[จำนวนแก้ว]],0))</f>
        <v/>
      </c>
      <c r="S197" s="10" t="str">
        <f>IF(tblSales[[#This Row],[Key]]="","",IFERROR(INDEX(ตารางรวม!$F:$F,MATCH(tblSales[[#This Row],[Key]],ตารางรวม!$Z:$Z,0))*tblSales[[#This Row],[จำนวนแก้ว]],0))</f>
        <v/>
      </c>
      <c r="T197" s="10" t="str">
        <f>IF(tblSales[[#This Row],[Key]]="","",IFERROR(INDEX(ตารางรวม!$G:$G,MATCH(tblSales[[#This Row],[Key]],ตารางรวม!$Z:$Z,0))*tblSales[[#This Row],[จำนวนแก้ว]],0))</f>
        <v/>
      </c>
      <c r="U197" s="10" t="str">
        <f>IF(tblSales[[#This Row],[Key]]="","",IFERROR(INDEX(ตารางรวม!$H:$H,MATCH(tblSales[[#This Row],[Key]],ตารางรวม!$Z:$Z,0))*tblSales[[#This Row],[จำนวนแก้ว]],0))</f>
        <v/>
      </c>
      <c r="V197" s="10" t="str">
        <f>IF(tblSales[[#This Row],[Key]]="","",IFERROR(INDEX(ตารางรวม!$I:$I,MATCH(tblSales[[#This Row],[Key]],ตารางรวม!$Z:$Z,0))*tblSales[[#This Row],[จำนวนแก้ว]],0))</f>
        <v/>
      </c>
      <c r="W197" s="10" t="str">
        <f>IF(tblSales[[#This Row],[Key]]="","",IFERROR(INDEX(ตารางรวม!$J:$J,MATCH(tblSales[[#This Row],[Key]],ตารางรวม!$Z:$Z,0))*tblSales[[#This Row],[จำนวนแก้ว]],0))</f>
        <v/>
      </c>
      <c r="X197" s="10" t="str">
        <f>IF(tblSales[[#This Row],[Key]]="","",IFERROR(INDEX(ตารางรวม!$K:$K,MATCH(tblSales[[#This Row],[Key]],ตารางรวม!$Z:$Z,0))*tblSales[[#This Row],[จำนวนแก้ว]],0))</f>
        <v/>
      </c>
      <c r="Y197" s="10" t="str">
        <f>IF(tblSales[[#This Row],[Key]]="","",IFERROR(INDEX(ตารางรวม!$L:$L,MATCH(tblSales[[#This Row],[Key]],ตารางรวม!$Z:$Z,0))*tblSales[[#This Row],[จำนวนแก้ว]],0))</f>
        <v/>
      </c>
      <c r="Z197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7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7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7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7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7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7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7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7" s="10" t="str">
        <f>IF(tblSales[[#This Row],[Key]]="","",IF(tblSales[[#This Row],[ขนาด]]="16 oz",tblSales[[#This Row],[จำนวนแก้ว]],0))</f>
        <v/>
      </c>
      <c r="AI197" s="10" t="str">
        <f>IF(tblSales[[#This Row],[Key]]="","",IF(tblSales[[#This Row],[ขนาด]]="20 oz",tblSales[[#This Row],[จำนวนแก้ว]],0))</f>
        <v/>
      </c>
      <c r="AJ197" s="10" t="str">
        <f>IF(tblSales[[#This Row],[Key]]="","",IF(tblSales[[#This Row],[ขนาด]]="22 oz",tblSales[[#This Row],[จำนวนแก้ว]],0))</f>
        <v/>
      </c>
    </row>
    <row r="198" spans="1:36" x14ac:dyDescent="0.25">
      <c r="A198" s="4" t="str">
        <f>IF(tblSales[[#This Row],[วันที่]]="","","S"&amp;TEXT(tblSales[[#This Row],[วันที่]],"yymmdd")&amp;"-"&amp;TEXT(ROW()-5,"000"))</f>
        <v/>
      </c>
      <c r="B198" s="16"/>
      <c r="C198" s="6"/>
      <c r="D198" s="6"/>
      <c r="E198" s="20"/>
      <c r="F198" s="6"/>
      <c r="G198" s="6"/>
      <c r="H198" s="6"/>
      <c r="I198" s="6"/>
      <c r="J19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8" s="8" t="str">
        <f>IF(tblSales[[#This Row],[Key]]="","",IFERROR(INDEX(ตารางรวม!$W:$W,MATCH(tblSales[[#This Row],[Key]],ตารางรวม!$Z:$Z,0)),"ไม่พบสูตร"))</f>
        <v/>
      </c>
      <c r="L198" s="8" t="str">
        <f>IF(tblSales[[#This Row],[Key]]="","",IFERROR(INDEX(ตารางรวม!$V:$V,MATCH(tblSales[[#This Row],[Key]],ตารางรวม!$Z:$Z,0)),"ไม่พบสูตร"))</f>
        <v/>
      </c>
      <c r="M198" s="8" t="str">
        <f>IF(tblSales[[#This Row],[Key]]="","",IFERROR(tblSales[[#This Row],[ราคาต่อแก้ว]]*tblSales[[#This Row],[จำนวนแก้ว]],""))</f>
        <v/>
      </c>
      <c r="N198" s="8" t="str">
        <f>IF(tblSales[[#This Row],[Key]]="","",IFERROR(tblSales[[#This Row],[ต้นทุนต่อแก้ว]]*tblSales[[#This Row],[จำนวนแก้ว]],""))</f>
        <v/>
      </c>
      <c r="O198" s="8" t="str">
        <f>IF(tblSales[[#This Row],[Key]]="","",IFERROR(tblSales[[#This Row],[ยอดขาย (บาท)]]-tblSales[[#This Row],[ต้นทุนรวม (บาท)]],""))</f>
        <v/>
      </c>
      <c r="P198" s="21" t="str">
        <f>IF(tblSales[[#This Row],[Key]]="","",IFERROR(tblSales[[#This Row],[กำไร (บาท)]]/tblSales[[#This Row],[ยอดขาย (บาท)]],""))</f>
        <v/>
      </c>
      <c r="Q198" s="10" t="str">
        <f>IF(tblSales[[#This Row],[Key]]="","",IFERROR(INDEX(ตารางรวม!$D:$D,MATCH(tblSales[[#This Row],[Key]],ตารางรวม!$Z:$Z,0))*tblSales[[#This Row],[จำนวนแก้ว]],0))</f>
        <v/>
      </c>
      <c r="R198" s="10" t="str">
        <f>IF(tblSales[[#This Row],[Key]]="","",IFERROR(INDEX(ตารางรวม!$E:$E,MATCH(tblSales[[#This Row],[Key]],ตารางรวม!$Z:$Z,0))*tblSales[[#This Row],[จำนวนแก้ว]],0))</f>
        <v/>
      </c>
      <c r="S198" s="10" t="str">
        <f>IF(tblSales[[#This Row],[Key]]="","",IFERROR(INDEX(ตารางรวม!$F:$F,MATCH(tblSales[[#This Row],[Key]],ตารางรวม!$Z:$Z,0))*tblSales[[#This Row],[จำนวนแก้ว]],0))</f>
        <v/>
      </c>
      <c r="T198" s="10" t="str">
        <f>IF(tblSales[[#This Row],[Key]]="","",IFERROR(INDEX(ตารางรวม!$G:$G,MATCH(tblSales[[#This Row],[Key]],ตารางรวม!$Z:$Z,0))*tblSales[[#This Row],[จำนวนแก้ว]],0))</f>
        <v/>
      </c>
      <c r="U198" s="10" t="str">
        <f>IF(tblSales[[#This Row],[Key]]="","",IFERROR(INDEX(ตารางรวม!$H:$H,MATCH(tblSales[[#This Row],[Key]],ตารางรวม!$Z:$Z,0))*tblSales[[#This Row],[จำนวนแก้ว]],0))</f>
        <v/>
      </c>
      <c r="V198" s="10" t="str">
        <f>IF(tblSales[[#This Row],[Key]]="","",IFERROR(INDEX(ตารางรวม!$I:$I,MATCH(tblSales[[#This Row],[Key]],ตารางรวม!$Z:$Z,0))*tblSales[[#This Row],[จำนวนแก้ว]],0))</f>
        <v/>
      </c>
      <c r="W198" s="10" t="str">
        <f>IF(tblSales[[#This Row],[Key]]="","",IFERROR(INDEX(ตารางรวม!$J:$J,MATCH(tblSales[[#This Row],[Key]],ตารางรวม!$Z:$Z,0))*tblSales[[#This Row],[จำนวนแก้ว]],0))</f>
        <v/>
      </c>
      <c r="X198" s="10" t="str">
        <f>IF(tblSales[[#This Row],[Key]]="","",IFERROR(INDEX(ตารางรวม!$K:$K,MATCH(tblSales[[#This Row],[Key]],ตารางรวม!$Z:$Z,0))*tblSales[[#This Row],[จำนวนแก้ว]],0))</f>
        <v/>
      </c>
      <c r="Y198" s="10" t="str">
        <f>IF(tblSales[[#This Row],[Key]]="","",IFERROR(INDEX(ตารางรวม!$L:$L,MATCH(tblSales[[#This Row],[Key]],ตารางรวม!$Z:$Z,0))*tblSales[[#This Row],[จำนวนแก้ว]],0))</f>
        <v/>
      </c>
      <c r="Z198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8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8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8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8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8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8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8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8" s="10" t="str">
        <f>IF(tblSales[[#This Row],[Key]]="","",IF(tblSales[[#This Row],[ขนาด]]="16 oz",tblSales[[#This Row],[จำนวนแก้ว]],0))</f>
        <v/>
      </c>
      <c r="AI198" s="10" t="str">
        <f>IF(tblSales[[#This Row],[Key]]="","",IF(tblSales[[#This Row],[ขนาด]]="20 oz",tblSales[[#This Row],[จำนวนแก้ว]],0))</f>
        <v/>
      </c>
      <c r="AJ198" s="10" t="str">
        <f>IF(tblSales[[#This Row],[Key]]="","",IF(tblSales[[#This Row],[ขนาด]]="22 oz",tblSales[[#This Row],[จำนวนแก้ว]],0))</f>
        <v/>
      </c>
    </row>
    <row r="199" spans="1:36" x14ac:dyDescent="0.25">
      <c r="A199" s="4" t="str">
        <f>IF(tblSales[[#This Row],[วันที่]]="","","S"&amp;TEXT(tblSales[[#This Row],[วันที่]],"yymmdd")&amp;"-"&amp;TEXT(ROW()-5,"000"))</f>
        <v/>
      </c>
      <c r="B199" s="16"/>
      <c r="C199" s="6"/>
      <c r="D199" s="6"/>
      <c r="E199" s="20"/>
      <c r="F199" s="6"/>
      <c r="G199" s="6"/>
      <c r="H199" s="6"/>
      <c r="I199" s="6"/>
      <c r="J19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199" s="8" t="str">
        <f>IF(tblSales[[#This Row],[Key]]="","",IFERROR(INDEX(ตารางรวม!$W:$W,MATCH(tblSales[[#This Row],[Key]],ตารางรวม!$Z:$Z,0)),"ไม่พบสูตร"))</f>
        <v/>
      </c>
      <c r="L199" s="8" t="str">
        <f>IF(tblSales[[#This Row],[Key]]="","",IFERROR(INDEX(ตารางรวม!$V:$V,MATCH(tblSales[[#This Row],[Key]],ตารางรวม!$Z:$Z,0)),"ไม่พบสูตร"))</f>
        <v/>
      </c>
      <c r="M199" s="8" t="str">
        <f>IF(tblSales[[#This Row],[Key]]="","",IFERROR(tblSales[[#This Row],[ราคาต่อแก้ว]]*tblSales[[#This Row],[จำนวนแก้ว]],""))</f>
        <v/>
      </c>
      <c r="N199" s="8" t="str">
        <f>IF(tblSales[[#This Row],[Key]]="","",IFERROR(tblSales[[#This Row],[ต้นทุนต่อแก้ว]]*tblSales[[#This Row],[จำนวนแก้ว]],""))</f>
        <v/>
      </c>
      <c r="O199" s="8" t="str">
        <f>IF(tblSales[[#This Row],[Key]]="","",IFERROR(tblSales[[#This Row],[ยอดขาย (บาท)]]-tblSales[[#This Row],[ต้นทุนรวม (บาท)]],""))</f>
        <v/>
      </c>
      <c r="P199" s="21" t="str">
        <f>IF(tblSales[[#This Row],[Key]]="","",IFERROR(tblSales[[#This Row],[กำไร (บาท)]]/tblSales[[#This Row],[ยอดขาย (บาท)]],""))</f>
        <v/>
      </c>
      <c r="Q199" s="10" t="str">
        <f>IF(tblSales[[#This Row],[Key]]="","",IFERROR(INDEX(ตารางรวม!$D:$D,MATCH(tblSales[[#This Row],[Key]],ตารางรวม!$Z:$Z,0))*tblSales[[#This Row],[จำนวนแก้ว]],0))</f>
        <v/>
      </c>
      <c r="R199" s="10" t="str">
        <f>IF(tblSales[[#This Row],[Key]]="","",IFERROR(INDEX(ตารางรวม!$E:$E,MATCH(tblSales[[#This Row],[Key]],ตารางรวม!$Z:$Z,0))*tblSales[[#This Row],[จำนวนแก้ว]],0))</f>
        <v/>
      </c>
      <c r="S199" s="10" t="str">
        <f>IF(tblSales[[#This Row],[Key]]="","",IFERROR(INDEX(ตารางรวม!$F:$F,MATCH(tblSales[[#This Row],[Key]],ตารางรวม!$Z:$Z,0))*tblSales[[#This Row],[จำนวนแก้ว]],0))</f>
        <v/>
      </c>
      <c r="T199" s="10" t="str">
        <f>IF(tblSales[[#This Row],[Key]]="","",IFERROR(INDEX(ตารางรวม!$G:$G,MATCH(tblSales[[#This Row],[Key]],ตารางรวม!$Z:$Z,0))*tblSales[[#This Row],[จำนวนแก้ว]],0))</f>
        <v/>
      </c>
      <c r="U199" s="10" t="str">
        <f>IF(tblSales[[#This Row],[Key]]="","",IFERROR(INDEX(ตารางรวม!$H:$H,MATCH(tblSales[[#This Row],[Key]],ตารางรวม!$Z:$Z,0))*tblSales[[#This Row],[จำนวนแก้ว]],0))</f>
        <v/>
      </c>
      <c r="V199" s="10" t="str">
        <f>IF(tblSales[[#This Row],[Key]]="","",IFERROR(INDEX(ตารางรวม!$I:$I,MATCH(tblSales[[#This Row],[Key]],ตารางรวม!$Z:$Z,0))*tblSales[[#This Row],[จำนวนแก้ว]],0))</f>
        <v/>
      </c>
      <c r="W199" s="10" t="str">
        <f>IF(tblSales[[#This Row],[Key]]="","",IFERROR(INDEX(ตารางรวม!$J:$J,MATCH(tblSales[[#This Row],[Key]],ตารางรวม!$Z:$Z,0))*tblSales[[#This Row],[จำนวนแก้ว]],0))</f>
        <v/>
      </c>
      <c r="X199" s="10" t="str">
        <f>IF(tblSales[[#This Row],[Key]]="","",IFERROR(INDEX(ตารางรวม!$K:$K,MATCH(tblSales[[#This Row],[Key]],ตารางรวม!$Z:$Z,0))*tblSales[[#This Row],[จำนวนแก้ว]],0))</f>
        <v/>
      </c>
      <c r="Y199" s="10" t="str">
        <f>IF(tblSales[[#This Row],[Key]]="","",IFERROR(INDEX(ตารางรวม!$L:$L,MATCH(tblSales[[#This Row],[Key]],ตารางรวม!$Z:$Z,0))*tblSales[[#This Row],[จำนวนแก้ว]],0))</f>
        <v/>
      </c>
      <c r="Z199" s="10" t="str">
        <f>IF(tblSales[[#This Row],[Key]]="","",IFERROR(INDEX(ตารางรวม!$M:$M,MATCH(tblSales[[#This Row],[Key]],ตารางรวม!$Z:$Z,0))*tblSales[[#This Row],[จำนวนแก้ว]],0))</f>
        <v/>
      </c>
      <c r="AA199" s="10" t="str">
        <f>IF(tblSales[[#This Row],[Key]]="","",IFERROR(INDEX(ตารางรวม!$N:$N,MATCH(tblSales[[#This Row],[Key]],ตารางรวม!$Z:$Z,0))*tblSales[[#This Row],[จำนวนแก้ว]],0))</f>
        <v/>
      </c>
      <c r="AB199" s="10" t="str">
        <f>IF(tblSales[[#This Row],[Key]]="","",IFERROR(INDEX(ตารางรวม!$O:$O,MATCH(tblSales[[#This Row],[Key]],ตารางรวม!$Z:$Z,0))*tblSales[[#This Row],[จำนวนแก้ว]],0))</f>
        <v/>
      </c>
      <c r="AC199" s="10" t="str">
        <f>IF(tblSales[[#This Row],[Key]]="","",IFERROR(INDEX(ตารางรวม!$P:$P,MATCH(tblSales[[#This Row],[Key]],ตารางรวม!$Z:$Z,0))*tblSales[[#This Row],[จำนวนแก้ว]],0))</f>
        <v/>
      </c>
      <c r="AD199" s="10" t="str">
        <f>IF(tblSales[[#This Row],[Key]]="","",IFERROR(INDEX(ตารางรวม!$Q:$Q,MATCH(tblSales[[#This Row],[Key]],ตารางรวม!$Z:$Z,0))*tblSales[[#This Row],[จำนวนแก้ว]],0))</f>
        <v/>
      </c>
      <c r="AE199" s="10" t="str">
        <f>IF(tblSales[[#This Row],[Key]]="","",IFERROR(INDEX(ตารางรวม!$R:$R,MATCH(tblSales[[#This Row],[Key]],ตารางรวม!$Z:$Z,0))*tblSales[[#This Row],[จำนวนแก้ว]],0))</f>
        <v/>
      </c>
      <c r="AF199" s="10" t="str">
        <f>IF(tblSales[[#This Row],[Key]]="","",IFERROR(INDEX(ตารางรวม!$S:$S,MATCH(tblSales[[#This Row],[Key]],ตารางรวม!$Z:$Z,0))*tblSales[[#This Row],[จำนวนแก้ว]],0))</f>
        <v/>
      </c>
      <c r="AG199" s="10" t="str">
        <f>IF(tblSales[[#This Row],[Key]]="","",IFERROR(INDEX(ตารางรวม!$T:$T,MATCH(tblSales[[#This Row],[Key]],ตารางรวม!$Z:$Z,0))*tblSales[[#This Row],[จำนวนแก้ว]],0))</f>
        <v/>
      </c>
      <c r="AH199" s="10" t="str">
        <f>IF(tblSales[[#This Row],[Key]]="","",IF(tblSales[[#This Row],[ขนาด]]="16 oz",tblSales[[#This Row],[จำนวนแก้ว]],0))</f>
        <v/>
      </c>
      <c r="AI199" s="10" t="str">
        <f>IF(tblSales[[#This Row],[Key]]="","",IF(tblSales[[#This Row],[ขนาด]]="20 oz",tblSales[[#This Row],[จำนวนแก้ว]],0))</f>
        <v/>
      </c>
      <c r="AJ199" s="10" t="str">
        <f>IF(tblSales[[#This Row],[Key]]="","",IF(tblSales[[#This Row],[ขนาด]]="22 oz",tblSales[[#This Row],[จำนวนแก้ว]],0))</f>
        <v/>
      </c>
    </row>
    <row r="200" spans="1:36" x14ac:dyDescent="0.25">
      <c r="A200" s="4" t="str">
        <f>IF(tblSales[[#This Row],[วันที่]]="","","S"&amp;TEXT(tblSales[[#This Row],[วันที่]],"yymmdd")&amp;"-"&amp;TEXT(ROW()-5,"000"))</f>
        <v/>
      </c>
      <c r="B200" s="16"/>
      <c r="C200" s="6"/>
      <c r="D200" s="6"/>
      <c r="E200" s="20"/>
      <c r="F200" s="6"/>
      <c r="G200" s="6"/>
      <c r="H200" s="6"/>
      <c r="I200" s="6"/>
      <c r="J20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0" s="8" t="str">
        <f>IF(tblSales[[#This Row],[Key]]="","",IFERROR(INDEX(ตารางรวม!$W:$W,MATCH(tblSales[[#This Row],[Key]],ตารางรวม!$Z:$Z,0)),"ไม่พบสูตร"))</f>
        <v/>
      </c>
      <c r="L200" s="8" t="str">
        <f>IF(tblSales[[#This Row],[Key]]="","",IFERROR(INDEX(ตารางรวม!$V:$V,MATCH(tblSales[[#This Row],[Key]],ตารางรวม!$Z:$Z,0)),"ไม่พบสูตร"))</f>
        <v/>
      </c>
      <c r="M200" s="8" t="str">
        <f>IF(tblSales[[#This Row],[Key]]="","",IFERROR(tblSales[[#This Row],[ราคาต่อแก้ว]]*tblSales[[#This Row],[จำนวนแก้ว]],""))</f>
        <v/>
      </c>
      <c r="N200" s="8" t="str">
        <f>IF(tblSales[[#This Row],[Key]]="","",IFERROR(tblSales[[#This Row],[ต้นทุนต่อแก้ว]]*tblSales[[#This Row],[จำนวนแก้ว]],""))</f>
        <v/>
      </c>
      <c r="O200" s="8" t="str">
        <f>IF(tblSales[[#This Row],[Key]]="","",IFERROR(tblSales[[#This Row],[ยอดขาย (บาท)]]-tblSales[[#This Row],[ต้นทุนรวม (บาท)]],""))</f>
        <v/>
      </c>
      <c r="P200" s="21" t="str">
        <f>IF(tblSales[[#This Row],[Key]]="","",IFERROR(tblSales[[#This Row],[กำไร (บาท)]]/tblSales[[#This Row],[ยอดขาย (บาท)]],""))</f>
        <v/>
      </c>
      <c r="Q200" s="10" t="str">
        <f>IF(tblSales[[#This Row],[Key]]="","",IFERROR(INDEX(ตารางรวม!$D:$D,MATCH(tblSales[[#This Row],[Key]],ตารางรวม!$Z:$Z,0))*tblSales[[#This Row],[จำนวนแก้ว]],0))</f>
        <v/>
      </c>
      <c r="R200" s="10" t="str">
        <f>IF(tblSales[[#This Row],[Key]]="","",IFERROR(INDEX(ตารางรวม!$E:$E,MATCH(tblSales[[#This Row],[Key]],ตารางรวม!$Z:$Z,0))*tblSales[[#This Row],[จำนวนแก้ว]],0))</f>
        <v/>
      </c>
      <c r="S200" s="10" t="str">
        <f>IF(tblSales[[#This Row],[Key]]="","",IFERROR(INDEX(ตารางรวม!$F:$F,MATCH(tblSales[[#This Row],[Key]],ตารางรวม!$Z:$Z,0))*tblSales[[#This Row],[จำนวนแก้ว]],0))</f>
        <v/>
      </c>
      <c r="T200" s="10" t="str">
        <f>IF(tblSales[[#This Row],[Key]]="","",IFERROR(INDEX(ตารางรวม!$G:$G,MATCH(tblSales[[#This Row],[Key]],ตารางรวม!$Z:$Z,0))*tblSales[[#This Row],[จำนวนแก้ว]],0))</f>
        <v/>
      </c>
      <c r="U200" s="10" t="str">
        <f>IF(tblSales[[#This Row],[Key]]="","",IFERROR(INDEX(ตารางรวม!$H:$H,MATCH(tblSales[[#This Row],[Key]],ตารางรวม!$Z:$Z,0))*tblSales[[#This Row],[จำนวนแก้ว]],0))</f>
        <v/>
      </c>
      <c r="V200" s="10" t="str">
        <f>IF(tblSales[[#This Row],[Key]]="","",IFERROR(INDEX(ตารางรวม!$I:$I,MATCH(tblSales[[#This Row],[Key]],ตารางรวม!$Z:$Z,0))*tblSales[[#This Row],[จำนวนแก้ว]],0))</f>
        <v/>
      </c>
      <c r="W200" s="10" t="str">
        <f>IF(tblSales[[#This Row],[Key]]="","",IFERROR(INDEX(ตารางรวม!$J:$J,MATCH(tblSales[[#This Row],[Key]],ตารางรวม!$Z:$Z,0))*tblSales[[#This Row],[จำนวนแก้ว]],0))</f>
        <v/>
      </c>
      <c r="X200" s="10" t="str">
        <f>IF(tblSales[[#This Row],[Key]]="","",IFERROR(INDEX(ตารางรวม!$K:$K,MATCH(tblSales[[#This Row],[Key]],ตารางรวม!$Z:$Z,0))*tblSales[[#This Row],[จำนวนแก้ว]],0))</f>
        <v/>
      </c>
      <c r="Y200" s="10" t="str">
        <f>IF(tblSales[[#This Row],[Key]]="","",IFERROR(INDEX(ตารางรวม!$L:$L,MATCH(tblSales[[#This Row],[Key]],ตารางรวม!$Z:$Z,0))*tblSales[[#This Row],[จำนวนแก้ว]],0))</f>
        <v/>
      </c>
      <c r="Z20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0" s="10" t="str">
        <f>IF(tblSales[[#This Row],[Key]]="","",IF(tblSales[[#This Row],[ขนาด]]="16 oz",tblSales[[#This Row],[จำนวนแก้ว]],0))</f>
        <v/>
      </c>
      <c r="AI200" s="10" t="str">
        <f>IF(tblSales[[#This Row],[Key]]="","",IF(tblSales[[#This Row],[ขนาด]]="20 oz",tblSales[[#This Row],[จำนวนแก้ว]],0))</f>
        <v/>
      </c>
      <c r="AJ200" s="10" t="str">
        <f>IF(tblSales[[#This Row],[Key]]="","",IF(tblSales[[#This Row],[ขนาด]]="22 oz",tblSales[[#This Row],[จำนวนแก้ว]],0))</f>
        <v/>
      </c>
    </row>
    <row r="201" spans="1:36" x14ac:dyDescent="0.25">
      <c r="A201" s="4" t="str">
        <f>IF(tblSales[[#This Row],[วันที่]]="","","S"&amp;TEXT(tblSales[[#This Row],[วันที่]],"yymmdd")&amp;"-"&amp;TEXT(ROW()-5,"000"))</f>
        <v/>
      </c>
      <c r="B201" s="16"/>
      <c r="C201" s="6"/>
      <c r="D201" s="6"/>
      <c r="E201" s="20"/>
      <c r="F201" s="6"/>
      <c r="G201" s="6"/>
      <c r="H201" s="6"/>
      <c r="I201" s="6"/>
      <c r="J20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1" s="8" t="str">
        <f>IF(tblSales[[#This Row],[Key]]="","",IFERROR(INDEX(ตารางรวม!$W:$W,MATCH(tblSales[[#This Row],[Key]],ตารางรวม!$Z:$Z,0)),"ไม่พบสูตร"))</f>
        <v/>
      </c>
      <c r="L201" s="8" t="str">
        <f>IF(tblSales[[#This Row],[Key]]="","",IFERROR(INDEX(ตารางรวม!$V:$V,MATCH(tblSales[[#This Row],[Key]],ตารางรวม!$Z:$Z,0)),"ไม่พบสูตร"))</f>
        <v/>
      </c>
      <c r="M201" s="8" t="str">
        <f>IF(tblSales[[#This Row],[Key]]="","",IFERROR(tblSales[[#This Row],[ราคาต่อแก้ว]]*tblSales[[#This Row],[จำนวนแก้ว]],""))</f>
        <v/>
      </c>
      <c r="N201" s="8" t="str">
        <f>IF(tblSales[[#This Row],[Key]]="","",IFERROR(tblSales[[#This Row],[ต้นทุนต่อแก้ว]]*tblSales[[#This Row],[จำนวนแก้ว]],""))</f>
        <v/>
      </c>
      <c r="O201" s="8" t="str">
        <f>IF(tblSales[[#This Row],[Key]]="","",IFERROR(tblSales[[#This Row],[ยอดขาย (บาท)]]-tblSales[[#This Row],[ต้นทุนรวม (บาท)]],""))</f>
        <v/>
      </c>
      <c r="P201" s="21" t="str">
        <f>IF(tblSales[[#This Row],[Key]]="","",IFERROR(tblSales[[#This Row],[กำไร (บาท)]]/tblSales[[#This Row],[ยอดขาย (บาท)]],""))</f>
        <v/>
      </c>
      <c r="Q201" s="10" t="str">
        <f>IF(tblSales[[#This Row],[Key]]="","",IFERROR(INDEX(ตารางรวม!$D:$D,MATCH(tblSales[[#This Row],[Key]],ตารางรวม!$Z:$Z,0))*tblSales[[#This Row],[จำนวนแก้ว]],0))</f>
        <v/>
      </c>
      <c r="R201" s="10" t="str">
        <f>IF(tblSales[[#This Row],[Key]]="","",IFERROR(INDEX(ตารางรวม!$E:$E,MATCH(tblSales[[#This Row],[Key]],ตารางรวม!$Z:$Z,0))*tblSales[[#This Row],[จำนวนแก้ว]],0))</f>
        <v/>
      </c>
      <c r="S201" s="10" t="str">
        <f>IF(tblSales[[#This Row],[Key]]="","",IFERROR(INDEX(ตารางรวม!$F:$F,MATCH(tblSales[[#This Row],[Key]],ตารางรวม!$Z:$Z,0))*tblSales[[#This Row],[จำนวนแก้ว]],0))</f>
        <v/>
      </c>
      <c r="T201" s="10" t="str">
        <f>IF(tblSales[[#This Row],[Key]]="","",IFERROR(INDEX(ตารางรวม!$G:$G,MATCH(tblSales[[#This Row],[Key]],ตารางรวม!$Z:$Z,0))*tblSales[[#This Row],[จำนวนแก้ว]],0))</f>
        <v/>
      </c>
      <c r="U201" s="10" t="str">
        <f>IF(tblSales[[#This Row],[Key]]="","",IFERROR(INDEX(ตารางรวม!$H:$H,MATCH(tblSales[[#This Row],[Key]],ตารางรวม!$Z:$Z,0))*tblSales[[#This Row],[จำนวนแก้ว]],0))</f>
        <v/>
      </c>
      <c r="V201" s="10" t="str">
        <f>IF(tblSales[[#This Row],[Key]]="","",IFERROR(INDEX(ตารางรวม!$I:$I,MATCH(tblSales[[#This Row],[Key]],ตารางรวม!$Z:$Z,0))*tblSales[[#This Row],[จำนวนแก้ว]],0))</f>
        <v/>
      </c>
      <c r="W201" s="10" t="str">
        <f>IF(tblSales[[#This Row],[Key]]="","",IFERROR(INDEX(ตารางรวม!$J:$J,MATCH(tblSales[[#This Row],[Key]],ตารางรวม!$Z:$Z,0))*tblSales[[#This Row],[จำนวนแก้ว]],0))</f>
        <v/>
      </c>
      <c r="X201" s="10" t="str">
        <f>IF(tblSales[[#This Row],[Key]]="","",IFERROR(INDEX(ตารางรวม!$K:$K,MATCH(tblSales[[#This Row],[Key]],ตารางรวม!$Z:$Z,0))*tblSales[[#This Row],[จำนวนแก้ว]],0))</f>
        <v/>
      </c>
      <c r="Y201" s="10" t="str">
        <f>IF(tblSales[[#This Row],[Key]]="","",IFERROR(INDEX(ตารางรวม!$L:$L,MATCH(tblSales[[#This Row],[Key]],ตารางรวม!$Z:$Z,0))*tblSales[[#This Row],[จำนวนแก้ว]],0))</f>
        <v/>
      </c>
      <c r="Z20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1" s="10" t="str">
        <f>IF(tblSales[[#This Row],[Key]]="","",IF(tblSales[[#This Row],[ขนาด]]="16 oz",tblSales[[#This Row],[จำนวนแก้ว]],0))</f>
        <v/>
      </c>
      <c r="AI201" s="10" t="str">
        <f>IF(tblSales[[#This Row],[Key]]="","",IF(tblSales[[#This Row],[ขนาด]]="20 oz",tblSales[[#This Row],[จำนวนแก้ว]],0))</f>
        <v/>
      </c>
      <c r="AJ201" s="10" t="str">
        <f>IF(tblSales[[#This Row],[Key]]="","",IF(tblSales[[#This Row],[ขนาด]]="22 oz",tblSales[[#This Row],[จำนวนแก้ว]],0))</f>
        <v/>
      </c>
    </row>
    <row r="202" spans="1:36" x14ac:dyDescent="0.25">
      <c r="A202" s="4" t="str">
        <f>IF(tblSales[[#This Row],[วันที่]]="","","S"&amp;TEXT(tblSales[[#This Row],[วันที่]],"yymmdd")&amp;"-"&amp;TEXT(ROW()-5,"000"))</f>
        <v/>
      </c>
      <c r="B202" s="16"/>
      <c r="C202" s="6"/>
      <c r="D202" s="6"/>
      <c r="E202" s="20"/>
      <c r="F202" s="6"/>
      <c r="G202" s="6"/>
      <c r="H202" s="6"/>
      <c r="I202" s="6"/>
      <c r="J20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2" s="8" t="str">
        <f>IF(tblSales[[#This Row],[Key]]="","",IFERROR(INDEX(ตารางรวม!$W:$W,MATCH(tblSales[[#This Row],[Key]],ตารางรวม!$Z:$Z,0)),"ไม่พบสูตร"))</f>
        <v/>
      </c>
      <c r="L202" s="8" t="str">
        <f>IF(tblSales[[#This Row],[Key]]="","",IFERROR(INDEX(ตารางรวม!$V:$V,MATCH(tblSales[[#This Row],[Key]],ตารางรวม!$Z:$Z,0)),"ไม่พบสูตร"))</f>
        <v/>
      </c>
      <c r="M202" s="8" t="str">
        <f>IF(tblSales[[#This Row],[Key]]="","",IFERROR(tblSales[[#This Row],[ราคาต่อแก้ว]]*tblSales[[#This Row],[จำนวนแก้ว]],""))</f>
        <v/>
      </c>
      <c r="N202" s="8" t="str">
        <f>IF(tblSales[[#This Row],[Key]]="","",IFERROR(tblSales[[#This Row],[ต้นทุนต่อแก้ว]]*tblSales[[#This Row],[จำนวนแก้ว]],""))</f>
        <v/>
      </c>
      <c r="O202" s="8" t="str">
        <f>IF(tblSales[[#This Row],[Key]]="","",IFERROR(tblSales[[#This Row],[ยอดขาย (บาท)]]-tblSales[[#This Row],[ต้นทุนรวม (บาท)]],""))</f>
        <v/>
      </c>
      <c r="P202" s="21" t="str">
        <f>IF(tblSales[[#This Row],[Key]]="","",IFERROR(tblSales[[#This Row],[กำไร (บาท)]]/tblSales[[#This Row],[ยอดขาย (บาท)]],""))</f>
        <v/>
      </c>
      <c r="Q202" s="10" t="str">
        <f>IF(tblSales[[#This Row],[Key]]="","",IFERROR(INDEX(ตารางรวม!$D:$D,MATCH(tblSales[[#This Row],[Key]],ตารางรวม!$Z:$Z,0))*tblSales[[#This Row],[จำนวนแก้ว]],0))</f>
        <v/>
      </c>
      <c r="R202" s="10" t="str">
        <f>IF(tblSales[[#This Row],[Key]]="","",IFERROR(INDEX(ตารางรวม!$E:$E,MATCH(tblSales[[#This Row],[Key]],ตารางรวม!$Z:$Z,0))*tblSales[[#This Row],[จำนวนแก้ว]],0))</f>
        <v/>
      </c>
      <c r="S202" s="10" t="str">
        <f>IF(tblSales[[#This Row],[Key]]="","",IFERROR(INDEX(ตารางรวม!$F:$F,MATCH(tblSales[[#This Row],[Key]],ตารางรวม!$Z:$Z,0))*tblSales[[#This Row],[จำนวนแก้ว]],0))</f>
        <v/>
      </c>
      <c r="T202" s="10" t="str">
        <f>IF(tblSales[[#This Row],[Key]]="","",IFERROR(INDEX(ตารางรวม!$G:$G,MATCH(tblSales[[#This Row],[Key]],ตารางรวม!$Z:$Z,0))*tblSales[[#This Row],[จำนวนแก้ว]],0))</f>
        <v/>
      </c>
      <c r="U202" s="10" t="str">
        <f>IF(tblSales[[#This Row],[Key]]="","",IFERROR(INDEX(ตารางรวม!$H:$H,MATCH(tblSales[[#This Row],[Key]],ตารางรวม!$Z:$Z,0))*tblSales[[#This Row],[จำนวนแก้ว]],0))</f>
        <v/>
      </c>
      <c r="V202" s="10" t="str">
        <f>IF(tblSales[[#This Row],[Key]]="","",IFERROR(INDEX(ตารางรวม!$I:$I,MATCH(tblSales[[#This Row],[Key]],ตารางรวม!$Z:$Z,0))*tblSales[[#This Row],[จำนวนแก้ว]],0))</f>
        <v/>
      </c>
      <c r="W202" s="10" t="str">
        <f>IF(tblSales[[#This Row],[Key]]="","",IFERROR(INDEX(ตารางรวม!$J:$J,MATCH(tblSales[[#This Row],[Key]],ตารางรวม!$Z:$Z,0))*tblSales[[#This Row],[จำนวนแก้ว]],0))</f>
        <v/>
      </c>
      <c r="X202" s="10" t="str">
        <f>IF(tblSales[[#This Row],[Key]]="","",IFERROR(INDEX(ตารางรวม!$K:$K,MATCH(tblSales[[#This Row],[Key]],ตารางรวม!$Z:$Z,0))*tblSales[[#This Row],[จำนวนแก้ว]],0))</f>
        <v/>
      </c>
      <c r="Y202" s="10" t="str">
        <f>IF(tblSales[[#This Row],[Key]]="","",IFERROR(INDEX(ตารางรวม!$L:$L,MATCH(tblSales[[#This Row],[Key]],ตารางรวม!$Z:$Z,0))*tblSales[[#This Row],[จำนวนแก้ว]],0))</f>
        <v/>
      </c>
      <c r="Z20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2" s="10" t="str">
        <f>IF(tblSales[[#This Row],[Key]]="","",IF(tblSales[[#This Row],[ขนาด]]="16 oz",tblSales[[#This Row],[จำนวนแก้ว]],0))</f>
        <v/>
      </c>
      <c r="AI202" s="10" t="str">
        <f>IF(tblSales[[#This Row],[Key]]="","",IF(tblSales[[#This Row],[ขนาด]]="20 oz",tblSales[[#This Row],[จำนวนแก้ว]],0))</f>
        <v/>
      </c>
      <c r="AJ202" s="10" t="str">
        <f>IF(tblSales[[#This Row],[Key]]="","",IF(tblSales[[#This Row],[ขนาด]]="22 oz",tblSales[[#This Row],[จำนวนแก้ว]],0))</f>
        <v/>
      </c>
    </row>
    <row r="203" spans="1:36" x14ac:dyDescent="0.25">
      <c r="A203" s="4" t="str">
        <f>IF(tblSales[[#This Row],[วันที่]]="","","S"&amp;TEXT(tblSales[[#This Row],[วันที่]],"yymmdd")&amp;"-"&amp;TEXT(ROW()-5,"000"))</f>
        <v/>
      </c>
      <c r="B203" s="16"/>
      <c r="C203" s="6"/>
      <c r="D203" s="6"/>
      <c r="E203" s="20"/>
      <c r="F203" s="6"/>
      <c r="G203" s="6"/>
      <c r="H203" s="6"/>
      <c r="I203" s="6"/>
      <c r="J20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3" s="8" t="str">
        <f>IF(tblSales[[#This Row],[Key]]="","",IFERROR(INDEX(ตารางรวม!$W:$W,MATCH(tblSales[[#This Row],[Key]],ตารางรวม!$Z:$Z,0)),"ไม่พบสูตร"))</f>
        <v/>
      </c>
      <c r="L203" s="8" t="str">
        <f>IF(tblSales[[#This Row],[Key]]="","",IFERROR(INDEX(ตารางรวม!$V:$V,MATCH(tblSales[[#This Row],[Key]],ตารางรวม!$Z:$Z,0)),"ไม่พบสูตร"))</f>
        <v/>
      </c>
      <c r="M203" s="8" t="str">
        <f>IF(tblSales[[#This Row],[Key]]="","",IFERROR(tblSales[[#This Row],[ราคาต่อแก้ว]]*tblSales[[#This Row],[จำนวนแก้ว]],""))</f>
        <v/>
      </c>
      <c r="N203" s="8" t="str">
        <f>IF(tblSales[[#This Row],[Key]]="","",IFERROR(tblSales[[#This Row],[ต้นทุนต่อแก้ว]]*tblSales[[#This Row],[จำนวนแก้ว]],""))</f>
        <v/>
      </c>
      <c r="O203" s="8" t="str">
        <f>IF(tblSales[[#This Row],[Key]]="","",IFERROR(tblSales[[#This Row],[ยอดขาย (บาท)]]-tblSales[[#This Row],[ต้นทุนรวม (บาท)]],""))</f>
        <v/>
      </c>
      <c r="P203" s="21" t="str">
        <f>IF(tblSales[[#This Row],[Key]]="","",IFERROR(tblSales[[#This Row],[กำไร (บาท)]]/tblSales[[#This Row],[ยอดขาย (บาท)]],""))</f>
        <v/>
      </c>
      <c r="Q203" s="10" t="str">
        <f>IF(tblSales[[#This Row],[Key]]="","",IFERROR(INDEX(ตารางรวม!$D:$D,MATCH(tblSales[[#This Row],[Key]],ตารางรวม!$Z:$Z,0))*tblSales[[#This Row],[จำนวนแก้ว]],0))</f>
        <v/>
      </c>
      <c r="R203" s="10" t="str">
        <f>IF(tblSales[[#This Row],[Key]]="","",IFERROR(INDEX(ตารางรวม!$E:$E,MATCH(tblSales[[#This Row],[Key]],ตารางรวม!$Z:$Z,0))*tblSales[[#This Row],[จำนวนแก้ว]],0))</f>
        <v/>
      </c>
      <c r="S203" s="10" t="str">
        <f>IF(tblSales[[#This Row],[Key]]="","",IFERROR(INDEX(ตารางรวม!$F:$F,MATCH(tblSales[[#This Row],[Key]],ตารางรวม!$Z:$Z,0))*tblSales[[#This Row],[จำนวนแก้ว]],0))</f>
        <v/>
      </c>
      <c r="T203" s="10" t="str">
        <f>IF(tblSales[[#This Row],[Key]]="","",IFERROR(INDEX(ตารางรวม!$G:$G,MATCH(tblSales[[#This Row],[Key]],ตารางรวม!$Z:$Z,0))*tblSales[[#This Row],[จำนวนแก้ว]],0))</f>
        <v/>
      </c>
      <c r="U203" s="10" t="str">
        <f>IF(tblSales[[#This Row],[Key]]="","",IFERROR(INDEX(ตารางรวม!$H:$H,MATCH(tblSales[[#This Row],[Key]],ตารางรวม!$Z:$Z,0))*tblSales[[#This Row],[จำนวนแก้ว]],0))</f>
        <v/>
      </c>
      <c r="V203" s="10" t="str">
        <f>IF(tblSales[[#This Row],[Key]]="","",IFERROR(INDEX(ตารางรวม!$I:$I,MATCH(tblSales[[#This Row],[Key]],ตารางรวม!$Z:$Z,0))*tblSales[[#This Row],[จำนวนแก้ว]],0))</f>
        <v/>
      </c>
      <c r="W203" s="10" t="str">
        <f>IF(tblSales[[#This Row],[Key]]="","",IFERROR(INDEX(ตารางรวม!$J:$J,MATCH(tblSales[[#This Row],[Key]],ตารางรวม!$Z:$Z,0))*tblSales[[#This Row],[จำนวนแก้ว]],0))</f>
        <v/>
      </c>
      <c r="X203" s="10" t="str">
        <f>IF(tblSales[[#This Row],[Key]]="","",IFERROR(INDEX(ตารางรวม!$K:$K,MATCH(tblSales[[#This Row],[Key]],ตารางรวม!$Z:$Z,0))*tblSales[[#This Row],[จำนวนแก้ว]],0))</f>
        <v/>
      </c>
      <c r="Y203" s="10" t="str">
        <f>IF(tblSales[[#This Row],[Key]]="","",IFERROR(INDEX(ตารางรวม!$L:$L,MATCH(tblSales[[#This Row],[Key]],ตารางรวม!$Z:$Z,0))*tblSales[[#This Row],[จำนวนแก้ว]],0))</f>
        <v/>
      </c>
      <c r="Z20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3" s="10" t="str">
        <f>IF(tblSales[[#This Row],[Key]]="","",IF(tblSales[[#This Row],[ขนาด]]="16 oz",tblSales[[#This Row],[จำนวนแก้ว]],0))</f>
        <v/>
      </c>
      <c r="AI203" s="10" t="str">
        <f>IF(tblSales[[#This Row],[Key]]="","",IF(tblSales[[#This Row],[ขนาด]]="20 oz",tblSales[[#This Row],[จำนวนแก้ว]],0))</f>
        <v/>
      </c>
      <c r="AJ203" s="10" t="str">
        <f>IF(tblSales[[#This Row],[Key]]="","",IF(tblSales[[#This Row],[ขนาด]]="22 oz",tblSales[[#This Row],[จำนวนแก้ว]],0))</f>
        <v/>
      </c>
    </row>
    <row r="204" spans="1:36" x14ac:dyDescent="0.25">
      <c r="A204" s="4" t="str">
        <f>IF(tblSales[[#This Row],[วันที่]]="","","S"&amp;TEXT(tblSales[[#This Row],[วันที่]],"yymmdd")&amp;"-"&amp;TEXT(ROW()-5,"000"))</f>
        <v/>
      </c>
      <c r="B204" s="16"/>
      <c r="C204" s="6"/>
      <c r="D204" s="6"/>
      <c r="E204" s="20"/>
      <c r="F204" s="6"/>
      <c r="G204" s="6"/>
      <c r="H204" s="6"/>
      <c r="I204" s="6"/>
      <c r="J20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4" s="8" t="str">
        <f>IF(tblSales[[#This Row],[Key]]="","",IFERROR(INDEX(ตารางรวม!$W:$W,MATCH(tblSales[[#This Row],[Key]],ตารางรวม!$Z:$Z,0)),"ไม่พบสูตร"))</f>
        <v/>
      </c>
      <c r="L204" s="8" t="str">
        <f>IF(tblSales[[#This Row],[Key]]="","",IFERROR(INDEX(ตารางรวม!$V:$V,MATCH(tblSales[[#This Row],[Key]],ตารางรวม!$Z:$Z,0)),"ไม่พบสูตร"))</f>
        <v/>
      </c>
      <c r="M204" s="8" t="str">
        <f>IF(tblSales[[#This Row],[Key]]="","",IFERROR(tblSales[[#This Row],[ราคาต่อแก้ว]]*tblSales[[#This Row],[จำนวนแก้ว]],""))</f>
        <v/>
      </c>
      <c r="N204" s="8" t="str">
        <f>IF(tblSales[[#This Row],[Key]]="","",IFERROR(tblSales[[#This Row],[ต้นทุนต่อแก้ว]]*tblSales[[#This Row],[จำนวนแก้ว]],""))</f>
        <v/>
      </c>
      <c r="O204" s="8" t="str">
        <f>IF(tblSales[[#This Row],[Key]]="","",IFERROR(tblSales[[#This Row],[ยอดขาย (บาท)]]-tblSales[[#This Row],[ต้นทุนรวม (บาท)]],""))</f>
        <v/>
      </c>
      <c r="P204" s="21" t="str">
        <f>IF(tblSales[[#This Row],[Key]]="","",IFERROR(tblSales[[#This Row],[กำไร (บาท)]]/tblSales[[#This Row],[ยอดขาย (บาท)]],""))</f>
        <v/>
      </c>
      <c r="Q204" s="10" t="str">
        <f>IF(tblSales[[#This Row],[Key]]="","",IFERROR(INDEX(ตารางรวม!$D:$D,MATCH(tblSales[[#This Row],[Key]],ตารางรวม!$Z:$Z,0))*tblSales[[#This Row],[จำนวนแก้ว]],0))</f>
        <v/>
      </c>
      <c r="R204" s="10" t="str">
        <f>IF(tblSales[[#This Row],[Key]]="","",IFERROR(INDEX(ตารางรวม!$E:$E,MATCH(tblSales[[#This Row],[Key]],ตารางรวม!$Z:$Z,0))*tblSales[[#This Row],[จำนวนแก้ว]],0))</f>
        <v/>
      </c>
      <c r="S204" s="10" t="str">
        <f>IF(tblSales[[#This Row],[Key]]="","",IFERROR(INDEX(ตารางรวม!$F:$F,MATCH(tblSales[[#This Row],[Key]],ตารางรวม!$Z:$Z,0))*tblSales[[#This Row],[จำนวนแก้ว]],0))</f>
        <v/>
      </c>
      <c r="T204" s="10" t="str">
        <f>IF(tblSales[[#This Row],[Key]]="","",IFERROR(INDEX(ตารางรวม!$G:$G,MATCH(tblSales[[#This Row],[Key]],ตารางรวม!$Z:$Z,0))*tblSales[[#This Row],[จำนวนแก้ว]],0))</f>
        <v/>
      </c>
      <c r="U204" s="10" t="str">
        <f>IF(tblSales[[#This Row],[Key]]="","",IFERROR(INDEX(ตารางรวม!$H:$H,MATCH(tblSales[[#This Row],[Key]],ตารางรวม!$Z:$Z,0))*tblSales[[#This Row],[จำนวนแก้ว]],0))</f>
        <v/>
      </c>
      <c r="V204" s="10" t="str">
        <f>IF(tblSales[[#This Row],[Key]]="","",IFERROR(INDEX(ตารางรวม!$I:$I,MATCH(tblSales[[#This Row],[Key]],ตารางรวม!$Z:$Z,0))*tblSales[[#This Row],[จำนวนแก้ว]],0))</f>
        <v/>
      </c>
      <c r="W204" s="10" t="str">
        <f>IF(tblSales[[#This Row],[Key]]="","",IFERROR(INDEX(ตารางรวม!$J:$J,MATCH(tblSales[[#This Row],[Key]],ตารางรวม!$Z:$Z,0))*tblSales[[#This Row],[จำนวนแก้ว]],0))</f>
        <v/>
      </c>
      <c r="X204" s="10" t="str">
        <f>IF(tblSales[[#This Row],[Key]]="","",IFERROR(INDEX(ตารางรวม!$K:$K,MATCH(tblSales[[#This Row],[Key]],ตารางรวม!$Z:$Z,0))*tblSales[[#This Row],[จำนวนแก้ว]],0))</f>
        <v/>
      </c>
      <c r="Y204" s="10" t="str">
        <f>IF(tblSales[[#This Row],[Key]]="","",IFERROR(INDEX(ตารางรวม!$L:$L,MATCH(tblSales[[#This Row],[Key]],ตารางรวม!$Z:$Z,0))*tblSales[[#This Row],[จำนวนแก้ว]],0))</f>
        <v/>
      </c>
      <c r="Z20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4" s="10" t="str">
        <f>IF(tblSales[[#This Row],[Key]]="","",IF(tblSales[[#This Row],[ขนาด]]="16 oz",tblSales[[#This Row],[จำนวนแก้ว]],0))</f>
        <v/>
      </c>
      <c r="AI204" s="10" t="str">
        <f>IF(tblSales[[#This Row],[Key]]="","",IF(tblSales[[#This Row],[ขนาด]]="20 oz",tblSales[[#This Row],[จำนวนแก้ว]],0))</f>
        <v/>
      </c>
      <c r="AJ204" s="10" t="str">
        <f>IF(tblSales[[#This Row],[Key]]="","",IF(tblSales[[#This Row],[ขนาด]]="22 oz",tblSales[[#This Row],[จำนวนแก้ว]],0))</f>
        <v/>
      </c>
    </row>
    <row r="205" spans="1:36" x14ac:dyDescent="0.25">
      <c r="A205" s="4" t="str">
        <f>IF(tblSales[[#This Row],[วันที่]]="","","S"&amp;TEXT(tblSales[[#This Row],[วันที่]],"yymmdd")&amp;"-"&amp;TEXT(ROW()-5,"000"))</f>
        <v/>
      </c>
      <c r="B205" s="16"/>
      <c r="C205" s="6"/>
      <c r="D205" s="6"/>
      <c r="E205" s="20"/>
      <c r="F205" s="6"/>
      <c r="G205" s="6"/>
      <c r="H205" s="6"/>
      <c r="I205" s="6"/>
      <c r="J20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5" s="8" t="str">
        <f>IF(tblSales[[#This Row],[Key]]="","",IFERROR(INDEX(ตารางรวม!$W:$W,MATCH(tblSales[[#This Row],[Key]],ตารางรวม!$Z:$Z,0)),"ไม่พบสูตร"))</f>
        <v/>
      </c>
      <c r="L205" s="8" t="str">
        <f>IF(tblSales[[#This Row],[Key]]="","",IFERROR(INDEX(ตารางรวม!$V:$V,MATCH(tblSales[[#This Row],[Key]],ตารางรวม!$Z:$Z,0)),"ไม่พบสูตร"))</f>
        <v/>
      </c>
      <c r="M205" s="8" t="str">
        <f>IF(tblSales[[#This Row],[Key]]="","",IFERROR(tblSales[[#This Row],[ราคาต่อแก้ว]]*tblSales[[#This Row],[จำนวนแก้ว]],""))</f>
        <v/>
      </c>
      <c r="N205" s="8" t="str">
        <f>IF(tblSales[[#This Row],[Key]]="","",IFERROR(tblSales[[#This Row],[ต้นทุนต่อแก้ว]]*tblSales[[#This Row],[จำนวนแก้ว]],""))</f>
        <v/>
      </c>
      <c r="O205" s="8" t="str">
        <f>IF(tblSales[[#This Row],[Key]]="","",IFERROR(tblSales[[#This Row],[ยอดขาย (บาท)]]-tblSales[[#This Row],[ต้นทุนรวม (บาท)]],""))</f>
        <v/>
      </c>
      <c r="P205" s="21" t="str">
        <f>IF(tblSales[[#This Row],[Key]]="","",IFERROR(tblSales[[#This Row],[กำไร (บาท)]]/tblSales[[#This Row],[ยอดขาย (บาท)]],""))</f>
        <v/>
      </c>
      <c r="Q205" s="10" t="str">
        <f>IF(tblSales[[#This Row],[Key]]="","",IFERROR(INDEX(ตารางรวม!$D:$D,MATCH(tblSales[[#This Row],[Key]],ตารางรวม!$Z:$Z,0))*tblSales[[#This Row],[จำนวนแก้ว]],0))</f>
        <v/>
      </c>
      <c r="R205" s="10" t="str">
        <f>IF(tblSales[[#This Row],[Key]]="","",IFERROR(INDEX(ตารางรวม!$E:$E,MATCH(tblSales[[#This Row],[Key]],ตารางรวม!$Z:$Z,0))*tblSales[[#This Row],[จำนวนแก้ว]],0))</f>
        <v/>
      </c>
      <c r="S205" s="10" t="str">
        <f>IF(tblSales[[#This Row],[Key]]="","",IFERROR(INDEX(ตารางรวม!$F:$F,MATCH(tblSales[[#This Row],[Key]],ตารางรวม!$Z:$Z,0))*tblSales[[#This Row],[จำนวนแก้ว]],0))</f>
        <v/>
      </c>
      <c r="T205" s="10" t="str">
        <f>IF(tblSales[[#This Row],[Key]]="","",IFERROR(INDEX(ตารางรวม!$G:$G,MATCH(tblSales[[#This Row],[Key]],ตารางรวม!$Z:$Z,0))*tblSales[[#This Row],[จำนวนแก้ว]],0))</f>
        <v/>
      </c>
      <c r="U205" s="10" t="str">
        <f>IF(tblSales[[#This Row],[Key]]="","",IFERROR(INDEX(ตารางรวม!$H:$H,MATCH(tblSales[[#This Row],[Key]],ตารางรวม!$Z:$Z,0))*tblSales[[#This Row],[จำนวนแก้ว]],0))</f>
        <v/>
      </c>
      <c r="V205" s="10" t="str">
        <f>IF(tblSales[[#This Row],[Key]]="","",IFERROR(INDEX(ตารางรวม!$I:$I,MATCH(tblSales[[#This Row],[Key]],ตารางรวม!$Z:$Z,0))*tblSales[[#This Row],[จำนวนแก้ว]],0))</f>
        <v/>
      </c>
      <c r="W205" s="10" t="str">
        <f>IF(tblSales[[#This Row],[Key]]="","",IFERROR(INDEX(ตารางรวม!$J:$J,MATCH(tblSales[[#This Row],[Key]],ตารางรวม!$Z:$Z,0))*tblSales[[#This Row],[จำนวนแก้ว]],0))</f>
        <v/>
      </c>
      <c r="X205" s="10" t="str">
        <f>IF(tblSales[[#This Row],[Key]]="","",IFERROR(INDEX(ตารางรวม!$K:$K,MATCH(tblSales[[#This Row],[Key]],ตารางรวม!$Z:$Z,0))*tblSales[[#This Row],[จำนวนแก้ว]],0))</f>
        <v/>
      </c>
      <c r="Y205" s="10" t="str">
        <f>IF(tblSales[[#This Row],[Key]]="","",IFERROR(INDEX(ตารางรวม!$L:$L,MATCH(tblSales[[#This Row],[Key]],ตารางรวม!$Z:$Z,0))*tblSales[[#This Row],[จำนวนแก้ว]],0))</f>
        <v/>
      </c>
      <c r="Z20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5" s="10" t="str">
        <f>IF(tblSales[[#This Row],[Key]]="","",IF(tblSales[[#This Row],[ขนาด]]="16 oz",tblSales[[#This Row],[จำนวนแก้ว]],0))</f>
        <v/>
      </c>
      <c r="AI205" s="10" t="str">
        <f>IF(tblSales[[#This Row],[Key]]="","",IF(tblSales[[#This Row],[ขนาด]]="20 oz",tblSales[[#This Row],[จำนวนแก้ว]],0))</f>
        <v/>
      </c>
      <c r="AJ205" s="10" t="str">
        <f>IF(tblSales[[#This Row],[Key]]="","",IF(tblSales[[#This Row],[ขนาด]]="22 oz",tblSales[[#This Row],[จำนวนแก้ว]],0))</f>
        <v/>
      </c>
    </row>
    <row r="206" spans="1:36" x14ac:dyDescent="0.25">
      <c r="A206" s="4" t="str">
        <f>IF(tblSales[[#This Row],[วันที่]]="","","S"&amp;TEXT(tblSales[[#This Row],[วันที่]],"yymmdd")&amp;"-"&amp;TEXT(ROW()-5,"000"))</f>
        <v/>
      </c>
      <c r="B206" s="16"/>
      <c r="C206" s="6"/>
      <c r="D206" s="6"/>
      <c r="E206" s="20"/>
      <c r="F206" s="6"/>
      <c r="G206" s="6"/>
      <c r="H206" s="6"/>
      <c r="I206" s="6"/>
      <c r="J20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6" s="8" t="str">
        <f>IF(tblSales[[#This Row],[Key]]="","",IFERROR(INDEX(ตารางรวม!$W:$W,MATCH(tblSales[[#This Row],[Key]],ตารางรวม!$Z:$Z,0)),"ไม่พบสูตร"))</f>
        <v/>
      </c>
      <c r="L206" s="8" t="str">
        <f>IF(tblSales[[#This Row],[Key]]="","",IFERROR(INDEX(ตารางรวม!$V:$V,MATCH(tblSales[[#This Row],[Key]],ตารางรวม!$Z:$Z,0)),"ไม่พบสูตร"))</f>
        <v/>
      </c>
      <c r="M206" s="8" t="str">
        <f>IF(tblSales[[#This Row],[Key]]="","",IFERROR(tblSales[[#This Row],[ราคาต่อแก้ว]]*tblSales[[#This Row],[จำนวนแก้ว]],""))</f>
        <v/>
      </c>
      <c r="N206" s="8" t="str">
        <f>IF(tblSales[[#This Row],[Key]]="","",IFERROR(tblSales[[#This Row],[ต้นทุนต่อแก้ว]]*tblSales[[#This Row],[จำนวนแก้ว]],""))</f>
        <v/>
      </c>
      <c r="O206" s="8" t="str">
        <f>IF(tblSales[[#This Row],[Key]]="","",IFERROR(tblSales[[#This Row],[ยอดขาย (บาท)]]-tblSales[[#This Row],[ต้นทุนรวม (บาท)]],""))</f>
        <v/>
      </c>
      <c r="P206" s="21" t="str">
        <f>IF(tblSales[[#This Row],[Key]]="","",IFERROR(tblSales[[#This Row],[กำไร (บาท)]]/tblSales[[#This Row],[ยอดขาย (บาท)]],""))</f>
        <v/>
      </c>
      <c r="Q206" s="10" t="str">
        <f>IF(tblSales[[#This Row],[Key]]="","",IFERROR(INDEX(ตารางรวม!$D:$D,MATCH(tblSales[[#This Row],[Key]],ตารางรวม!$Z:$Z,0))*tblSales[[#This Row],[จำนวนแก้ว]],0))</f>
        <v/>
      </c>
      <c r="R206" s="10" t="str">
        <f>IF(tblSales[[#This Row],[Key]]="","",IFERROR(INDEX(ตารางรวม!$E:$E,MATCH(tblSales[[#This Row],[Key]],ตารางรวม!$Z:$Z,0))*tblSales[[#This Row],[จำนวนแก้ว]],0))</f>
        <v/>
      </c>
      <c r="S206" s="10" t="str">
        <f>IF(tblSales[[#This Row],[Key]]="","",IFERROR(INDEX(ตารางรวม!$F:$F,MATCH(tblSales[[#This Row],[Key]],ตารางรวม!$Z:$Z,0))*tblSales[[#This Row],[จำนวนแก้ว]],0))</f>
        <v/>
      </c>
      <c r="T206" s="10" t="str">
        <f>IF(tblSales[[#This Row],[Key]]="","",IFERROR(INDEX(ตารางรวม!$G:$G,MATCH(tblSales[[#This Row],[Key]],ตารางรวม!$Z:$Z,0))*tblSales[[#This Row],[จำนวนแก้ว]],0))</f>
        <v/>
      </c>
      <c r="U206" s="10" t="str">
        <f>IF(tblSales[[#This Row],[Key]]="","",IFERROR(INDEX(ตารางรวม!$H:$H,MATCH(tblSales[[#This Row],[Key]],ตารางรวม!$Z:$Z,0))*tblSales[[#This Row],[จำนวนแก้ว]],0))</f>
        <v/>
      </c>
      <c r="V206" s="10" t="str">
        <f>IF(tblSales[[#This Row],[Key]]="","",IFERROR(INDEX(ตารางรวม!$I:$I,MATCH(tblSales[[#This Row],[Key]],ตารางรวม!$Z:$Z,0))*tblSales[[#This Row],[จำนวนแก้ว]],0))</f>
        <v/>
      </c>
      <c r="W206" s="10" t="str">
        <f>IF(tblSales[[#This Row],[Key]]="","",IFERROR(INDEX(ตารางรวม!$J:$J,MATCH(tblSales[[#This Row],[Key]],ตารางรวม!$Z:$Z,0))*tblSales[[#This Row],[จำนวนแก้ว]],0))</f>
        <v/>
      </c>
      <c r="X206" s="10" t="str">
        <f>IF(tblSales[[#This Row],[Key]]="","",IFERROR(INDEX(ตารางรวม!$K:$K,MATCH(tblSales[[#This Row],[Key]],ตารางรวม!$Z:$Z,0))*tblSales[[#This Row],[จำนวนแก้ว]],0))</f>
        <v/>
      </c>
      <c r="Y206" s="10" t="str">
        <f>IF(tblSales[[#This Row],[Key]]="","",IFERROR(INDEX(ตารางรวม!$L:$L,MATCH(tblSales[[#This Row],[Key]],ตารางรวม!$Z:$Z,0))*tblSales[[#This Row],[จำนวนแก้ว]],0))</f>
        <v/>
      </c>
      <c r="Z20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6" s="10" t="str">
        <f>IF(tblSales[[#This Row],[Key]]="","",IF(tblSales[[#This Row],[ขนาด]]="16 oz",tblSales[[#This Row],[จำนวนแก้ว]],0))</f>
        <v/>
      </c>
      <c r="AI206" s="10" t="str">
        <f>IF(tblSales[[#This Row],[Key]]="","",IF(tblSales[[#This Row],[ขนาด]]="20 oz",tblSales[[#This Row],[จำนวนแก้ว]],0))</f>
        <v/>
      </c>
      <c r="AJ206" s="10" t="str">
        <f>IF(tblSales[[#This Row],[Key]]="","",IF(tblSales[[#This Row],[ขนาด]]="22 oz",tblSales[[#This Row],[จำนวนแก้ว]],0))</f>
        <v/>
      </c>
    </row>
    <row r="207" spans="1:36" x14ac:dyDescent="0.25">
      <c r="A207" s="4" t="str">
        <f>IF(tblSales[[#This Row],[วันที่]]="","","S"&amp;TEXT(tblSales[[#This Row],[วันที่]],"yymmdd")&amp;"-"&amp;TEXT(ROW()-5,"000"))</f>
        <v/>
      </c>
      <c r="B207" s="16"/>
      <c r="C207" s="6"/>
      <c r="D207" s="6"/>
      <c r="E207" s="20"/>
      <c r="F207" s="6"/>
      <c r="G207" s="6"/>
      <c r="H207" s="6"/>
      <c r="I207" s="6"/>
      <c r="J20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7" s="8" t="str">
        <f>IF(tblSales[[#This Row],[Key]]="","",IFERROR(INDEX(ตารางรวม!$W:$W,MATCH(tblSales[[#This Row],[Key]],ตารางรวม!$Z:$Z,0)),"ไม่พบสูตร"))</f>
        <v/>
      </c>
      <c r="L207" s="8" t="str">
        <f>IF(tblSales[[#This Row],[Key]]="","",IFERROR(INDEX(ตารางรวม!$V:$V,MATCH(tblSales[[#This Row],[Key]],ตารางรวม!$Z:$Z,0)),"ไม่พบสูตร"))</f>
        <v/>
      </c>
      <c r="M207" s="8" t="str">
        <f>IF(tblSales[[#This Row],[Key]]="","",IFERROR(tblSales[[#This Row],[ราคาต่อแก้ว]]*tblSales[[#This Row],[จำนวนแก้ว]],""))</f>
        <v/>
      </c>
      <c r="N207" s="8" t="str">
        <f>IF(tblSales[[#This Row],[Key]]="","",IFERROR(tblSales[[#This Row],[ต้นทุนต่อแก้ว]]*tblSales[[#This Row],[จำนวนแก้ว]],""))</f>
        <v/>
      </c>
      <c r="O207" s="8" t="str">
        <f>IF(tblSales[[#This Row],[Key]]="","",IFERROR(tblSales[[#This Row],[ยอดขาย (บาท)]]-tblSales[[#This Row],[ต้นทุนรวม (บาท)]],""))</f>
        <v/>
      </c>
      <c r="P207" s="21" t="str">
        <f>IF(tblSales[[#This Row],[Key]]="","",IFERROR(tblSales[[#This Row],[กำไร (บาท)]]/tblSales[[#This Row],[ยอดขาย (บาท)]],""))</f>
        <v/>
      </c>
      <c r="Q207" s="10" t="str">
        <f>IF(tblSales[[#This Row],[Key]]="","",IFERROR(INDEX(ตารางรวม!$D:$D,MATCH(tblSales[[#This Row],[Key]],ตารางรวม!$Z:$Z,0))*tblSales[[#This Row],[จำนวนแก้ว]],0))</f>
        <v/>
      </c>
      <c r="R207" s="10" t="str">
        <f>IF(tblSales[[#This Row],[Key]]="","",IFERROR(INDEX(ตารางรวม!$E:$E,MATCH(tblSales[[#This Row],[Key]],ตารางรวม!$Z:$Z,0))*tblSales[[#This Row],[จำนวนแก้ว]],0))</f>
        <v/>
      </c>
      <c r="S207" s="10" t="str">
        <f>IF(tblSales[[#This Row],[Key]]="","",IFERROR(INDEX(ตารางรวม!$F:$F,MATCH(tblSales[[#This Row],[Key]],ตารางรวม!$Z:$Z,0))*tblSales[[#This Row],[จำนวนแก้ว]],0))</f>
        <v/>
      </c>
      <c r="T207" s="10" t="str">
        <f>IF(tblSales[[#This Row],[Key]]="","",IFERROR(INDEX(ตารางรวม!$G:$G,MATCH(tblSales[[#This Row],[Key]],ตารางรวม!$Z:$Z,0))*tblSales[[#This Row],[จำนวนแก้ว]],0))</f>
        <v/>
      </c>
      <c r="U207" s="10" t="str">
        <f>IF(tblSales[[#This Row],[Key]]="","",IFERROR(INDEX(ตารางรวม!$H:$H,MATCH(tblSales[[#This Row],[Key]],ตารางรวม!$Z:$Z,0))*tblSales[[#This Row],[จำนวนแก้ว]],0))</f>
        <v/>
      </c>
      <c r="V207" s="10" t="str">
        <f>IF(tblSales[[#This Row],[Key]]="","",IFERROR(INDEX(ตารางรวม!$I:$I,MATCH(tblSales[[#This Row],[Key]],ตารางรวม!$Z:$Z,0))*tblSales[[#This Row],[จำนวนแก้ว]],0))</f>
        <v/>
      </c>
      <c r="W207" s="10" t="str">
        <f>IF(tblSales[[#This Row],[Key]]="","",IFERROR(INDEX(ตารางรวม!$J:$J,MATCH(tblSales[[#This Row],[Key]],ตารางรวม!$Z:$Z,0))*tblSales[[#This Row],[จำนวนแก้ว]],0))</f>
        <v/>
      </c>
      <c r="X207" s="10" t="str">
        <f>IF(tblSales[[#This Row],[Key]]="","",IFERROR(INDEX(ตารางรวม!$K:$K,MATCH(tblSales[[#This Row],[Key]],ตารางรวม!$Z:$Z,0))*tblSales[[#This Row],[จำนวนแก้ว]],0))</f>
        <v/>
      </c>
      <c r="Y207" s="10" t="str">
        <f>IF(tblSales[[#This Row],[Key]]="","",IFERROR(INDEX(ตารางรวม!$L:$L,MATCH(tblSales[[#This Row],[Key]],ตารางรวม!$Z:$Z,0))*tblSales[[#This Row],[จำนวนแก้ว]],0))</f>
        <v/>
      </c>
      <c r="Z20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7" s="10" t="str">
        <f>IF(tblSales[[#This Row],[Key]]="","",IF(tblSales[[#This Row],[ขนาด]]="16 oz",tblSales[[#This Row],[จำนวนแก้ว]],0))</f>
        <v/>
      </c>
      <c r="AI207" s="10" t="str">
        <f>IF(tblSales[[#This Row],[Key]]="","",IF(tblSales[[#This Row],[ขนาด]]="20 oz",tblSales[[#This Row],[จำนวนแก้ว]],0))</f>
        <v/>
      </c>
      <c r="AJ207" s="10" t="str">
        <f>IF(tblSales[[#This Row],[Key]]="","",IF(tblSales[[#This Row],[ขนาด]]="22 oz",tblSales[[#This Row],[จำนวนแก้ว]],0))</f>
        <v/>
      </c>
    </row>
    <row r="208" spans="1:36" x14ac:dyDescent="0.25">
      <c r="A208" s="4" t="str">
        <f>IF(tblSales[[#This Row],[วันที่]]="","","S"&amp;TEXT(tblSales[[#This Row],[วันที่]],"yymmdd")&amp;"-"&amp;TEXT(ROW()-5,"000"))</f>
        <v/>
      </c>
      <c r="B208" s="16"/>
      <c r="C208" s="6"/>
      <c r="D208" s="6"/>
      <c r="E208" s="20"/>
      <c r="F208" s="6"/>
      <c r="G208" s="6"/>
      <c r="H208" s="6"/>
      <c r="I208" s="6"/>
      <c r="J20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8" s="8" t="str">
        <f>IF(tblSales[[#This Row],[Key]]="","",IFERROR(INDEX(ตารางรวม!$W:$W,MATCH(tblSales[[#This Row],[Key]],ตารางรวม!$Z:$Z,0)),"ไม่พบสูตร"))</f>
        <v/>
      </c>
      <c r="L208" s="8" t="str">
        <f>IF(tblSales[[#This Row],[Key]]="","",IFERROR(INDEX(ตารางรวม!$V:$V,MATCH(tblSales[[#This Row],[Key]],ตารางรวม!$Z:$Z,0)),"ไม่พบสูตร"))</f>
        <v/>
      </c>
      <c r="M208" s="8" t="str">
        <f>IF(tblSales[[#This Row],[Key]]="","",IFERROR(tblSales[[#This Row],[ราคาต่อแก้ว]]*tblSales[[#This Row],[จำนวนแก้ว]],""))</f>
        <v/>
      </c>
      <c r="N208" s="8" t="str">
        <f>IF(tblSales[[#This Row],[Key]]="","",IFERROR(tblSales[[#This Row],[ต้นทุนต่อแก้ว]]*tblSales[[#This Row],[จำนวนแก้ว]],""))</f>
        <v/>
      </c>
      <c r="O208" s="8" t="str">
        <f>IF(tblSales[[#This Row],[Key]]="","",IFERROR(tblSales[[#This Row],[ยอดขาย (บาท)]]-tblSales[[#This Row],[ต้นทุนรวม (บาท)]],""))</f>
        <v/>
      </c>
      <c r="P208" s="21" t="str">
        <f>IF(tblSales[[#This Row],[Key]]="","",IFERROR(tblSales[[#This Row],[กำไร (บาท)]]/tblSales[[#This Row],[ยอดขาย (บาท)]],""))</f>
        <v/>
      </c>
      <c r="Q208" s="10" t="str">
        <f>IF(tblSales[[#This Row],[Key]]="","",IFERROR(INDEX(ตารางรวม!$D:$D,MATCH(tblSales[[#This Row],[Key]],ตารางรวม!$Z:$Z,0))*tblSales[[#This Row],[จำนวนแก้ว]],0))</f>
        <v/>
      </c>
      <c r="R208" s="10" t="str">
        <f>IF(tblSales[[#This Row],[Key]]="","",IFERROR(INDEX(ตารางรวม!$E:$E,MATCH(tblSales[[#This Row],[Key]],ตารางรวม!$Z:$Z,0))*tblSales[[#This Row],[จำนวนแก้ว]],0))</f>
        <v/>
      </c>
      <c r="S208" s="10" t="str">
        <f>IF(tblSales[[#This Row],[Key]]="","",IFERROR(INDEX(ตารางรวม!$F:$F,MATCH(tblSales[[#This Row],[Key]],ตารางรวม!$Z:$Z,0))*tblSales[[#This Row],[จำนวนแก้ว]],0))</f>
        <v/>
      </c>
      <c r="T208" s="10" t="str">
        <f>IF(tblSales[[#This Row],[Key]]="","",IFERROR(INDEX(ตารางรวม!$G:$G,MATCH(tblSales[[#This Row],[Key]],ตารางรวม!$Z:$Z,0))*tblSales[[#This Row],[จำนวนแก้ว]],0))</f>
        <v/>
      </c>
      <c r="U208" s="10" t="str">
        <f>IF(tblSales[[#This Row],[Key]]="","",IFERROR(INDEX(ตารางรวม!$H:$H,MATCH(tblSales[[#This Row],[Key]],ตารางรวม!$Z:$Z,0))*tblSales[[#This Row],[จำนวนแก้ว]],0))</f>
        <v/>
      </c>
      <c r="V208" s="10" t="str">
        <f>IF(tblSales[[#This Row],[Key]]="","",IFERROR(INDEX(ตารางรวม!$I:$I,MATCH(tblSales[[#This Row],[Key]],ตารางรวม!$Z:$Z,0))*tblSales[[#This Row],[จำนวนแก้ว]],0))</f>
        <v/>
      </c>
      <c r="W208" s="10" t="str">
        <f>IF(tblSales[[#This Row],[Key]]="","",IFERROR(INDEX(ตารางรวม!$J:$J,MATCH(tblSales[[#This Row],[Key]],ตารางรวม!$Z:$Z,0))*tblSales[[#This Row],[จำนวนแก้ว]],0))</f>
        <v/>
      </c>
      <c r="X208" s="10" t="str">
        <f>IF(tblSales[[#This Row],[Key]]="","",IFERROR(INDEX(ตารางรวม!$K:$K,MATCH(tblSales[[#This Row],[Key]],ตารางรวม!$Z:$Z,0))*tblSales[[#This Row],[จำนวนแก้ว]],0))</f>
        <v/>
      </c>
      <c r="Y208" s="10" t="str">
        <f>IF(tblSales[[#This Row],[Key]]="","",IFERROR(INDEX(ตารางรวม!$L:$L,MATCH(tblSales[[#This Row],[Key]],ตารางรวม!$Z:$Z,0))*tblSales[[#This Row],[จำนวนแก้ว]],0))</f>
        <v/>
      </c>
      <c r="Z20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8" s="10" t="str">
        <f>IF(tblSales[[#This Row],[Key]]="","",IF(tblSales[[#This Row],[ขนาด]]="16 oz",tblSales[[#This Row],[จำนวนแก้ว]],0))</f>
        <v/>
      </c>
      <c r="AI208" s="10" t="str">
        <f>IF(tblSales[[#This Row],[Key]]="","",IF(tblSales[[#This Row],[ขนาด]]="20 oz",tblSales[[#This Row],[จำนวนแก้ว]],0))</f>
        <v/>
      </c>
      <c r="AJ208" s="10" t="str">
        <f>IF(tblSales[[#This Row],[Key]]="","",IF(tblSales[[#This Row],[ขนาด]]="22 oz",tblSales[[#This Row],[จำนวนแก้ว]],0))</f>
        <v/>
      </c>
    </row>
    <row r="209" spans="1:36" x14ac:dyDescent="0.25">
      <c r="A209" s="4" t="str">
        <f>IF(tblSales[[#This Row],[วันที่]]="","","S"&amp;TEXT(tblSales[[#This Row],[วันที่]],"yymmdd")&amp;"-"&amp;TEXT(ROW()-5,"000"))</f>
        <v/>
      </c>
      <c r="B209" s="16"/>
      <c r="C209" s="6"/>
      <c r="D209" s="6"/>
      <c r="E209" s="20"/>
      <c r="F209" s="6"/>
      <c r="G209" s="6"/>
      <c r="H209" s="6"/>
      <c r="I209" s="6"/>
      <c r="J20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09" s="8" t="str">
        <f>IF(tblSales[[#This Row],[Key]]="","",IFERROR(INDEX(ตารางรวม!$W:$W,MATCH(tblSales[[#This Row],[Key]],ตารางรวม!$Z:$Z,0)),"ไม่พบสูตร"))</f>
        <v/>
      </c>
      <c r="L209" s="8" t="str">
        <f>IF(tblSales[[#This Row],[Key]]="","",IFERROR(INDEX(ตารางรวม!$V:$V,MATCH(tblSales[[#This Row],[Key]],ตารางรวม!$Z:$Z,0)),"ไม่พบสูตร"))</f>
        <v/>
      </c>
      <c r="M209" s="8" t="str">
        <f>IF(tblSales[[#This Row],[Key]]="","",IFERROR(tblSales[[#This Row],[ราคาต่อแก้ว]]*tblSales[[#This Row],[จำนวนแก้ว]],""))</f>
        <v/>
      </c>
      <c r="N209" s="8" t="str">
        <f>IF(tblSales[[#This Row],[Key]]="","",IFERROR(tblSales[[#This Row],[ต้นทุนต่อแก้ว]]*tblSales[[#This Row],[จำนวนแก้ว]],""))</f>
        <v/>
      </c>
      <c r="O209" s="8" t="str">
        <f>IF(tblSales[[#This Row],[Key]]="","",IFERROR(tblSales[[#This Row],[ยอดขาย (บาท)]]-tblSales[[#This Row],[ต้นทุนรวม (บาท)]],""))</f>
        <v/>
      </c>
      <c r="P209" s="21" t="str">
        <f>IF(tblSales[[#This Row],[Key]]="","",IFERROR(tblSales[[#This Row],[กำไร (บาท)]]/tblSales[[#This Row],[ยอดขาย (บาท)]],""))</f>
        <v/>
      </c>
      <c r="Q209" s="10" t="str">
        <f>IF(tblSales[[#This Row],[Key]]="","",IFERROR(INDEX(ตารางรวม!$D:$D,MATCH(tblSales[[#This Row],[Key]],ตารางรวม!$Z:$Z,0))*tblSales[[#This Row],[จำนวนแก้ว]],0))</f>
        <v/>
      </c>
      <c r="R209" s="10" t="str">
        <f>IF(tblSales[[#This Row],[Key]]="","",IFERROR(INDEX(ตารางรวม!$E:$E,MATCH(tblSales[[#This Row],[Key]],ตารางรวม!$Z:$Z,0))*tblSales[[#This Row],[จำนวนแก้ว]],0))</f>
        <v/>
      </c>
      <c r="S209" s="10" t="str">
        <f>IF(tblSales[[#This Row],[Key]]="","",IFERROR(INDEX(ตารางรวม!$F:$F,MATCH(tblSales[[#This Row],[Key]],ตารางรวม!$Z:$Z,0))*tblSales[[#This Row],[จำนวนแก้ว]],0))</f>
        <v/>
      </c>
      <c r="T209" s="10" t="str">
        <f>IF(tblSales[[#This Row],[Key]]="","",IFERROR(INDEX(ตารางรวม!$G:$G,MATCH(tblSales[[#This Row],[Key]],ตารางรวม!$Z:$Z,0))*tblSales[[#This Row],[จำนวนแก้ว]],0))</f>
        <v/>
      </c>
      <c r="U209" s="10" t="str">
        <f>IF(tblSales[[#This Row],[Key]]="","",IFERROR(INDEX(ตารางรวม!$H:$H,MATCH(tblSales[[#This Row],[Key]],ตารางรวม!$Z:$Z,0))*tblSales[[#This Row],[จำนวนแก้ว]],0))</f>
        <v/>
      </c>
      <c r="V209" s="10" t="str">
        <f>IF(tblSales[[#This Row],[Key]]="","",IFERROR(INDEX(ตารางรวม!$I:$I,MATCH(tblSales[[#This Row],[Key]],ตารางรวม!$Z:$Z,0))*tblSales[[#This Row],[จำนวนแก้ว]],0))</f>
        <v/>
      </c>
      <c r="W209" s="10" t="str">
        <f>IF(tblSales[[#This Row],[Key]]="","",IFERROR(INDEX(ตารางรวม!$J:$J,MATCH(tblSales[[#This Row],[Key]],ตารางรวม!$Z:$Z,0))*tblSales[[#This Row],[จำนวนแก้ว]],0))</f>
        <v/>
      </c>
      <c r="X209" s="10" t="str">
        <f>IF(tblSales[[#This Row],[Key]]="","",IFERROR(INDEX(ตารางรวม!$K:$K,MATCH(tblSales[[#This Row],[Key]],ตารางรวม!$Z:$Z,0))*tblSales[[#This Row],[จำนวนแก้ว]],0))</f>
        <v/>
      </c>
      <c r="Y209" s="10" t="str">
        <f>IF(tblSales[[#This Row],[Key]]="","",IFERROR(INDEX(ตารางรวม!$L:$L,MATCH(tblSales[[#This Row],[Key]],ตารางรวม!$Z:$Z,0))*tblSales[[#This Row],[จำนวนแก้ว]],0))</f>
        <v/>
      </c>
      <c r="Z20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0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0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0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0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0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0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0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09" s="10" t="str">
        <f>IF(tblSales[[#This Row],[Key]]="","",IF(tblSales[[#This Row],[ขนาด]]="16 oz",tblSales[[#This Row],[จำนวนแก้ว]],0))</f>
        <v/>
      </c>
      <c r="AI209" s="10" t="str">
        <f>IF(tblSales[[#This Row],[Key]]="","",IF(tblSales[[#This Row],[ขนาด]]="20 oz",tblSales[[#This Row],[จำนวนแก้ว]],0))</f>
        <v/>
      </c>
      <c r="AJ209" s="10" t="str">
        <f>IF(tblSales[[#This Row],[Key]]="","",IF(tblSales[[#This Row],[ขนาด]]="22 oz",tblSales[[#This Row],[จำนวนแก้ว]],0))</f>
        <v/>
      </c>
    </row>
    <row r="210" spans="1:36" x14ac:dyDescent="0.25">
      <c r="A210" s="4" t="str">
        <f>IF(tblSales[[#This Row],[วันที่]]="","","S"&amp;TEXT(tblSales[[#This Row],[วันที่]],"yymmdd")&amp;"-"&amp;TEXT(ROW()-5,"000"))</f>
        <v/>
      </c>
      <c r="B210" s="16"/>
      <c r="C210" s="6"/>
      <c r="D210" s="6"/>
      <c r="E210" s="20"/>
      <c r="F210" s="6"/>
      <c r="G210" s="6"/>
      <c r="H210" s="6"/>
      <c r="I210" s="6"/>
      <c r="J21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0" s="8" t="str">
        <f>IF(tblSales[[#This Row],[Key]]="","",IFERROR(INDEX(ตารางรวม!$W:$W,MATCH(tblSales[[#This Row],[Key]],ตารางรวม!$Z:$Z,0)),"ไม่พบสูตร"))</f>
        <v/>
      </c>
      <c r="L210" s="8" t="str">
        <f>IF(tblSales[[#This Row],[Key]]="","",IFERROR(INDEX(ตารางรวม!$V:$V,MATCH(tblSales[[#This Row],[Key]],ตารางรวม!$Z:$Z,0)),"ไม่พบสูตร"))</f>
        <v/>
      </c>
      <c r="M210" s="8" t="str">
        <f>IF(tblSales[[#This Row],[Key]]="","",IFERROR(tblSales[[#This Row],[ราคาต่อแก้ว]]*tblSales[[#This Row],[จำนวนแก้ว]],""))</f>
        <v/>
      </c>
      <c r="N210" s="8" t="str">
        <f>IF(tblSales[[#This Row],[Key]]="","",IFERROR(tblSales[[#This Row],[ต้นทุนต่อแก้ว]]*tblSales[[#This Row],[จำนวนแก้ว]],""))</f>
        <v/>
      </c>
      <c r="O210" s="8" t="str">
        <f>IF(tblSales[[#This Row],[Key]]="","",IFERROR(tblSales[[#This Row],[ยอดขาย (บาท)]]-tblSales[[#This Row],[ต้นทุนรวม (บาท)]],""))</f>
        <v/>
      </c>
      <c r="P210" s="21" t="str">
        <f>IF(tblSales[[#This Row],[Key]]="","",IFERROR(tblSales[[#This Row],[กำไร (บาท)]]/tblSales[[#This Row],[ยอดขาย (บาท)]],""))</f>
        <v/>
      </c>
      <c r="Q210" s="10" t="str">
        <f>IF(tblSales[[#This Row],[Key]]="","",IFERROR(INDEX(ตารางรวม!$D:$D,MATCH(tblSales[[#This Row],[Key]],ตารางรวม!$Z:$Z,0))*tblSales[[#This Row],[จำนวนแก้ว]],0))</f>
        <v/>
      </c>
      <c r="R210" s="10" t="str">
        <f>IF(tblSales[[#This Row],[Key]]="","",IFERROR(INDEX(ตารางรวม!$E:$E,MATCH(tblSales[[#This Row],[Key]],ตารางรวม!$Z:$Z,0))*tblSales[[#This Row],[จำนวนแก้ว]],0))</f>
        <v/>
      </c>
      <c r="S210" s="10" t="str">
        <f>IF(tblSales[[#This Row],[Key]]="","",IFERROR(INDEX(ตารางรวม!$F:$F,MATCH(tblSales[[#This Row],[Key]],ตารางรวม!$Z:$Z,0))*tblSales[[#This Row],[จำนวนแก้ว]],0))</f>
        <v/>
      </c>
      <c r="T210" s="10" t="str">
        <f>IF(tblSales[[#This Row],[Key]]="","",IFERROR(INDEX(ตารางรวม!$G:$G,MATCH(tblSales[[#This Row],[Key]],ตารางรวม!$Z:$Z,0))*tblSales[[#This Row],[จำนวนแก้ว]],0))</f>
        <v/>
      </c>
      <c r="U210" s="10" t="str">
        <f>IF(tblSales[[#This Row],[Key]]="","",IFERROR(INDEX(ตารางรวม!$H:$H,MATCH(tblSales[[#This Row],[Key]],ตารางรวม!$Z:$Z,0))*tblSales[[#This Row],[จำนวนแก้ว]],0))</f>
        <v/>
      </c>
      <c r="V210" s="10" t="str">
        <f>IF(tblSales[[#This Row],[Key]]="","",IFERROR(INDEX(ตารางรวม!$I:$I,MATCH(tblSales[[#This Row],[Key]],ตารางรวม!$Z:$Z,0))*tblSales[[#This Row],[จำนวนแก้ว]],0))</f>
        <v/>
      </c>
      <c r="W210" s="10" t="str">
        <f>IF(tblSales[[#This Row],[Key]]="","",IFERROR(INDEX(ตารางรวม!$J:$J,MATCH(tblSales[[#This Row],[Key]],ตารางรวม!$Z:$Z,0))*tblSales[[#This Row],[จำนวนแก้ว]],0))</f>
        <v/>
      </c>
      <c r="X210" s="10" t="str">
        <f>IF(tblSales[[#This Row],[Key]]="","",IFERROR(INDEX(ตารางรวม!$K:$K,MATCH(tblSales[[#This Row],[Key]],ตารางรวม!$Z:$Z,0))*tblSales[[#This Row],[จำนวนแก้ว]],0))</f>
        <v/>
      </c>
      <c r="Y210" s="10" t="str">
        <f>IF(tblSales[[#This Row],[Key]]="","",IFERROR(INDEX(ตารางรวม!$L:$L,MATCH(tblSales[[#This Row],[Key]],ตารางรวม!$Z:$Z,0))*tblSales[[#This Row],[จำนวนแก้ว]],0))</f>
        <v/>
      </c>
      <c r="Z21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0" s="10" t="str">
        <f>IF(tblSales[[#This Row],[Key]]="","",IF(tblSales[[#This Row],[ขนาด]]="16 oz",tblSales[[#This Row],[จำนวนแก้ว]],0))</f>
        <v/>
      </c>
      <c r="AI210" s="10" t="str">
        <f>IF(tblSales[[#This Row],[Key]]="","",IF(tblSales[[#This Row],[ขนาด]]="20 oz",tblSales[[#This Row],[จำนวนแก้ว]],0))</f>
        <v/>
      </c>
      <c r="AJ210" s="10" t="str">
        <f>IF(tblSales[[#This Row],[Key]]="","",IF(tblSales[[#This Row],[ขนาด]]="22 oz",tblSales[[#This Row],[จำนวนแก้ว]],0))</f>
        <v/>
      </c>
    </row>
    <row r="211" spans="1:36" x14ac:dyDescent="0.25">
      <c r="A211" s="4" t="str">
        <f>IF(tblSales[[#This Row],[วันที่]]="","","S"&amp;TEXT(tblSales[[#This Row],[วันที่]],"yymmdd")&amp;"-"&amp;TEXT(ROW()-5,"000"))</f>
        <v/>
      </c>
      <c r="B211" s="16"/>
      <c r="C211" s="6"/>
      <c r="D211" s="6"/>
      <c r="E211" s="20"/>
      <c r="F211" s="6"/>
      <c r="G211" s="6"/>
      <c r="H211" s="6"/>
      <c r="I211" s="6"/>
      <c r="J21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1" s="8" t="str">
        <f>IF(tblSales[[#This Row],[Key]]="","",IFERROR(INDEX(ตารางรวม!$W:$W,MATCH(tblSales[[#This Row],[Key]],ตารางรวม!$Z:$Z,0)),"ไม่พบสูตร"))</f>
        <v/>
      </c>
      <c r="L211" s="8" t="str">
        <f>IF(tblSales[[#This Row],[Key]]="","",IFERROR(INDEX(ตารางรวม!$V:$V,MATCH(tblSales[[#This Row],[Key]],ตารางรวม!$Z:$Z,0)),"ไม่พบสูตร"))</f>
        <v/>
      </c>
      <c r="M211" s="8" t="str">
        <f>IF(tblSales[[#This Row],[Key]]="","",IFERROR(tblSales[[#This Row],[ราคาต่อแก้ว]]*tblSales[[#This Row],[จำนวนแก้ว]],""))</f>
        <v/>
      </c>
      <c r="N211" s="8" t="str">
        <f>IF(tblSales[[#This Row],[Key]]="","",IFERROR(tblSales[[#This Row],[ต้นทุนต่อแก้ว]]*tblSales[[#This Row],[จำนวนแก้ว]],""))</f>
        <v/>
      </c>
      <c r="O211" s="8" t="str">
        <f>IF(tblSales[[#This Row],[Key]]="","",IFERROR(tblSales[[#This Row],[ยอดขาย (บาท)]]-tblSales[[#This Row],[ต้นทุนรวม (บาท)]],""))</f>
        <v/>
      </c>
      <c r="P211" s="21" t="str">
        <f>IF(tblSales[[#This Row],[Key]]="","",IFERROR(tblSales[[#This Row],[กำไร (บาท)]]/tblSales[[#This Row],[ยอดขาย (บาท)]],""))</f>
        <v/>
      </c>
      <c r="Q211" s="10" t="str">
        <f>IF(tblSales[[#This Row],[Key]]="","",IFERROR(INDEX(ตารางรวม!$D:$D,MATCH(tblSales[[#This Row],[Key]],ตารางรวม!$Z:$Z,0))*tblSales[[#This Row],[จำนวนแก้ว]],0))</f>
        <v/>
      </c>
      <c r="R211" s="10" t="str">
        <f>IF(tblSales[[#This Row],[Key]]="","",IFERROR(INDEX(ตารางรวม!$E:$E,MATCH(tblSales[[#This Row],[Key]],ตารางรวม!$Z:$Z,0))*tblSales[[#This Row],[จำนวนแก้ว]],0))</f>
        <v/>
      </c>
      <c r="S211" s="10" t="str">
        <f>IF(tblSales[[#This Row],[Key]]="","",IFERROR(INDEX(ตารางรวม!$F:$F,MATCH(tblSales[[#This Row],[Key]],ตารางรวม!$Z:$Z,0))*tblSales[[#This Row],[จำนวนแก้ว]],0))</f>
        <v/>
      </c>
      <c r="T211" s="10" t="str">
        <f>IF(tblSales[[#This Row],[Key]]="","",IFERROR(INDEX(ตารางรวม!$G:$G,MATCH(tblSales[[#This Row],[Key]],ตารางรวม!$Z:$Z,0))*tblSales[[#This Row],[จำนวนแก้ว]],0))</f>
        <v/>
      </c>
      <c r="U211" s="10" t="str">
        <f>IF(tblSales[[#This Row],[Key]]="","",IFERROR(INDEX(ตารางรวม!$H:$H,MATCH(tblSales[[#This Row],[Key]],ตารางรวม!$Z:$Z,0))*tblSales[[#This Row],[จำนวนแก้ว]],0))</f>
        <v/>
      </c>
      <c r="V211" s="10" t="str">
        <f>IF(tblSales[[#This Row],[Key]]="","",IFERROR(INDEX(ตารางรวม!$I:$I,MATCH(tblSales[[#This Row],[Key]],ตารางรวม!$Z:$Z,0))*tblSales[[#This Row],[จำนวนแก้ว]],0))</f>
        <v/>
      </c>
      <c r="W211" s="10" t="str">
        <f>IF(tblSales[[#This Row],[Key]]="","",IFERROR(INDEX(ตารางรวม!$J:$J,MATCH(tblSales[[#This Row],[Key]],ตารางรวม!$Z:$Z,0))*tblSales[[#This Row],[จำนวนแก้ว]],0))</f>
        <v/>
      </c>
      <c r="X211" s="10" t="str">
        <f>IF(tblSales[[#This Row],[Key]]="","",IFERROR(INDEX(ตารางรวม!$K:$K,MATCH(tblSales[[#This Row],[Key]],ตารางรวม!$Z:$Z,0))*tblSales[[#This Row],[จำนวนแก้ว]],0))</f>
        <v/>
      </c>
      <c r="Y211" s="10" t="str">
        <f>IF(tblSales[[#This Row],[Key]]="","",IFERROR(INDEX(ตารางรวม!$L:$L,MATCH(tblSales[[#This Row],[Key]],ตารางรวม!$Z:$Z,0))*tblSales[[#This Row],[จำนวนแก้ว]],0))</f>
        <v/>
      </c>
      <c r="Z21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1" s="10" t="str">
        <f>IF(tblSales[[#This Row],[Key]]="","",IF(tblSales[[#This Row],[ขนาด]]="16 oz",tblSales[[#This Row],[จำนวนแก้ว]],0))</f>
        <v/>
      </c>
      <c r="AI211" s="10" t="str">
        <f>IF(tblSales[[#This Row],[Key]]="","",IF(tblSales[[#This Row],[ขนาด]]="20 oz",tblSales[[#This Row],[จำนวนแก้ว]],0))</f>
        <v/>
      </c>
      <c r="AJ211" s="10" t="str">
        <f>IF(tblSales[[#This Row],[Key]]="","",IF(tblSales[[#This Row],[ขนาด]]="22 oz",tblSales[[#This Row],[จำนวนแก้ว]],0))</f>
        <v/>
      </c>
    </row>
    <row r="212" spans="1:36" x14ac:dyDescent="0.25">
      <c r="A212" s="4" t="str">
        <f>IF(tblSales[[#This Row],[วันที่]]="","","S"&amp;TEXT(tblSales[[#This Row],[วันที่]],"yymmdd")&amp;"-"&amp;TEXT(ROW()-5,"000"))</f>
        <v/>
      </c>
      <c r="B212" s="16"/>
      <c r="C212" s="6"/>
      <c r="D212" s="6"/>
      <c r="E212" s="20"/>
      <c r="F212" s="6"/>
      <c r="G212" s="6"/>
      <c r="H212" s="6"/>
      <c r="I212" s="6"/>
      <c r="J21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2" s="8" t="str">
        <f>IF(tblSales[[#This Row],[Key]]="","",IFERROR(INDEX(ตารางรวม!$W:$W,MATCH(tblSales[[#This Row],[Key]],ตารางรวม!$Z:$Z,0)),"ไม่พบสูตร"))</f>
        <v/>
      </c>
      <c r="L212" s="8" t="str">
        <f>IF(tblSales[[#This Row],[Key]]="","",IFERROR(INDEX(ตารางรวม!$V:$V,MATCH(tblSales[[#This Row],[Key]],ตารางรวม!$Z:$Z,0)),"ไม่พบสูตร"))</f>
        <v/>
      </c>
      <c r="M212" s="8" t="str">
        <f>IF(tblSales[[#This Row],[Key]]="","",IFERROR(tblSales[[#This Row],[ราคาต่อแก้ว]]*tblSales[[#This Row],[จำนวนแก้ว]],""))</f>
        <v/>
      </c>
      <c r="N212" s="8" t="str">
        <f>IF(tblSales[[#This Row],[Key]]="","",IFERROR(tblSales[[#This Row],[ต้นทุนต่อแก้ว]]*tblSales[[#This Row],[จำนวนแก้ว]],""))</f>
        <v/>
      </c>
      <c r="O212" s="8" t="str">
        <f>IF(tblSales[[#This Row],[Key]]="","",IFERROR(tblSales[[#This Row],[ยอดขาย (บาท)]]-tblSales[[#This Row],[ต้นทุนรวม (บาท)]],""))</f>
        <v/>
      </c>
      <c r="P212" s="21" t="str">
        <f>IF(tblSales[[#This Row],[Key]]="","",IFERROR(tblSales[[#This Row],[กำไร (บาท)]]/tblSales[[#This Row],[ยอดขาย (บาท)]],""))</f>
        <v/>
      </c>
      <c r="Q212" s="10" t="str">
        <f>IF(tblSales[[#This Row],[Key]]="","",IFERROR(INDEX(ตารางรวม!$D:$D,MATCH(tblSales[[#This Row],[Key]],ตารางรวม!$Z:$Z,0))*tblSales[[#This Row],[จำนวนแก้ว]],0))</f>
        <v/>
      </c>
      <c r="R212" s="10" t="str">
        <f>IF(tblSales[[#This Row],[Key]]="","",IFERROR(INDEX(ตารางรวม!$E:$E,MATCH(tblSales[[#This Row],[Key]],ตารางรวม!$Z:$Z,0))*tblSales[[#This Row],[จำนวนแก้ว]],0))</f>
        <v/>
      </c>
      <c r="S212" s="10" t="str">
        <f>IF(tblSales[[#This Row],[Key]]="","",IFERROR(INDEX(ตารางรวม!$F:$F,MATCH(tblSales[[#This Row],[Key]],ตารางรวม!$Z:$Z,0))*tblSales[[#This Row],[จำนวนแก้ว]],0))</f>
        <v/>
      </c>
      <c r="T212" s="10" t="str">
        <f>IF(tblSales[[#This Row],[Key]]="","",IFERROR(INDEX(ตารางรวม!$G:$G,MATCH(tblSales[[#This Row],[Key]],ตารางรวม!$Z:$Z,0))*tblSales[[#This Row],[จำนวนแก้ว]],0))</f>
        <v/>
      </c>
      <c r="U212" s="10" t="str">
        <f>IF(tblSales[[#This Row],[Key]]="","",IFERROR(INDEX(ตารางรวม!$H:$H,MATCH(tblSales[[#This Row],[Key]],ตารางรวม!$Z:$Z,0))*tblSales[[#This Row],[จำนวนแก้ว]],0))</f>
        <v/>
      </c>
      <c r="V212" s="10" t="str">
        <f>IF(tblSales[[#This Row],[Key]]="","",IFERROR(INDEX(ตารางรวม!$I:$I,MATCH(tblSales[[#This Row],[Key]],ตารางรวม!$Z:$Z,0))*tblSales[[#This Row],[จำนวนแก้ว]],0))</f>
        <v/>
      </c>
      <c r="W212" s="10" t="str">
        <f>IF(tblSales[[#This Row],[Key]]="","",IFERROR(INDEX(ตารางรวม!$J:$J,MATCH(tblSales[[#This Row],[Key]],ตารางรวม!$Z:$Z,0))*tblSales[[#This Row],[จำนวนแก้ว]],0))</f>
        <v/>
      </c>
      <c r="X212" s="10" t="str">
        <f>IF(tblSales[[#This Row],[Key]]="","",IFERROR(INDEX(ตารางรวม!$K:$K,MATCH(tblSales[[#This Row],[Key]],ตารางรวม!$Z:$Z,0))*tblSales[[#This Row],[จำนวนแก้ว]],0))</f>
        <v/>
      </c>
      <c r="Y212" s="10" t="str">
        <f>IF(tblSales[[#This Row],[Key]]="","",IFERROR(INDEX(ตารางรวม!$L:$L,MATCH(tblSales[[#This Row],[Key]],ตารางรวม!$Z:$Z,0))*tblSales[[#This Row],[จำนวนแก้ว]],0))</f>
        <v/>
      </c>
      <c r="Z21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2" s="10" t="str">
        <f>IF(tblSales[[#This Row],[Key]]="","",IF(tblSales[[#This Row],[ขนาด]]="16 oz",tblSales[[#This Row],[จำนวนแก้ว]],0))</f>
        <v/>
      </c>
      <c r="AI212" s="10" t="str">
        <f>IF(tblSales[[#This Row],[Key]]="","",IF(tblSales[[#This Row],[ขนาด]]="20 oz",tblSales[[#This Row],[จำนวนแก้ว]],0))</f>
        <v/>
      </c>
      <c r="AJ212" s="10" t="str">
        <f>IF(tblSales[[#This Row],[Key]]="","",IF(tblSales[[#This Row],[ขนาด]]="22 oz",tblSales[[#This Row],[จำนวนแก้ว]],0))</f>
        <v/>
      </c>
    </row>
    <row r="213" spans="1:36" x14ac:dyDescent="0.25">
      <c r="A213" s="4" t="str">
        <f>IF(tblSales[[#This Row],[วันที่]]="","","S"&amp;TEXT(tblSales[[#This Row],[วันที่]],"yymmdd")&amp;"-"&amp;TEXT(ROW()-5,"000"))</f>
        <v/>
      </c>
      <c r="B213" s="16"/>
      <c r="C213" s="6"/>
      <c r="D213" s="6"/>
      <c r="E213" s="20"/>
      <c r="F213" s="6"/>
      <c r="G213" s="6"/>
      <c r="H213" s="6"/>
      <c r="I213" s="6"/>
      <c r="J21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3" s="8" t="str">
        <f>IF(tblSales[[#This Row],[Key]]="","",IFERROR(INDEX(ตารางรวม!$W:$W,MATCH(tblSales[[#This Row],[Key]],ตารางรวม!$Z:$Z,0)),"ไม่พบสูตร"))</f>
        <v/>
      </c>
      <c r="L213" s="8" t="str">
        <f>IF(tblSales[[#This Row],[Key]]="","",IFERROR(INDEX(ตารางรวม!$V:$V,MATCH(tblSales[[#This Row],[Key]],ตารางรวม!$Z:$Z,0)),"ไม่พบสูตร"))</f>
        <v/>
      </c>
      <c r="M213" s="8" t="str">
        <f>IF(tblSales[[#This Row],[Key]]="","",IFERROR(tblSales[[#This Row],[ราคาต่อแก้ว]]*tblSales[[#This Row],[จำนวนแก้ว]],""))</f>
        <v/>
      </c>
      <c r="N213" s="8" t="str">
        <f>IF(tblSales[[#This Row],[Key]]="","",IFERROR(tblSales[[#This Row],[ต้นทุนต่อแก้ว]]*tblSales[[#This Row],[จำนวนแก้ว]],""))</f>
        <v/>
      </c>
      <c r="O213" s="8" t="str">
        <f>IF(tblSales[[#This Row],[Key]]="","",IFERROR(tblSales[[#This Row],[ยอดขาย (บาท)]]-tblSales[[#This Row],[ต้นทุนรวม (บาท)]],""))</f>
        <v/>
      </c>
      <c r="P213" s="21" t="str">
        <f>IF(tblSales[[#This Row],[Key]]="","",IFERROR(tblSales[[#This Row],[กำไร (บาท)]]/tblSales[[#This Row],[ยอดขาย (บาท)]],""))</f>
        <v/>
      </c>
      <c r="Q213" s="10" t="str">
        <f>IF(tblSales[[#This Row],[Key]]="","",IFERROR(INDEX(ตารางรวม!$D:$D,MATCH(tblSales[[#This Row],[Key]],ตารางรวม!$Z:$Z,0))*tblSales[[#This Row],[จำนวนแก้ว]],0))</f>
        <v/>
      </c>
      <c r="R213" s="10" t="str">
        <f>IF(tblSales[[#This Row],[Key]]="","",IFERROR(INDEX(ตารางรวม!$E:$E,MATCH(tblSales[[#This Row],[Key]],ตารางรวม!$Z:$Z,0))*tblSales[[#This Row],[จำนวนแก้ว]],0))</f>
        <v/>
      </c>
      <c r="S213" s="10" t="str">
        <f>IF(tblSales[[#This Row],[Key]]="","",IFERROR(INDEX(ตารางรวม!$F:$F,MATCH(tblSales[[#This Row],[Key]],ตารางรวม!$Z:$Z,0))*tblSales[[#This Row],[จำนวนแก้ว]],0))</f>
        <v/>
      </c>
      <c r="T213" s="10" t="str">
        <f>IF(tblSales[[#This Row],[Key]]="","",IFERROR(INDEX(ตารางรวม!$G:$G,MATCH(tblSales[[#This Row],[Key]],ตารางรวม!$Z:$Z,0))*tblSales[[#This Row],[จำนวนแก้ว]],0))</f>
        <v/>
      </c>
      <c r="U213" s="10" t="str">
        <f>IF(tblSales[[#This Row],[Key]]="","",IFERROR(INDEX(ตารางรวม!$H:$H,MATCH(tblSales[[#This Row],[Key]],ตารางรวม!$Z:$Z,0))*tblSales[[#This Row],[จำนวนแก้ว]],0))</f>
        <v/>
      </c>
      <c r="V213" s="10" t="str">
        <f>IF(tblSales[[#This Row],[Key]]="","",IFERROR(INDEX(ตารางรวม!$I:$I,MATCH(tblSales[[#This Row],[Key]],ตารางรวม!$Z:$Z,0))*tblSales[[#This Row],[จำนวนแก้ว]],0))</f>
        <v/>
      </c>
      <c r="W213" s="10" t="str">
        <f>IF(tblSales[[#This Row],[Key]]="","",IFERROR(INDEX(ตารางรวม!$J:$J,MATCH(tblSales[[#This Row],[Key]],ตารางรวม!$Z:$Z,0))*tblSales[[#This Row],[จำนวนแก้ว]],0))</f>
        <v/>
      </c>
      <c r="X213" s="10" t="str">
        <f>IF(tblSales[[#This Row],[Key]]="","",IFERROR(INDEX(ตารางรวม!$K:$K,MATCH(tblSales[[#This Row],[Key]],ตารางรวม!$Z:$Z,0))*tblSales[[#This Row],[จำนวนแก้ว]],0))</f>
        <v/>
      </c>
      <c r="Y213" s="10" t="str">
        <f>IF(tblSales[[#This Row],[Key]]="","",IFERROR(INDEX(ตารางรวม!$L:$L,MATCH(tblSales[[#This Row],[Key]],ตารางรวม!$Z:$Z,0))*tblSales[[#This Row],[จำนวนแก้ว]],0))</f>
        <v/>
      </c>
      <c r="Z21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3" s="10" t="str">
        <f>IF(tblSales[[#This Row],[Key]]="","",IF(tblSales[[#This Row],[ขนาด]]="16 oz",tblSales[[#This Row],[จำนวนแก้ว]],0))</f>
        <v/>
      </c>
      <c r="AI213" s="10" t="str">
        <f>IF(tblSales[[#This Row],[Key]]="","",IF(tblSales[[#This Row],[ขนาด]]="20 oz",tblSales[[#This Row],[จำนวนแก้ว]],0))</f>
        <v/>
      </c>
      <c r="AJ213" s="10" t="str">
        <f>IF(tblSales[[#This Row],[Key]]="","",IF(tblSales[[#This Row],[ขนาด]]="22 oz",tblSales[[#This Row],[จำนวนแก้ว]],0))</f>
        <v/>
      </c>
    </row>
    <row r="214" spans="1:36" x14ac:dyDescent="0.25">
      <c r="A214" s="4" t="str">
        <f>IF(tblSales[[#This Row],[วันที่]]="","","S"&amp;TEXT(tblSales[[#This Row],[วันที่]],"yymmdd")&amp;"-"&amp;TEXT(ROW()-5,"000"))</f>
        <v/>
      </c>
      <c r="B214" s="16"/>
      <c r="C214" s="6"/>
      <c r="D214" s="6"/>
      <c r="E214" s="20"/>
      <c r="F214" s="6"/>
      <c r="G214" s="6"/>
      <c r="H214" s="6"/>
      <c r="I214" s="6"/>
      <c r="J21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4" s="8" t="str">
        <f>IF(tblSales[[#This Row],[Key]]="","",IFERROR(INDEX(ตารางรวม!$W:$W,MATCH(tblSales[[#This Row],[Key]],ตารางรวม!$Z:$Z,0)),"ไม่พบสูตร"))</f>
        <v/>
      </c>
      <c r="L214" s="8" t="str">
        <f>IF(tblSales[[#This Row],[Key]]="","",IFERROR(INDEX(ตารางรวม!$V:$V,MATCH(tblSales[[#This Row],[Key]],ตารางรวม!$Z:$Z,0)),"ไม่พบสูตร"))</f>
        <v/>
      </c>
      <c r="M214" s="8" t="str">
        <f>IF(tblSales[[#This Row],[Key]]="","",IFERROR(tblSales[[#This Row],[ราคาต่อแก้ว]]*tblSales[[#This Row],[จำนวนแก้ว]],""))</f>
        <v/>
      </c>
      <c r="N214" s="8" t="str">
        <f>IF(tblSales[[#This Row],[Key]]="","",IFERROR(tblSales[[#This Row],[ต้นทุนต่อแก้ว]]*tblSales[[#This Row],[จำนวนแก้ว]],""))</f>
        <v/>
      </c>
      <c r="O214" s="8" t="str">
        <f>IF(tblSales[[#This Row],[Key]]="","",IFERROR(tblSales[[#This Row],[ยอดขาย (บาท)]]-tblSales[[#This Row],[ต้นทุนรวม (บาท)]],""))</f>
        <v/>
      </c>
      <c r="P214" s="21" t="str">
        <f>IF(tblSales[[#This Row],[Key]]="","",IFERROR(tblSales[[#This Row],[กำไร (บาท)]]/tblSales[[#This Row],[ยอดขาย (บาท)]],""))</f>
        <v/>
      </c>
      <c r="Q214" s="10" t="str">
        <f>IF(tblSales[[#This Row],[Key]]="","",IFERROR(INDEX(ตารางรวม!$D:$D,MATCH(tblSales[[#This Row],[Key]],ตารางรวม!$Z:$Z,0))*tblSales[[#This Row],[จำนวนแก้ว]],0))</f>
        <v/>
      </c>
      <c r="R214" s="10" t="str">
        <f>IF(tblSales[[#This Row],[Key]]="","",IFERROR(INDEX(ตารางรวม!$E:$E,MATCH(tblSales[[#This Row],[Key]],ตารางรวม!$Z:$Z,0))*tblSales[[#This Row],[จำนวนแก้ว]],0))</f>
        <v/>
      </c>
      <c r="S214" s="10" t="str">
        <f>IF(tblSales[[#This Row],[Key]]="","",IFERROR(INDEX(ตารางรวม!$F:$F,MATCH(tblSales[[#This Row],[Key]],ตารางรวม!$Z:$Z,0))*tblSales[[#This Row],[จำนวนแก้ว]],0))</f>
        <v/>
      </c>
      <c r="T214" s="10" t="str">
        <f>IF(tblSales[[#This Row],[Key]]="","",IFERROR(INDEX(ตารางรวม!$G:$G,MATCH(tblSales[[#This Row],[Key]],ตารางรวม!$Z:$Z,0))*tblSales[[#This Row],[จำนวนแก้ว]],0))</f>
        <v/>
      </c>
      <c r="U214" s="10" t="str">
        <f>IF(tblSales[[#This Row],[Key]]="","",IFERROR(INDEX(ตารางรวม!$H:$H,MATCH(tblSales[[#This Row],[Key]],ตารางรวม!$Z:$Z,0))*tblSales[[#This Row],[จำนวนแก้ว]],0))</f>
        <v/>
      </c>
      <c r="V214" s="10" t="str">
        <f>IF(tblSales[[#This Row],[Key]]="","",IFERROR(INDEX(ตารางรวม!$I:$I,MATCH(tblSales[[#This Row],[Key]],ตารางรวม!$Z:$Z,0))*tblSales[[#This Row],[จำนวนแก้ว]],0))</f>
        <v/>
      </c>
      <c r="W214" s="10" t="str">
        <f>IF(tblSales[[#This Row],[Key]]="","",IFERROR(INDEX(ตารางรวม!$J:$J,MATCH(tblSales[[#This Row],[Key]],ตารางรวม!$Z:$Z,0))*tblSales[[#This Row],[จำนวนแก้ว]],0))</f>
        <v/>
      </c>
      <c r="X214" s="10" t="str">
        <f>IF(tblSales[[#This Row],[Key]]="","",IFERROR(INDEX(ตารางรวม!$K:$K,MATCH(tblSales[[#This Row],[Key]],ตารางรวม!$Z:$Z,0))*tblSales[[#This Row],[จำนวนแก้ว]],0))</f>
        <v/>
      </c>
      <c r="Y214" s="10" t="str">
        <f>IF(tblSales[[#This Row],[Key]]="","",IFERROR(INDEX(ตารางรวม!$L:$L,MATCH(tblSales[[#This Row],[Key]],ตารางรวม!$Z:$Z,0))*tblSales[[#This Row],[จำนวนแก้ว]],0))</f>
        <v/>
      </c>
      <c r="Z21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4" s="10" t="str">
        <f>IF(tblSales[[#This Row],[Key]]="","",IF(tblSales[[#This Row],[ขนาด]]="16 oz",tblSales[[#This Row],[จำนวนแก้ว]],0))</f>
        <v/>
      </c>
      <c r="AI214" s="10" t="str">
        <f>IF(tblSales[[#This Row],[Key]]="","",IF(tblSales[[#This Row],[ขนาด]]="20 oz",tblSales[[#This Row],[จำนวนแก้ว]],0))</f>
        <v/>
      </c>
      <c r="AJ214" s="10" t="str">
        <f>IF(tblSales[[#This Row],[Key]]="","",IF(tblSales[[#This Row],[ขนาด]]="22 oz",tblSales[[#This Row],[จำนวนแก้ว]],0))</f>
        <v/>
      </c>
    </row>
    <row r="215" spans="1:36" x14ac:dyDescent="0.25">
      <c r="A215" s="4" t="str">
        <f>IF(tblSales[[#This Row],[วันที่]]="","","S"&amp;TEXT(tblSales[[#This Row],[วันที่]],"yymmdd")&amp;"-"&amp;TEXT(ROW()-5,"000"))</f>
        <v/>
      </c>
      <c r="B215" s="16"/>
      <c r="C215" s="6"/>
      <c r="D215" s="6"/>
      <c r="E215" s="20"/>
      <c r="F215" s="6"/>
      <c r="G215" s="6"/>
      <c r="H215" s="6"/>
      <c r="I215" s="6"/>
      <c r="J21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5" s="8" t="str">
        <f>IF(tblSales[[#This Row],[Key]]="","",IFERROR(INDEX(ตารางรวม!$W:$W,MATCH(tblSales[[#This Row],[Key]],ตารางรวม!$Z:$Z,0)),"ไม่พบสูตร"))</f>
        <v/>
      </c>
      <c r="L215" s="8" t="str">
        <f>IF(tblSales[[#This Row],[Key]]="","",IFERROR(INDEX(ตารางรวม!$V:$V,MATCH(tblSales[[#This Row],[Key]],ตารางรวม!$Z:$Z,0)),"ไม่พบสูตร"))</f>
        <v/>
      </c>
      <c r="M215" s="8" t="str">
        <f>IF(tblSales[[#This Row],[Key]]="","",IFERROR(tblSales[[#This Row],[ราคาต่อแก้ว]]*tblSales[[#This Row],[จำนวนแก้ว]],""))</f>
        <v/>
      </c>
      <c r="N215" s="8" t="str">
        <f>IF(tblSales[[#This Row],[Key]]="","",IFERROR(tblSales[[#This Row],[ต้นทุนต่อแก้ว]]*tblSales[[#This Row],[จำนวนแก้ว]],""))</f>
        <v/>
      </c>
      <c r="O215" s="8" t="str">
        <f>IF(tblSales[[#This Row],[Key]]="","",IFERROR(tblSales[[#This Row],[ยอดขาย (บาท)]]-tblSales[[#This Row],[ต้นทุนรวม (บาท)]],""))</f>
        <v/>
      </c>
      <c r="P215" s="21" t="str">
        <f>IF(tblSales[[#This Row],[Key]]="","",IFERROR(tblSales[[#This Row],[กำไร (บาท)]]/tblSales[[#This Row],[ยอดขาย (บาท)]],""))</f>
        <v/>
      </c>
      <c r="Q215" s="10" t="str">
        <f>IF(tblSales[[#This Row],[Key]]="","",IFERROR(INDEX(ตารางรวม!$D:$D,MATCH(tblSales[[#This Row],[Key]],ตารางรวม!$Z:$Z,0))*tblSales[[#This Row],[จำนวนแก้ว]],0))</f>
        <v/>
      </c>
      <c r="R215" s="10" t="str">
        <f>IF(tblSales[[#This Row],[Key]]="","",IFERROR(INDEX(ตารางรวม!$E:$E,MATCH(tblSales[[#This Row],[Key]],ตารางรวม!$Z:$Z,0))*tblSales[[#This Row],[จำนวนแก้ว]],0))</f>
        <v/>
      </c>
      <c r="S215" s="10" t="str">
        <f>IF(tblSales[[#This Row],[Key]]="","",IFERROR(INDEX(ตารางรวม!$F:$F,MATCH(tblSales[[#This Row],[Key]],ตารางรวม!$Z:$Z,0))*tblSales[[#This Row],[จำนวนแก้ว]],0))</f>
        <v/>
      </c>
      <c r="T215" s="10" t="str">
        <f>IF(tblSales[[#This Row],[Key]]="","",IFERROR(INDEX(ตารางรวม!$G:$G,MATCH(tblSales[[#This Row],[Key]],ตารางรวม!$Z:$Z,0))*tblSales[[#This Row],[จำนวนแก้ว]],0))</f>
        <v/>
      </c>
      <c r="U215" s="10" t="str">
        <f>IF(tblSales[[#This Row],[Key]]="","",IFERROR(INDEX(ตารางรวม!$H:$H,MATCH(tblSales[[#This Row],[Key]],ตารางรวม!$Z:$Z,0))*tblSales[[#This Row],[จำนวนแก้ว]],0))</f>
        <v/>
      </c>
      <c r="V215" s="10" t="str">
        <f>IF(tblSales[[#This Row],[Key]]="","",IFERROR(INDEX(ตารางรวม!$I:$I,MATCH(tblSales[[#This Row],[Key]],ตารางรวม!$Z:$Z,0))*tblSales[[#This Row],[จำนวนแก้ว]],0))</f>
        <v/>
      </c>
      <c r="W215" s="10" t="str">
        <f>IF(tblSales[[#This Row],[Key]]="","",IFERROR(INDEX(ตารางรวม!$J:$J,MATCH(tblSales[[#This Row],[Key]],ตารางรวม!$Z:$Z,0))*tblSales[[#This Row],[จำนวนแก้ว]],0))</f>
        <v/>
      </c>
      <c r="X215" s="10" t="str">
        <f>IF(tblSales[[#This Row],[Key]]="","",IFERROR(INDEX(ตารางรวม!$K:$K,MATCH(tblSales[[#This Row],[Key]],ตารางรวม!$Z:$Z,0))*tblSales[[#This Row],[จำนวนแก้ว]],0))</f>
        <v/>
      </c>
      <c r="Y215" s="10" t="str">
        <f>IF(tblSales[[#This Row],[Key]]="","",IFERROR(INDEX(ตารางรวม!$L:$L,MATCH(tblSales[[#This Row],[Key]],ตารางรวม!$Z:$Z,0))*tblSales[[#This Row],[จำนวนแก้ว]],0))</f>
        <v/>
      </c>
      <c r="Z21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5" s="10" t="str">
        <f>IF(tblSales[[#This Row],[Key]]="","",IF(tblSales[[#This Row],[ขนาด]]="16 oz",tblSales[[#This Row],[จำนวนแก้ว]],0))</f>
        <v/>
      </c>
      <c r="AI215" s="10" t="str">
        <f>IF(tblSales[[#This Row],[Key]]="","",IF(tblSales[[#This Row],[ขนาด]]="20 oz",tblSales[[#This Row],[จำนวนแก้ว]],0))</f>
        <v/>
      </c>
      <c r="AJ215" s="10" t="str">
        <f>IF(tblSales[[#This Row],[Key]]="","",IF(tblSales[[#This Row],[ขนาด]]="22 oz",tblSales[[#This Row],[จำนวนแก้ว]],0))</f>
        <v/>
      </c>
    </row>
    <row r="216" spans="1:36" x14ac:dyDescent="0.25">
      <c r="A216" s="4" t="str">
        <f>IF(tblSales[[#This Row],[วันที่]]="","","S"&amp;TEXT(tblSales[[#This Row],[วันที่]],"yymmdd")&amp;"-"&amp;TEXT(ROW()-5,"000"))</f>
        <v/>
      </c>
      <c r="B216" s="16"/>
      <c r="C216" s="6"/>
      <c r="D216" s="6"/>
      <c r="E216" s="20"/>
      <c r="F216" s="6"/>
      <c r="G216" s="6"/>
      <c r="H216" s="6"/>
      <c r="I216" s="6"/>
      <c r="J21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6" s="8" t="str">
        <f>IF(tblSales[[#This Row],[Key]]="","",IFERROR(INDEX(ตารางรวม!$W:$W,MATCH(tblSales[[#This Row],[Key]],ตารางรวม!$Z:$Z,0)),"ไม่พบสูตร"))</f>
        <v/>
      </c>
      <c r="L216" s="8" t="str">
        <f>IF(tblSales[[#This Row],[Key]]="","",IFERROR(INDEX(ตารางรวม!$V:$V,MATCH(tblSales[[#This Row],[Key]],ตารางรวม!$Z:$Z,0)),"ไม่พบสูตร"))</f>
        <v/>
      </c>
      <c r="M216" s="8" t="str">
        <f>IF(tblSales[[#This Row],[Key]]="","",IFERROR(tblSales[[#This Row],[ราคาต่อแก้ว]]*tblSales[[#This Row],[จำนวนแก้ว]],""))</f>
        <v/>
      </c>
      <c r="N216" s="8" t="str">
        <f>IF(tblSales[[#This Row],[Key]]="","",IFERROR(tblSales[[#This Row],[ต้นทุนต่อแก้ว]]*tblSales[[#This Row],[จำนวนแก้ว]],""))</f>
        <v/>
      </c>
      <c r="O216" s="8" t="str">
        <f>IF(tblSales[[#This Row],[Key]]="","",IFERROR(tblSales[[#This Row],[ยอดขาย (บาท)]]-tblSales[[#This Row],[ต้นทุนรวม (บาท)]],""))</f>
        <v/>
      </c>
      <c r="P216" s="21" t="str">
        <f>IF(tblSales[[#This Row],[Key]]="","",IFERROR(tblSales[[#This Row],[กำไร (บาท)]]/tblSales[[#This Row],[ยอดขาย (บาท)]],""))</f>
        <v/>
      </c>
      <c r="Q216" s="10" t="str">
        <f>IF(tblSales[[#This Row],[Key]]="","",IFERROR(INDEX(ตารางรวม!$D:$D,MATCH(tblSales[[#This Row],[Key]],ตารางรวม!$Z:$Z,0))*tblSales[[#This Row],[จำนวนแก้ว]],0))</f>
        <v/>
      </c>
      <c r="R216" s="10" t="str">
        <f>IF(tblSales[[#This Row],[Key]]="","",IFERROR(INDEX(ตารางรวม!$E:$E,MATCH(tblSales[[#This Row],[Key]],ตารางรวม!$Z:$Z,0))*tblSales[[#This Row],[จำนวนแก้ว]],0))</f>
        <v/>
      </c>
      <c r="S216" s="10" t="str">
        <f>IF(tblSales[[#This Row],[Key]]="","",IFERROR(INDEX(ตารางรวม!$F:$F,MATCH(tblSales[[#This Row],[Key]],ตารางรวม!$Z:$Z,0))*tblSales[[#This Row],[จำนวนแก้ว]],0))</f>
        <v/>
      </c>
      <c r="T216" s="10" t="str">
        <f>IF(tblSales[[#This Row],[Key]]="","",IFERROR(INDEX(ตารางรวม!$G:$G,MATCH(tblSales[[#This Row],[Key]],ตารางรวม!$Z:$Z,0))*tblSales[[#This Row],[จำนวนแก้ว]],0))</f>
        <v/>
      </c>
      <c r="U216" s="10" t="str">
        <f>IF(tblSales[[#This Row],[Key]]="","",IFERROR(INDEX(ตารางรวม!$H:$H,MATCH(tblSales[[#This Row],[Key]],ตารางรวม!$Z:$Z,0))*tblSales[[#This Row],[จำนวนแก้ว]],0))</f>
        <v/>
      </c>
      <c r="V216" s="10" t="str">
        <f>IF(tblSales[[#This Row],[Key]]="","",IFERROR(INDEX(ตารางรวม!$I:$I,MATCH(tblSales[[#This Row],[Key]],ตารางรวม!$Z:$Z,0))*tblSales[[#This Row],[จำนวนแก้ว]],0))</f>
        <v/>
      </c>
      <c r="W216" s="10" t="str">
        <f>IF(tblSales[[#This Row],[Key]]="","",IFERROR(INDEX(ตารางรวม!$J:$J,MATCH(tblSales[[#This Row],[Key]],ตารางรวม!$Z:$Z,0))*tblSales[[#This Row],[จำนวนแก้ว]],0))</f>
        <v/>
      </c>
      <c r="X216" s="10" t="str">
        <f>IF(tblSales[[#This Row],[Key]]="","",IFERROR(INDEX(ตารางรวม!$K:$K,MATCH(tblSales[[#This Row],[Key]],ตารางรวม!$Z:$Z,0))*tblSales[[#This Row],[จำนวนแก้ว]],0))</f>
        <v/>
      </c>
      <c r="Y216" s="10" t="str">
        <f>IF(tblSales[[#This Row],[Key]]="","",IFERROR(INDEX(ตารางรวม!$L:$L,MATCH(tblSales[[#This Row],[Key]],ตารางรวม!$Z:$Z,0))*tblSales[[#This Row],[จำนวนแก้ว]],0))</f>
        <v/>
      </c>
      <c r="Z21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6" s="10" t="str">
        <f>IF(tblSales[[#This Row],[Key]]="","",IF(tblSales[[#This Row],[ขนาด]]="16 oz",tblSales[[#This Row],[จำนวนแก้ว]],0))</f>
        <v/>
      </c>
      <c r="AI216" s="10" t="str">
        <f>IF(tblSales[[#This Row],[Key]]="","",IF(tblSales[[#This Row],[ขนาด]]="20 oz",tblSales[[#This Row],[จำนวนแก้ว]],0))</f>
        <v/>
      </c>
      <c r="AJ216" s="10" t="str">
        <f>IF(tblSales[[#This Row],[Key]]="","",IF(tblSales[[#This Row],[ขนาด]]="22 oz",tblSales[[#This Row],[จำนวนแก้ว]],0))</f>
        <v/>
      </c>
    </row>
    <row r="217" spans="1:36" x14ac:dyDescent="0.25">
      <c r="A217" s="4" t="str">
        <f>IF(tblSales[[#This Row],[วันที่]]="","","S"&amp;TEXT(tblSales[[#This Row],[วันที่]],"yymmdd")&amp;"-"&amp;TEXT(ROW()-5,"000"))</f>
        <v/>
      </c>
      <c r="B217" s="16"/>
      <c r="C217" s="6"/>
      <c r="D217" s="6"/>
      <c r="E217" s="20"/>
      <c r="F217" s="6"/>
      <c r="G217" s="6"/>
      <c r="H217" s="6"/>
      <c r="I217" s="6"/>
      <c r="J21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7" s="8" t="str">
        <f>IF(tblSales[[#This Row],[Key]]="","",IFERROR(INDEX(ตารางรวม!$W:$W,MATCH(tblSales[[#This Row],[Key]],ตารางรวม!$Z:$Z,0)),"ไม่พบสูตร"))</f>
        <v/>
      </c>
      <c r="L217" s="8" t="str">
        <f>IF(tblSales[[#This Row],[Key]]="","",IFERROR(INDEX(ตารางรวม!$V:$V,MATCH(tblSales[[#This Row],[Key]],ตารางรวม!$Z:$Z,0)),"ไม่พบสูตร"))</f>
        <v/>
      </c>
      <c r="M217" s="8" t="str">
        <f>IF(tblSales[[#This Row],[Key]]="","",IFERROR(tblSales[[#This Row],[ราคาต่อแก้ว]]*tblSales[[#This Row],[จำนวนแก้ว]],""))</f>
        <v/>
      </c>
      <c r="N217" s="8" t="str">
        <f>IF(tblSales[[#This Row],[Key]]="","",IFERROR(tblSales[[#This Row],[ต้นทุนต่อแก้ว]]*tblSales[[#This Row],[จำนวนแก้ว]],""))</f>
        <v/>
      </c>
      <c r="O217" s="8" t="str">
        <f>IF(tblSales[[#This Row],[Key]]="","",IFERROR(tblSales[[#This Row],[ยอดขาย (บาท)]]-tblSales[[#This Row],[ต้นทุนรวม (บาท)]],""))</f>
        <v/>
      </c>
      <c r="P217" s="21" t="str">
        <f>IF(tblSales[[#This Row],[Key]]="","",IFERROR(tblSales[[#This Row],[กำไร (บาท)]]/tblSales[[#This Row],[ยอดขาย (บาท)]],""))</f>
        <v/>
      </c>
      <c r="Q217" s="10" t="str">
        <f>IF(tblSales[[#This Row],[Key]]="","",IFERROR(INDEX(ตารางรวม!$D:$D,MATCH(tblSales[[#This Row],[Key]],ตารางรวม!$Z:$Z,0))*tblSales[[#This Row],[จำนวนแก้ว]],0))</f>
        <v/>
      </c>
      <c r="R217" s="10" t="str">
        <f>IF(tblSales[[#This Row],[Key]]="","",IFERROR(INDEX(ตารางรวม!$E:$E,MATCH(tblSales[[#This Row],[Key]],ตารางรวม!$Z:$Z,0))*tblSales[[#This Row],[จำนวนแก้ว]],0))</f>
        <v/>
      </c>
      <c r="S217" s="10" t="str">
        <f>IF(tblSales[[#This Row],[Key]]="","",IFERROR(INDEX(ตารางรวม!$F:$F,MATCH(tblSales[[#This Row],[Key]],ตารางรวม!$Z:$Z,0))*tblSales[[#This Row],[จำนวนแก้ว]],0))</f>
        <v/>
      </c>
      <c r="T217" s="10" t="str">
        <f>IF(tblSales[[#This Row],[Key]]="","",IFERROR(INDEX(ตารางรวม!$G:$G,MATCH(tblSales[[#This Row],[Key]],ตารางรวม!$Z:$Z,0))*tblSales[[#This Row],[จำนวนแก้ว]],0))</f>
        <v/>
      </c>
      <c r="U217" s="10" t="str">
        <f>IF(tblSales[[#This Row],[Key]]="","",IFERROR(INDEX(ตารางรวม!$H:$H,MATCH(tblSales[[#This Row],[Key]],ตารางรวม!$Z:$Z,0))*tblSales[[#This Row],[จำนวนแก้ว]],0))</f>
        <v/>
      </c>
      <c r="V217" s="10" t="str">
        <f>IF(tblSales[[#This Row],[Key]]="","",IFERROR(INDEX(ตารางรวม!$I:$I,MATCH(tblSales[[#This Row],[Key]],ตารางรวม!$Z:$Z,0))*tblSales[[#This Row],[จำนวนแก้ว]],0))</f>
        <v/>
      </c>
      <c r="W217" s="10" t="str">
        <f>IF(tblSales[[#This Row],[Key]]="","",IFERROR(INDEX(ตารางรวม!$J:$J,MATCH(tblSales[[#This Row],[Key]],ตารางรวม!$Z:$Z,0))*tblSales[[#This Row],[จำนวนแก้ว]],0))</f>
        <v/>
      </c>
      <c r="X217" s="10" t="str">
        <f>IF(tblSales[[#This Row],[Key]]="","",IFERROR(INDEX(ตารางรวม!$K:$K,MATCH(tblSales[[#This Row],[Key]],ตารางรวม!$Z:$Z,0))*tblSales[[#This Row],[จำนวนแก้ว]],0))</f>
        <v/>
      </c>
      <c r="Y217" s="10" t="str">
        <f>IF(tblSales[[#This Row],[Key]]="","",IFERROR(INDEX(ตารางรวม!$L:$L,MATCH(tblSales[[#This Row],[Key]],ตารางรวม!$Z:$Z,0))*tblSales[[#This Row],[จำนวนแก้ว]],0))</f>
        <v/>
      </c>
      <c r="Z21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7" s="10" t="str">
        <f>IF(tblSales[[#This Row],[Key]]="","",IF(tblSales[[#This Row],[ขนาด]]="16 oz",tblSales[[#This Row],[จำนวนแก้ว]],0))</f>
        <v/>
      </c>
      <c r="AI217" s="10" t="str">
        <f>IF(tblSales[[#This Row],[Key]]="","",IF(tblSales[[#This Row],[ขนาด]]="20 oz",tblSales[[#This Row],[จำนวนแก้ว]],0))</f>
        <v/>
      </c>
      <c r="AJ217" s="10" t="str">
        <f>IF(tblSales[[#This Row],[Key]]="","",IF(tblSales[[#This Row],[ขนาด]]="22 oz",tblSales[[#This Row],[จำนวนแก้ว]],0))</f>
        <v/>
      </c>
    </row>
    <row r="218" spans="1:36" x14ac:dyDescent="0.25">
      <c r="A218" s="4" t="str">
        <f>IF(tblSales[[#This Row],[วันที่]]="","","S"&amp;TEXT(tblSales[[#This Row],[วันที่]],"yymmdd")&amp;"-"&amp;TEXT(ROW()-5,"000"))</f>
        <v/>
      </c>
      <c r="B218" s="16"/>
      <c r="C218" s="6"/>
      <c r="D218" s="6"/>
      <c r="E218" s="20"/>
      <c r="F218" s="6"/>
      <c r="G218" s="6"/>
      <c r="H218" s="6"/>
      <c r="I218" s="6"/>
      <c r="J21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8" s="8" t="str">
        <f>IF(tblSales[[#This Row],[Key]]="","",IFERROR(INDEX(ตารางรวม!$W:$W,MATCH(tblSales[[#This Row],[Key]],ตารางรวม!$Z:$Z,0)),"ไม่พบสูตร"))</f>
        <v/>
      </c>
      <c r="L218" s="8" t="str">
        <f>IF(tblSales[[#This Row],[Key]]="","",IFERROR(INDEX(ตารางรวม!$V:$V,MATCH(tblSales[[#This Row],[Key]],ตารางรวม!$Z:$Z,0)),"ไม่พบสูตร"))</f>
        <v/>
      </c>
      <c r="M218" s="8" t="str">
        <f>IF(tblSales[[#This Row],[Key]]="","",IFERROR(tblSales[[#This Row],[ราคาต่อแก้ว]]*tblSales[[#This Row],[จำนวนแก้ว]],""))</f>
        <v/>
      </c>
      <c r="N218" s="8" t="str">
        <f>IF(tblSales[[#This Row],[Key]]="","",IFERROR(tblSales[[#This Row],[ต้นทุนต่อแก้ว]]*tblSales[[#This Row],[จำนวนแก้ว]],""))</f>
        <v/>
      </c>
      <c r="O218" s="8" t="str">
        <f>IF(tblSales[[#This Row],[Key]]="","",IFERROR(tblSales[[#This Row],[ยอดขาย (บาท)]]-tblSales[[#This Row],[ต้นทุนรวม (บาท)]],""))</f>
        <v/>
      </c>
      <c r="P218" s="21" t="str">
        <f>IF(tblSales[[#This Row],[Key]]="","",IFERROR(tblSales[[#This Row],[กำไร (บาท)]]/tblSales[[#This Row],[ยอดขาย (บาท)]],""))</f>
        <v/>
      </c>
      <c r="Q218" s="10" t="str">
        <f>IF(tblSales[[#This Row],[Key]]="","",IFERROR(INDEX(ตารางรวม!$D:$D,MATCH(tblSales[[#This Row],[Key]],ตารางรวม!$Z:$Z,0))*tblSales[[#This Row],[จำนวนแก้ว]],0))</f>
        <v/>
      </c>
      <c r="R218" s="10" t="str">
        <f>IF(tblSales[[#This Row],[Key]]="","",IFERROR(INDEX(ตารางรวม!$E:$E,MATCH(tblSales[[#This Row],[Key]],ตารางรวม!$Z:$Z,0))*tblSales[[#This Row],[จำนวนแก้ว]],0))</f>
        <v/>
      </c>
      <c r="S218" s="10" t="str">
        <f>IF(tblSales[[#This Row],[Key]]="","",IFERROR(INDEX(ตารางรวม!$F:$F,MATCH(tblSales[[#This Row],[Key]],ตารางรวม!$Z:$Z,0))*tblSales[[#This Row],[จำนวนแก้ว]],0))</f>
        <v/>
      </c>
      <c r="T218" s="10" t="str">
        <f>IF(tblSales[[#This Row],[Key]]="","",IFERROR(INDEX(ตารางรวม!$G:$G,MATCH(tblSales[[#This Row],[Key]],ตารางรวม!$Z:$Z,0))*tblSales[[#This Row],[จำนวนแก้ว]],0))</f>
        <v/>
      </c>
      <c r="U218" s="10" t="str">
        <f>IF(tblSales[[#This Row],[Key]]="","",IFERROR(INDEX(ตารางรวม!$H:$H,MATCH(tblSales[[#This Row],[Key]],ตารางรวม!$Z:$Z,0))*tblSales[[#This Row],[จำนวนแก้ว]],0))</f>
        <v/>
      </c>
      <c r="V218" s="10" t="str">
        <f>IF(tblSales[[#This Row],[Key]]="","",IFERROR(INDEX(ตารางรวม!$I:$I,MATCH(tblSales[[#This Row],[Key]],ตารางรวม!$Z:$Z,0))*tblSales[[#This Row],[จำนวนแก้ว]],0))</f>
        <v/>
      </c>
      <c r="W218" s="10" t="str">
        <f>IF(tblSales[[#This Row],[Key]]="","",IFERROR(INDEX(ตารางรวม!$J:$J,MATCH(tblSales[[#This Row],[Key]],ตารางรวม!$Z:$Z,0))*tblSales[[#This Row],[จำนวนแก้ว]],0))</f>
        <v/>
      </c>
      <c r="X218" s="10" t="str">
        <f>IF(tblSales[[#This Row],[Key]]="","",IFERROR(INDEX(ตารางรวม!$K:$K,MATCH(tblSales[[#This Row],[Key]],ตารางรวม!$Z:$Z,0))*tblSales[[#This Row],[จำนวนแก้ว]],0))</f>
        <v/>
      </c>
      <c r="Y218" s="10" t="str">
        <f>IF(tblSales[[#This Row],[Key]]="","",IFERROR(INDEX(ตารางรวม!$L:$L,MATCH(tblSales[[#This Row],[Key]],ตารางรวม!$Z:$Z,0))*tblSales[[#This Row],[จำนวนแก้ว]],0))</f>
        <v/>
      </c>
      <c r="Z21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8" s="10" t="str">
        <f>IF(tblSales[[#This Row],[Key]]="","",IF(tblSales[[#This Row],[ขนาด]]="16 oz",tblSales[[#This Row],[จำนวนแก้ว]],0))</f>
        <v/>
      </c>
      <c r="AI218" s="10" t="str">
        <f>IF(tblSales[[#This Row],[Key]]="","",IF(tblSales[[#This Row],[ขนาด]]="20 oz",tblSales[[#This Row],[จำนวนแก้ว]],0))</f>
        <v/>
      </c>
      <c r="AJ218" s="10" t="str">
        <f>IF(tblSales[[#This Row],[Key]]="","",IF(tblSales[[#This Row],[ขนาด]]="22 oz",tblSales[[#This Row],[จำนวนแก้ว]],0))</f>
        <v/>
      </c>
    </row>
    <row r="219" spans="1:36" x14ac:dyDescent="0.25">
      <c r="A219" s="4" t="str">
        <f>IF(tblSales[[#This Row],[วันที่]]="","","S"&amp;TEXT(tblSales[[#This Row],[วันที่]],"yymmdd")&amp;"-"&amp;TEXT(ROW()-5,"000"))</f>
        <v/>
      </c>
      <c r="B219" s="16"/>
      <c r="C219" s="6"/>
      <c r="D219" s="6"/>
      <c r="E219" s="20"/>
      <c r="F219" s="6"/>
      <c r="G219" s="6"/>
      <c r="H219" s="6"/>
      <c r="I219" s="6"/>
      <c r="J21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19" s="8" t="str">
        <f>IF(tblSales[[#This Row],[Key]]="","",IFERROR(INDEX(ตารางรวม!$W:$W,MATCH(tblSales[[#This Row],[Key]],ตารางรวม!$Z:$Z,0)),"ไม่พบสูตร"))</f>
        <v/>
      </c>
      <c r="L219" s="8" t="str">
        <f>IF(tblSales[[#This Row],[Key]]="","",IFERROR(INDEX(ตารางรวม!$V:$V,MATCH(tblSales[[#This Row],[Key]],ตารางรวม!$Z:$Z,0)),"ไม่พบสูตร"))</f>
        <v/>
      </c>
      <c r="M219" s="8" t="str">
        <f>IF(tblSales[[#This Row],[Key]]="","",IFERROR(tblSales[[#This Row],[ราคาต่อแก้ว]]*tblSales[[#This Row],[จำนวนแก้ว]],""))</f>
        <v/>
      </c>
      <c r="N219" s="8" t="str">
        <f>IF(tblSales[[#This Row],[Key]]="","",IFERROR(tblSales[[#This Row],[ต้นทุนต่อแก้ว]]*tblSales[[#This Row],[จำนวนแก้ว]],""))</f>
        <v/>
      </c>
      <c r="O219" s="8" t="str">
        <f>IF(tblSales[[#This Row],[Key]]="","",IFERROR(tblSales[[#This Row],[ยอดขาย (บาท)]]-tblSales[[#This Row],[ต้นทุนรวม (บาท)]],""))</f>
        <v/>
      </c>
      <c r="P219" s="21" t="str">
        <f>IF(tblSales[[#This Row],[Key]]="","",IFERROR(tblSales[[#This Row],[กำไร (บาท)]]/tblSales[[#This Row],[ยอดขาย (บาท)]],""))</f>
        <v/>
      </c>
      <c r="Q219" s="10" t="str">
        <f>IF(tblSales[[#This Row],[Key]]="","",IFERROR(INDEX(ตารางรวม!$D:$D,MATCH(tblSales[[#This Row],[Key]],ตารางรวม!$Z:$Z,0))*tblSales[[#This Row],[จำนวนแก้ว]],0))</f>
        <v/>
      </c>
      <c r="R219" s="10" t="str">
        <f>IF(tblSales[[#This Row],[Key]]="","",IFERROR(INDEX(ตารางรวม!$E:$E,MATCH(tblSales[[#This Row],[Key]],ตารางรวม!$Z:$Z,0))*tblSales[[#This Row],[จำนวนแก้ว]],0))</f>
        <v/>
      </c>
      <c r="S219" s="10" t="str">
        <f>IF(tblSales[[#This Row],[Key]]="","",IFERROR(INDEX(ตารางรวม!$F:$F,MATCH(tblSales[[#This Row],[Key]],ตารางรวม!$Z:$Z,0))*tblSales[[#This Row],[จำนวนแก้ว]],0))</f>
        <v/>
      </c>
      <c r="T219" s="10" t="str">
        <f>IF(tblSales[[#This Row],[Key]]="","",IFERROR(INDEX(ตารางรวม!$G:$G,MATCH(tblSales[[#This Row],[Key]],ตารางรวม!$Z:$Z,0))*tblSales[[#This Row],[จำนวนแก้ว]],0))</f>
        <v/>
      </c>
      <c r="U219" s="10" t="str">
        <f>IF(tblSales[[#This Row],[Key]]="","",IFERROR(INDEX(ตารางรวม!$H:$H,MATCH(tblSales[[#This Row],[Key]],ตารางรวม!$Z:$Z,0))*tblSales[[#This Row],[จำนวนแก้ว]],0))</f>
        <v/>
      </c>
      <c r="V219" s="10" t="str">
        <f>IF(tblSales[[#This Row],[Key]]="","",IFERROR(INDEX(ตารางรวม!$I:$I,MATCH(tblSales[[#This Row],[Key]],ตารางรวม!$Z:$Z,0))*tblSales[[#This Row],[จำนวนแก้ว]],0))</f>
        <v/>
      </c>
      <c r="W219" s="10" t="str">
        <f>IF(tblSales[[#This Row],[Key]]="","",IFERROR(INDEX(ตารางรวม!$J:$J,MATCH(tblSales[[#This Row],[Key]],ตารางรวม!$Z:$Z,0))*tblSales[[#This Row],[จำนวนแก้ว]],0))</f>
        <v/>
      </c>
      <c r="X219" s="10" t="str">
        <f>IF(tblSales[[#This Row],[Key]]="","",IFERROR(INDEX(ตารางรวม!$K:$K,MATCH(tblSales[[#This Row],[Key]],ตารางรวม!$Z:$Z,0))*tblSales[[#This Row],[จำนวนแก้ว]],0))</f>
        <v/>
      </c>
      <c r="Y219" s="10" t="str">
        <f>IF(tblSales[[#This Row],[Key]]="","",IFERROR(INDEX(ตารางรวม!$L:$L,MATCH(tblSales[[#This Row],[Key]],ตารางรวม!$Z:$Z,0))*tblSales[[#This Row],[จำนวนแก้ว]],0))</f>
        <v/>
      </c>
      <c r="Z21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1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1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1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1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1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1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1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19" s="10" t="str">
        <f>IF(tblSales[[#This Row],[Key]]="","",IF(tblSales[[#This Row],[ขนาด]]="16 oz",tblSales[[#This Row],[จำนวนแก้ว]],0))</f>
        <v/>
      </c>
      <c r="AI219" s="10" t="str">
        <f>IF(tblSales[[#This Row],[Key]]="","",IF(tblSales[[#This Row],[ขนาด]]="20 oz",tblSales[[#This Row],[จำนวนแก้ว]],0))</f>
        <v/>
      </c>
      <c r="AJ219" s="10" t="str">
        <f>IF(tblSales[[#This Row],[Key]]="","",IF(tblSales[[#This Row],[ขนาด]]="22 oz",tblSales[[#This Row],[จำนวนแก้ว]],0))</f>
        <v/>
      </c>
    </row>
    <row r="220" spans="1:36" x14ac:dyDescent="0.25">
      <c r="A220" s="4" t="str">
        <f>IF(tblSales[[#This Row],[วันที่]]="","","S"&amp;TEXT(tblSales[[#This Row],[วันที่]],"yymmdd")&amp;"-"&amp;TEXT(ROW()-5,"000"))</f>
        <v/>
      </c>
      <c r="B220" s="16"/>
      <c r="C220" s="6"/>
      <c r="D220" s="6"/>
      <c r="E220" s="20"/>
      <c r="F220" s="6"/>
      <c r="G220" s="6"/>
      <c r="H220" s="6"/>
      <c r="I220" s="6"/>
      <c r="J22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0" s="8" t="str">
        <f>IF(tblSales[[#This Row],[Key]]="","",IFERROR(INDEX(ตารางรวม!$W:$W,MATCH(tblSales[[#This Row],[Key]],ตารางรวม!$Z:$Z,0)),"ไม่พบสูตร"))</f>
        <v/>
      </c>
      <c r="L220" s="8" t="str">
        <f>IF(tblSales[[#This Row],[Key]]="","",IFERROR(INDEX(ตารางรวม!$V:$V,MATCH(tblSales[[#This Row],[Key]],ตารางรวม!$Z:$Z,0)),"ไม่พบสูตร"))</f>
        <v/>
      </c>
      <c r="M220" s="8" t="str">
        <f>IF(tblSales[[#This Row],[Key]]="","",IFERROR(tblSales[[#This Row],[ราคาต่อแก้ว]]*tblSales[[#This Row],[จำนวนแก้ว]],""))</f>
        <v/>
      </c>
      <c r="N220" s="8" t="str">
        <f>IF(tblSales[[#This Row],[Key]]="","",IFERROR(tblSales[[#This Row],[ต้นทุนต่อแก้ว]]*tblSales[[#This Row],[จำนวนแก้ว]],""))</f>
        <v/>
      </c>
      <c r="O220" s="8" t="str">
        <f>IF(tblSales[[#This Row],[Key]]="","",IFERROR(tblSales[[#This Row],[ยอดขาย (บาท)]]-tblSales[[#This Row],[ต้นทุนรวม (บาท)]],""))</f>
        <v/>
      </c>
      <c r="P220" s="21" t="str">
        <f>IF(tblSales[[#This Row],[Key]]="","",IFERROR(tblSales[[#This Row],[กำไร (บาท)]]/tblSales[[#This Row],[ยอดขาย (บาท)]],""))</f>
        <v/>
      </c>
      <c r="Q220" s="10" t="str">
        <f>IF(tblSales[[#This Row],[Key]]="","",IFERROR(INDEX(ตารางรวม!$D:$D,MATCH(tblSales[[#This Row],[Key]],ตารางรวม!$Z:$Z,0))*tblSales[[#This Row],[จำนวนแก้ว]],0))</f>
        <v/>
      </c>
      <c r="R220" s="10" t="str">
        <f>IF(tblSales[[#This Row],[Key]]="","",IFERROR(INDEX(ตารางรวม!$E:$E,MATCH(tblSales[[#This Row],[Key]],ตารางรวม!$Z:$Z,0))*tblSales[[#This Row],[จำนวนแก้ว]],0))</f>
        <v/>
      </c>
      <c r="S220" s="10" t="str">
        <f>IF(tblSales[[#This Row],[Key]]="","",IFERROR(INDEX(ตารางรวม!$F:$F,MATCH(tblSales[[#This Row],[Key]],ตารางรวม!$Z:$Z,0))*tblSales[[#This Row],[จำนวนแก้ว]],0))</f>
        <v/>
      </c>
      <c r="T220" s="10" t="str">
        <f>IF(tblSales[[#This Row],[Key]]="","",IFERROR(INDEX(ตารางรวม!$G:$G,MATCH(tblSales[[#This Row],[Key]],ตารางรวม!$Z:$Z,0))*tblSales[[#This Row],[จำนวนแก้ว]],0))</f>
        <v/>
      </c>
      <c r="U220" s="10" t="str">
        <f>IF(tblSales[[#This Row],[Key]]="","",IFERROR(INDEX(ตารางรวม!$H:$H,MATCH(tblSales[[#This Row],[Key]],ตารางรวม!$Z:$Z,0))*tblSales[[#This Row],[จำนวนแก้ว]],0))</f>
        <v/>
      </c>
      <c r="V220" s="10" t="str">
        <f>IF(tblSales[[#This Row],[Key]]="","",IFERROR(INDEX(ตารางรวม!$I:$I,MATCH(tblSales[[#This Row],[Key]],ตารางรวม!$Z:$Z,0))*tblSales[[#This Row],[จำนวนแก้ว]],0))</f>
        <v/>
      </c>
      <c r="W220" s="10" t="str">
        <f>IF(tblSales[[#This Row],[Key]]="","",IFERROR(INDEX(ตารางรวม!$J:$J,MATCH(tblSales[[#This Row],[Key]],ตารางรวม!$Z:$Z,0))*tblSales[[#This Row],[จำนวนแก้ว]],0))</f>
        <v/>
      </c>
      <c r="X220" s="10" t="str">
        <f>IF(tblSales[[#This Row],[Key]]="","",IFERROR(INDEX(ตารางรวม!$K:$K,MATCH(tblSales[[#This Row],[Key]],ตารางรวม!$Z:$Z,0))*tblSales[[#This Row],[จำนวนแก้ว]],0))</f>
        <v/>
      </c>
      <c r="Y220" s="10" t="str">
        <f>IF(tblSales[[#This Row],[Key]]="","",IFERROR(INDEX(ตารางรวม!$L:$L,MATCH(tblSales[[#This Row],[Key]],ตารางรวม!$Z:$Z,0))*tblSales[[#This Row],[จำนวนแก้ว]],0))</f>
        <v/>
      </c>
      <c r="Z22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0" s="10" t="str">
        <f>IF(tblSales[[#This Row],[Key]]="","",IF(tblSales[[#This Row],[ขนาด]]="16 oz",tblSales[[#This Row],[จำนวนแก้ว]],0))</f>
        <v/>
      </c>
      <c r="AI220" s="10" t="str">
        <f>IF(tblSales[[#This Row],[Key]]="","",IF(tblSales[[#This Row],[ขนาด]]="20 oz",tblSales[[#This Row],[จำนวนแก้ว]],0))</f>
        <v/>
      </c>
      <c r="AJ220" s="10" t="str">
        <f>IF(tblSales[[#This Row],[Key]]="","",IF(tblSales[[#This Row],[ขนาด]]="22 oz",tblSales[[#This Row],[จำนวนแก้ว]],0))</f>
        <v/>
      </c>
    </row>
    <row r="221" spans="1:36" x14ac:dyDescent="0.25">
      <c r="A221" s="4" t="str">
        <f>IF(tblSales[[#This Row],[วันที่]]="","","S"&amp;TEXT(tblSales[[#This Row],[วันที่]],"yymmdd")&amp;"-"&amp;TEXT(ROW()-5,"000"))</f>
        <v/>
      </c>
      <c r="B221" s="16"/>
      <c r="C221" s="6"/>
      <c r="D221" s="6"/>
      <c r="E221" s="20"/>
      <c r="F221" s="6"/>
      <c r="G221" s="6"/>
      <c r="H221" s="6"/>
      <c r="I221" s="6"/>
      <c r="J22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1" s="8" t="str">
        <f>IF(tblSales[[#This Row],[Key]]="","",IFERROR(INDEX(ตารางรวม!$W:$W,MATCH(tblSales[[#This Row],[Key]],ตารางรวม!$Z:$Z,0)),"ไม่พบสูตร"))</f>
        <v/>
      </c>
      <c r="L221" s="8" t="str">
        <f>IF(tblSales[[#This Row],[Key]]="","",IFERROR(INDEX(ตารางรวม!$V:$V,MATCH(tblSales[[#This Row],[Key]],ตารางรวม!$Z:$Z,0)),"ไม่พบสูตร"))</f>
        <v/>
      </c>
      <c r="M221" s="8" t="str">
        <f>IF(tblSales[[#This Row],[Key]]="","",IFERROR(tblSales[[#This Row],[ราคาต่อแก้ว]]*tblSales[[#This Row],[จำนวนแก้ว]],""))</f>
        <v/>
      </c>
      <c r="N221" s="8" t="str">
        <f>IF(tblSales[[#This Row],[Key]]="","",IFERROR(tblSales[[#This Row],[ต้นทุนต่อแก้ว]]*tblSales[[#This Row],[จำนวนแก้ว]],""))</f>
        <v/>
      </c>
      <c r="O221" s="8" t="str">
        <f>IF(tblSales[[#This Row],[Key]]="","",IFERROR(tblSales[[#This Row],[ยอดขาย (บาท)]]-tblSales[[#This Row],[ต้นทุนรวม (บาท)]],""))</f>
        <v/>
      </c>
      <c r="P221" s="21" t="str">
        <f>IF(tblSales[[#This Row],[Key]]="","",IFERROR(tblSales[[#This Row],[กำไร (บาท)]]/tblSales[[#This Row],[ยอดขาย (บาท)]],""))</f>
        <v/>
      </c>
      <c r="Q221" s="10" t="str">
        <f>IF(tblSales[[#This Row],[Key]]="","",IFERROR(INDEX(ตารางรวม!$D:$D,MATCH(tblSales[[#This Row],[Key]],ตารางรวม!$Z:$Z,0))*tblSales[[#This Row],[จำนวนแก้ว]],0))</f>
        <v/>
      </c>
      <c r="R221" s="10" t="str">
        <f>IF(tblSales[[#This Row],[Key]]="","",IFERROR(INDEX(ตารางรวม!$E:$E,MATCH(tblSales[[#This Row],[Key]],ตารางรวม!$Z:$Z,0))*tblSales[[#This Row],[จำนวนแก้ว]],0))</f>
        <v/>
      </c>
      <c r="S221" s="10" t="str">
        <f>IF(tblSales[[#This Row],[Key]]="","",IFERROR(INDEX(ตารางรวม!$F:$F,MATCH(tblSales[[#This Row],[Key]],ตารางรวม!$Z:$Z,0))*tblSales[[#This Row],[จำนวนแก้ว]],0))</f>
        <v/>
      </c>
      <c r="T221" s="10" t="str">
        <f>IF(tblSales[[#This Row],[Key]]="","",IFERROR(INDEX(ตารางรวม!$G:$G,MATCH(tblSales[[#This Row],[Key]],ตารางรวม!$Z:$Z,0))*tblSales[[#This Row],[จำนวนแก้ว]],0))</f>
        <v/>
      </c>
      <c r="U221" s="10" t="str">
        <f>IF(tblSales[[#This Row],[Key]]="","",IFERROR(INDEX(ตารางรวม!$H:$H,MATCH(tblSales[[#This Row],[Key]],ตารางรวม!$Z:$Z,0))*tblSales[[#This Row],[จำนวนแก้ว]],0))</f>
        <v/>
      </c>
      <c r="V221" s="10" t="str">
        <f>IF(tblSales[[#This Row],[Key]]="","",IFERROR(INDEX(ตารางรวม!$I:$I,MATCH(tblSales[[#This Row],[Key]],ตารางรวม!$Z:$Z,0))*tblSales[[#This Row],[จำนวนแก้ว]],0))</f>
        <v/>
      </c>
      <c r="W221" s="10" t="str">
        <f>IF(tblSales[[#This Row],[Key]]="","",IFERROR(INDEX(ตารางรวม!$J:$J,MATCH(tblSales[[#This Row],[Key]],ตารางรวม!$Z:$Z,0))*tblSales[[#This Row],[จำนวนแก้ว]],0))</f>
        <v/>
      </c>
      <c r="X221" s="10" t="str">
        <f>IF(tblSales[[#This Row],[Key]]="","",IFERROR(INDEX(ตารางรวม!$K:$K,MATCH(tblSales[[#This Row],[Key]],ตารางรวม!$Z:$Z,0))*tblSales[[#This Row],[จำนวนแก้ว]],0))</f>
        <v/>
      </c>
      <c r="Y221" s="10" t="str">
        <f>IF(tblSales[[#This Row],[Key]]="","",IFERROR(INDEX(ตารางรวม!$L:$L,MATCH(tblSales[[#This Row],[Key]],ตารางรวม!$Z:$Z,0))*tblSales[[#This Row],[จำนวนแก้ว]],0))</f>
        <v/>
      </c>
      <c r="Z22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1" s="10" t="str">
        <f>IF(tblSales[[#This Row],[Key]]="","",IF(tblSales[[#This Row],[ขนาด]]="16 oz",tblSales[[#This Row],[จำนวนแก้ว]],0))</f>
        <v/>
      </c>
      <c r="AI221" s="10" t="str">
        <f>IF(tblSales[[#This Row],[Key]]="","",IF(tblSales[[#This Row],[ขนาด]]="20 oz",tblSales[[#This Row],[จำนวนแก้ว]],0))</f>
        <v/>
      </c>
      <c r="AJ221" s="10" t="str">
        <f>IF(tblSales[[#This Row],[Key]]="","",IF(tblSales[[#This Row],[ขนาด]]="22 oz",tblSales[[#This Row],[จำนวนแก้ว]],0))</f>
        <v/>
      </c>
    </row>
    <row r="222" spans="1:36" x14ac:dyDescent="0.25">
      <c r="A222" s="4" t="str">
        <f>IF(tblSales[[#This Row],[วันที่]]="","","S"&amp;TEXT(tblSales[[#This Row],[วันที่]],"yymmdd")&amp;"-"&amp;TEXT(ROW()-5,"000"))</f>
        <v/>
      </c>
      <c r="B222" s="16"/>
      <c r="C222" s="6"/>
      <c r="D222" s="6"/>
      <c r="E222" s="20"/>
      <c r="F222" s="6"/>
      <c r="G222" s="6"/>
      <c r="H222" s="6"/>
      <c r="I222" s="6"/>
      <c r="J22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2" s="8" t="str">
        <f>IF(tblSales[[#This Row],[Key]]="","",IFERROR(INDEX(ตารางรวม!$W:$W,MATCH(tblSales[[#This Row],[Key]],ตารางรวม!$Z:$Z,0)),"ไม่พบสูตร"))</f>
        <v/>
      </c>
      <c r="L222" s="8" t="str">
        <f>IF(tblSales[[#This Row],[Key]]="","",IFERROR(INDEX(ตารางรวม!$V:$V,MATCH(tblSales[[#This Row],[Key]],ตารางรวม!$Z:$Z,0)),"ไม่พบสูตร"))</f>
        <v/>
      </c>
      <c r="M222" s="8" t="str">
        <f>IF(tblSales[[#This Row],[Key]]="","",IFERROR(tblSales[[#This Row],[ราคาต่อแก้ว]]*tblSales[[#This Row],[จำนวนแก้ว]],""))</f>
        <v/>
      </c>
      <c r="N222" s="8" t="str">
        <f>IF(tblSales[[#This Row],[Key]]="","",IFERROR(tblSales[[#This Row],[ต้นทุนต่อแก้ว]]*tblSales[[#This Row],[จำนวนแก้ว]],""))</f>
        <v/>
      </c>
      <c r="O222" s="8" t="str">
        <f>IF(tblSales[[#This Row],[Key]]="","",IFERROR(tblSales[[#This Row],[ยอดขาย (บาท)]]-tblSales[[#This Row],[ต้นทุนรวม (บาท)]],""))</f>
        <v/>
      </c>
      <c r="P222" s="21" t="str">
        <f>IF(tblSales[[#This Row],[Key]]="","",IFERROR(tblSales[[#This Row],[กำไร (บาท)]]/tblSales[[#This Row],[ยอดขาย (บาท)]],""))</f>
        <v/>
      </c>
      <c r="Q222" s="10" t="str">
        <f>IF(tblSales[[#This Row],[Key]]="","",IFERROR(INDEX(ตารางรวม!$D:$D,MATCH(tblSales[[#This Row],[Key]],ตารางรวม!$Z:$Z,0))*tblSales[[#This Row],[จำนวนแก้ว]],0))</f>
        <v/>
      </c>
      <c r="R222" s="10" t="str">
        <f>IF(tblSales[[#This Row],[Key]]="","",IFERROR(INDEX(ตารางรวม!$E:$E,MATCH(tblSales[[#This Row],[Key]],ตารางรวม!$Z:$Z,0))*tblSales[[#This Row],[จำนวนแก้ว]],0))</f>
        <v/>
      </c>
      <c r="S222" s="10" t="str">
        <f>IF(tblSales[[#This Row],[Key]]="","",IFERROR(INDEX(ตารางรวม!$F:$F,MATCH(tblSales[[#This Row],[Key]],ตารางรวม!$Z:$Z,0))*tblSales[[#This Row],[จำนวนแก้ว]],0))</f>
        <v/>
      </c>
      <c r="T222" s="10" t="str">
        <f>IF(tblSales[[#This Row],[Key]]="","",IFERROR(INDEX(ตารางรวม!$G:$G,MATCH(tblSales[[#This Row],[Key]],ตารางรวม!$Z:$Z,0))*tblSales[[#This Row],[จำนวนแก้ว]],0))</f>
        <v/>
      </c>
      <c r="U222" s="10" t="str">
        <f>IF(tblSales[[#This Row],[Key]]="","",IFERROR(INDEX(ตารางรวม!$H:$H,MATCH(tblSales[[#This Row],[Key]],ตารางรวม!$Z:$Z,0))*tblSales[[#This Row],[จำนวนแก้ว]],0))</f>
        <v/>
      </c>
      <c r="V222" s="10" t="str">
        <f>IF(tblSales[[#This Row],[Key]]="","",IFERROR(INDEX(ตารางรวม!$I:$I,MATCH(tblSales[[#This Row],[Key]],ตารางรวม!$Z:$Z,0))*tblSales[[#This Row],[จำนวนแก้ว]],0))</f>
        <v/>
      </c>
      <c r="W222" s="10" t="str">
        <f>IF(tblSales[[#This Row],[Key]]="","",IFERROR(INDEX(ตารางรวม!$J:$J,MATCH(tblSales[[#This Row],[Key]],ตารางรวม!$Z:$Z,0))*tblSales[[#This Row],[จำนวนแก้ว]],0))</f>
        <v/>
      </c>
      <c r="X222" s="10" t="str">
        <f>IF(tblSales[[#This Row],[Key]]="","",IFERROR(INDEX(ตารางรวม!$K:$K,MATCH(tblSales[[#This Row],[Key]],ตารางรวม!$Z:$Z,0))*tblSales[[#This Row],[จำนวนแก้ว]],0))</f>
        <v/>
      </c>
      <c r="Y222" s="10" t="str">
        <f>IF(tblSales[[#This Row],[Key]]="","",IFERROR(INDEX(ตารางรวม!$L:$L,MATCH(tblSales[[#This Row],[Key]],ตารางรวม!$Z:$Z,0))*tblSales[[#This Row],[จำนวนแก้ว]],0))</f>
        <v/>
      </c>
      <c r="Z22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2" s="10" t="str">
        <f>IF(tblSales[[#This Row],[Key]]="","",IF(tblSales[[#This Row],[ขนาด]]="16 oz",tblSales[[#This Row],[จำนวนแก้ว]],0))</f>
        <v/>
      </c>
      <c r="AI222" s="10" t="str">
        <f>IF(tblSales[[#This Row],[Key]]="","",IF(tblSales[[#This Row],[ขนาด]]="20 oz",tblSales[[#This Row],[จำนวนแก้ว]],0))</f>
        <v/>
      </c>
      <c r="AJ222" s="10" t="str">
        <f>IF(tblSales[[#This Row],[Key]]="","",IF(tblSales[[#This Row],[ขนาด]]="22 oz",tblSales[[#This Row],[จำนวนแก้ว]],0))</f>
        <v/>
      </c>
    </row>
    <row r="223" spans="1:36" x14ac:dyDescent="0.25">
      <c r="A223" s="4" t="str">
        <f>IF(tblSales[[#This Row],[วันที่]]="","","S"&amp;TEXT(tblSales[[#This Row],[วันที่]],"yymmdd")&amp;"-"&amp;TEXT(ROW()-5,"000"))</f>
        <v/>
      </c>
      <c r="B223" s="16"/>
      <c r="C223" s="6"/>
      <c r="D223" s="6"/>
      <c r="E223" s="20"/>
      <c r="F223" s="6"/>
      <c r="G223" s="6"/>
      <c r="H223" s="6"/>
      <c r="I223" s="6"/>
      <c r="J22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3" s="8" t="str">
        <f>IF(tblSales[[#This Row],[Key]]="","",IFERROR(INDEX(ตารางรวม!$W:$W,MATCH(tblSales[[#This Row],[Key]],ตารางรวม!$Z:$Z,0)),"ไม่พบสูตร"))</f>
        <v/>
      </c>
      <c r="L223" s="8" t="str">
        <f>IF(tblSales[[#This Row],[Key]]="","",IFERROR(INDEX(ตารางรวม!$V:$V,MATCH(tblSales[[#This Row],[Key]],ตารางรวม!$Z:$Z,0)),"ไม่พบสูตร"))</f>
        <v/>
      </c>
      <c r="M223" s="8" t="str">
        <f>IF(tblSales[[#This Row],[Key]]="","",IFERROR(tblSales[[#This Row],[ราคาต่อแก้ว]]*tblSales[[#This Row],[จำนวนแก้ว]],""))</f>
        <v/>
      </c>
      <c r="N223" s="8" t="str">
        <f>IF(tblSales[[#This Row],[Key]]="","",IFERROR(tblSales[[#This Row],[ต้นทุนต่อแก้ว]]*tblSales[[#This Row],[จำนวนแก้ว]],""))</f>
        <v/>
      </c>
      <c r="O223" s="8" t="str">
        <f>IF(tblSales[[#This Row],[Key]]="","",IFERROR(tblSales[[#This Row],[ยอดขาย (บาท)]]-tblSales[[#This Row],[ต้นทุนรวม (บาท)]],""))</f>
        <v/>
      </c>
      <c r="P223" s="21" t="str">
        <f>IF(tblSales[[#This Row],[Key]]="","",IFERROR(tblSales[[#This Row],[กำไร (บาท)]]/tblSales[[#This Row],[ยอดขาย (บาท)]],""))</f>
        <v/>
      </c>
      <c r="Q223" s="10" t="str">
        <f>IF(tblSales[[#This Row],[Key]]="","",IFERROR(INDEX(ตารางรวม!$D:$D,MATCH(tblSales[[#This Row],[Key]],ตารางรวม!$Z:$Z,0))*tblSales[[#This Row],[จำนวนแก้ว]],0))</f>
        <v/>
      </c>
      <c r="R223" s="10" t="str">
        <f>IF(tblSales[[#This Row],[Key]]="","",IFERROR(INDEX(ตารางรวม!$E:$E,MATCH(tblSales[[#This Row],[Key]],ตารางรวม!$Z:$Z,0))*tblSales[[#This Row],[จำนวนแก้ว]],0))</f>
        <v/>
      </c>
      <c r="S223" s="10" t="str">
        <f>IF(tblSales[[#This Row],[Key]]="","",IFERROR(INDEX(ตารางรวม!$F:$F,MATCH(tblSales[[#This Row],[Key]],ตารางรวม!$Z:$Z,0))*tblSales[[#This Row],[จำนวนแก้ว]],0))</f>
        <v/>
      </c>
      <c r="T223" s="10" t="str">
        <f>IF(tblSales[[#This Row],[Key]]="","",IFERROR(INDEX(ตารางรวม!$G:$G,MATCH(tblSales[[#This Row],[Key]],ตารางรวม!$Z:$Z,0))*tblSales[[#This Row],[จำนวนแก้ว]],0))</f>
        <v/>
      </c>
      <c r="U223" s="10" t="str">
        <f>IF(tblSales[[#This Row],[Key]]="","",IFERROR(INDEX(ตารางรวม!$H:$H,MATCH(tblSales[[#This Row],[Key]],ตารางรวม!$Z:$Z,0))*tblSales[[#This Row],[จำนวนแก้ว]],0))</f>
        <v/>
      </c>
      <c r="V223" s="10" t="str">
        <f>IF(tblSales[[#This Row],[Key]]="","",IFERROR(INDEX(ตารางรวม!$I:$I,MATCH(tblSales[[#This Row],[Key]],ตารางรวม!$Z:$Z,0))*tblSales[[#This Row],[จำนวนแก้ว]],0))</f>
        <v/>
      </c>
      <c r="W223" s="10" t="str">
        <f>IF(tblSales[[#This Row],[Key]]="","",IFERROR(INDEX(ตารางรวม!$J:$J,MATCH(tblSales[[#This Row],[Key]],ตารางรวม!$Z:$Z,0))*tblSales[[#This Row],[จำนวนแก้ว]],0))</f>
        <v/>
      </c>
      <c r="X223" s="10" t="str">
        <f>IF(tblSales[[#This Row],[Key]]="","",IFERROR(INDEX(ตารางรวม!$K:$K,MATCH(tblSales[[#This Row],[Key]],ตารางรวม!$Z:$Z,0))*tblSales[[#This Row],[จำนวนแก้ว]],0))</f>
        <v/>
      </c>
      <c r="Y223" s="10" t="str">
        <f>IF(tblSales[[#This Row],[Key]]="","",IFERROR(INDEX(ตารางรวม!$L:$L,MATCH(tblSales[[#This Row],[Key]],ตารางรวม!$Z:$Z,0))*tblSales[[#This Row],[จำนวนแก้ว]],0))</f>
        <v/>
      </c>
      <c r="Z22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3" s="10" t="str">
        <f>IF(tblSales[[#This Row],[Key]]="","",IF(tblSales[[#This Row],[ขนาด]]="16 oz",tblSales[[#This Row],[จำนวนแก้ว]],0))</f>
        <v/>
      </c>
      <c r="AI223" s="10" t="str">
        <f>IF(tblSales[[#This Row],[Key]]="","",IF(tblSales[[#This Row],[ขนาด]]="20 oz",tblSales[[#This Row],[จำนวนแก้ว]],0))</f>
        <v/>
      </c>
      <c r="AJ223" s="10" t="str">
        <f>IF(tblSales[[#This Row],[Key]]="","",IF(tblSales[[#This Row],[ขนาด]]="22 oz",tblSales[[#This Row],[จำนวนแก้ว]],0))</f>
        <v/>
      </c>
    </row>
    <row r="224" spans="1:36" x14ac:dyDescent="0.25">
      <c r="A224" s="4" t="str">
        <f>IF(tblSales[[#This Row],[วันที่]]="","","S"&amp;TEXT(tblSales[[#This Row],[วันที่]],"yymmdd")&amp;"-"&amp;TEXT(ROW()-5,"000"))</f>
        <v/>
      </c>
      <c r="B224" s="16"/>
      <c r="C224" s="6"/>
      <c r="D224" s="6"/>
      <c r="E224" s="20"/>
      <c r="F224" s="6"/>
      <c r="G224" s="6"/>
      <c r="H224" s="6"/>
      <c r="I224" s="6"/>
      <c r="J22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4" s="8" t="str">
        <f>IF(tblSales[[#This Row],[Key]]="","",IFERROR(INDEX(ตารางรวม!$W:$W,MATCH(tblSales[[#This Row],[Key]],ตารางรวม!$Z:$Z,0)),"ไม่พบสูตร"))</f>
        <v/>
      </c>
      <c r="L224" s="8" t="str">
        <f>IF(tblSales[[#This Row],[Key]]="","",IFERROR(INDEX(ตารางรวม!$V:$V,MATCH(tblSales[[#This Row],[Key]],ตารางรวม!$Z:$Z,0)),"ไม่พบสูตร"))</f>
        <v/>
      </c>
      <c r="M224" s="8" t="str">
        <f>IF(tblSales[[#This Row],[Key]]="","",IFERROR(tblSales[[#This Row],[ราคาต่อแก้ว]]*tblSales[[#This Row],[จำนวนแก้ว]],""))</f>
        <v/>
      </c>
      <c r="N224" s="8" t="str">
        <f>IF(tblSales[[#This Row],[Key]]="","",IFERROR(tblSales[[#This Row],[ต้นทุนต่อแก้ว]]*tblSales[[#This Row],[จำนวนแก้ว]],""))</f>
        <v/>
      </c>
      <c r="O224" s="8" t="str">
        <f>IF(tblSales[[#This Row],[Key]]="","",IFERROR(tblSales[[#This Row],[ยอดขาย (บาท)]]-tblSales[[#This Row],[ต้นทุนรวม (บาท)]],""))</f>
        <v/>
      </c>
      <c r="P224" s="21" t="str">
        <f>IF(tblSales[[#This Row],[Key]]="","",IFERROR(tblSales[[#This Row],[กำไร (บาท)]]/tblSales[[#This Row],[ยอดขาย (บาท)]],""))</f>
        <v/>
      </c>
      <c r="Q224" s="10" t="str">
        <f>IF(tblSales[[#This Row],[Key]]="","",IFERROR(INDEX(ตารางรวม!$D:$D,MATCH(tblSales[[#This Row],[Key]],ตารางรวม!$Z:$Z,0))*tblSales[[#This Row],[จำนวนแก้ว]],0))</f>
        <v/>
      </c>
      <c r="R224" s="10" t="str">
        <f>IF(tblSales[[#This Row],[Key]]="","",IFERROR(INDEX(ตารางรวม!$E:$E,MATCH(tblSales[[#This Row],[Key]],ตารางรวม!$Z:$Z,0))*tblSales[[#This Row],[จำนวนแก้ว]],0))</f>
        <v/>
      </c>
      <c r="S224" s="10" t="str">
        <f>IF(tblSales[[#This Row],[Key]]="","",IFERROR(INDEX(ตารางรวม!$F:$F,MATCH(tblSales[[#This Row],[Key]],ตารางรวม!$Z:$Z,0))*tblSales[[#This Row],[จำนวนแก้ว]],0))</f>
        <v/>
      </c>
      <c r="T224" s="10" t="str">
        <f>IF(tblSales[[#This Row],[Key]]="","",IFERROR(INDEX(ตารางรวม!$G:$G,MATCH(tblSales[[#This Row],[Key]],ตารางรวม!$Z:$Z,0))*tblSales[[#This Row],[จำนวนแก้ว]],0))</f>
        <v/>
      </c>
      <c r="U224" s="10" t="str">
        <f>IF(tblSales[[#This Row],[Key]]="","",IFERROR(INDEX(ตารางรวม!$H:$H,MATCH(tblSales[[#This Row],[Key]],ตารางรวม!$Z:$Z,0))*tblSales[[#This Row],[จำนวนแก้ว]],0))</f>
        <v/>
      </c>
      <c r="V224" s="10" t="str">
        <f>IF(tblSales[[#This Row],[Key]]="","",IFERROR(INDEX(ตารางรวม!$I:$I,MATCH(tblSales[[#This Row],[Key]],ตารางรวม!$Z:$Z,0))*tblSales[[#This Row],[จำนวนแก้ว]],0))</f>
        <v/>
      </c>
      <c r="W224" s="10" t="str">
        <f>IF(tblSales[[#This Row],[Key]]="","",IFERROR(INDEX(ตารางรวม!$J:$J,MATCH(tblSales[[#This Row],[Key]],ตารางรวม!$Z:$Z,0))*tblSales[[#This Row],[จำนวนแก้ว]],0))</f>
        <v/>
      </c>
      <c r="X224" s="10" t="str">
        <f>IF(tblSales[[#This Row],[Key]]="","",IFERROR(INDEX(ตารางรวม!$K:$K,MATCH(tblSales[[#This Row],[Key]],ตารางรวม!$Z:$Z,0))*tblSales[[#This Row],[จำนวนแก้ว]],0))</f>
        <v/>
      </c>
      <c r="Y224" s="10" t="str">
        <f>IF(tblSales[[#This Row],[Key]]="","",IFERROR(INDEX(ตารางรวม!$L:$L,MATCH(tblSales[[#This Row],[Key]],ตารางรวม!$Z:$Z,0))*tblSales[[#This Row],[จำนวนแก้ว]],0))</f>
        <v/>
      </c>
      <c r="Z22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4" s="10" t="str">
        <f>IF(tblSales[[#This Row],[Key]]="","",IF(tblSales[[#This Row],[ขนาด]]="16 oz",tblSales[[#This Row],[จำนวนแก้ว]],0))</f>
        <v/>
      </c>
      <c r="AI224" s="10" t="str">
        <f>IF(tblSales[[#This Row],[Key]]="","",IF(tblSales[[#This Row],[ขนาด]]="20 oz",tblSales[[#This Row],[จำนวนแก้ว]],0))</f>
        <v/>
      </c>
      <c r="AJ224" s="10" t="str">
        <f>IF(tblSales[[#This Row],[Key]]="","",IF(tblSales[[#This Row],[ขนาด]]="22 oz",tblSales[[#This Row],[จำนวนแก้ว]],0))</f>
        <v/>
      </c>
    </row>
    <row r="225" spans="1:36" x14ac:dyDescent="0.25">
      <c r="A225" s="4" t="str">
        <f>IF(tblSales[[#This Row],[วันที่]]="","","S"&amp;TEXT(tblSales[[#This Row],[วันที่]],"yymmdd")&amp;"-"&amp;TEXT(ROW()-5,"000"))</f>
        <v/>
      </c>
      <c r="B225" s="16"/>
      <c r="C225" s="6"/>
      <c r="D225" s="6"/>
      <c r="E225" s="20"/>
      <c r="F225" s="6"/>
      <c r="G225" s="6"/>
      <c r="H225" s="6"/>
      <c r="I225" s="6"/>
      <c r="J22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5" s="8" t="str">
        <f>IF(tblSales[[#This Row],[Key]]="","",IFERROR(INDEX(ตารางรวม!$W:$W,MATCH(tblSales[[#This Row],[Key]],ตารางรวม!$Z:$Z,0)),"ไม่พบสูตร"))</f>
        <v/>
      </c>
      <c r="L225" s="8" t="str">
        <f>IF(tblSales[[#This Row],[Key]]="","",IFERROR(INDEX(ตารางรวม!$V:$V,MATCH(tblSales[[#This Row],[Key]],ตารางรวม!$Z:$Z,0)),"ไม่พบสูตร"))</f>
        <v/>
      </c>
      <c r="M225" s="8" t="str">
        <f>IF(tblSales[[#This Row],[Key]]="","",IFERROR(tblSales[[#This Row],[ราคาต่อแก้ว]]*tblSales[[#This Row],[จำนวนแก้ว]],""))</f>
        <v/>
      </c>
      <c r="N225" s="8" t="str">
        <f>IF(tblSales[[#This Row],[Key]]="","",IFERROR(tblSales[[#This Row],[ต้นทุนต่อแก้ว]]*tblSales[[#This Row],[จำนวนแก้ว]],""))</f>
        <v/>
      </c>
      <c r="O225" s="8" t="str">
        <f>IF(tblSales[[#This Row],[Key]]="","",IFERROR(tblSales[[#This Row],[ยอดขาย (บาท)]]-tblSales[[#This Row],[ต้นทุนรวม (บาท)]],""))</f>
        <v/>
      </c>
      <c r="P225" s="21" t="str">
        <f>IF(tblSales[[#This Row],[Key]]="","",IFERROR(tblSales[[#This Row],[กำไร (บาท)]]/tblSales[[#This Row],[ยอดขาย (บาท)]],""))</f>
        <v/>
      </c>
      <c r="Q225" s="10" t="str">
        <f>IF(tblSales[[#This Row],[Key]]="","",IFERROR(INDEX(ตารางรวม!$D:$D,MATCH(tblSales[[#This Row],[Key]],ตารางรวม!$Z:$Z,0))*tblSales[[#This Row],[จำนวนแก้ว]],0))</f>
        <v/>
      </c>
      <c r="R225" s="10" t="str">
        <f>IF(tblSales[[#This Row],[Key]]="","",IFERROR(INDEX(ตารางรวม!$E:$E,MATCH(tblSales[[#This Row],[Key]],ตารางรวม!$Z:$Z,0))*tblSales[[#This Row],[จำนวนแก้ว]],0))</f>
        <v/>
      </c>
      <c r="S225" s="10" t="str">
        <f>IF(tblSales[[#This Row],[Key]]="","",IFERROR(INDEX(ตารางรวม!$F:$F,MATCH(tblSales[[#This Row],[Key]],ตารางรวม!$Z:$Z,0))*tblSales[[#This Row],[จำนวนแก้ว]],0))</f>
        <v/>
      </c>
      <c r="T225" s="10" t="str">
        <f>IF(tblSales[[#This Row],[Key]]="","",IFERROR(INDEX(ตารางรวม!$G:$G,MATCH(tblSales[[#This Row],[Key]],ตารางรวม!$Z:$Z,0))*tblSales[[#This Row],[จำนวนแก้ว]],0))</f>
        <v/>
      </c>
      <c r="U225" s="10" t="str">
        <f>IF(tblSales[[#This Row],[Key]]="","",IFERROR(INDEX(ตารางรวม!$H:$H,MATCH(tblSales[[#This Row],[Key]],ตารางรวม!$Z:$Z,0))*tblSales[[#This Row],[จำนวนแก้ว]],0))</f>
        <v/>
      </c>
      <c r="V225" s="10" t="str">
        <f>IF(tblSales[[#This Row],[Key]]="","",IFERROR(INDEX(ตารางรวม!$I:$I,MATCH(tblSales[[#This Row],[Key]],ตารางรวม!$Z:$Z,0))*tblSales[[#This Row],[จำนวนแก้ว]],0))</f>
        <v/>
      </c>
      <c r="W225" s="10" t="str">
        <f>IF(tblSales[[#This Row],[Key]]="","",IFERROR(INDEX(ตารางรวม!$J:$J,MATCH(tblSales[[#This Row],[Key]],ตารางรวม!$Z:$Z,0))*tblSales[[#This Row],[จำนวนแก้ว]],0))</f>
        <v/>
      </c>
      <c r="X225" s="10" t="str">
        <f>IF(tblSales[[#This Row],[Key]]="","",IFERROR(INDEX(ตารางรวม!$K:$K,MATCH(tblSales[[#This Row],[Key]],ตารางรวม!$Z:$Z,0))*tblSales[[#This Row],[จำนวนแก้ว]],0))</f>
        <v/>
      </c>
      <c r="Y225" s="10" t="str">
        <f>IF(tblSales[[#This Row],[Key]]="","",IFERROR(INDEX(ตารางรวม!$L:$L,MATCH(tblSales[[#This Row],[Key]],ตารางรวม!$Z:$Z,0))*tblSales[[#This Row],[จำนวนแก้ว]],0))</f>
        <v/>
      </c>
      <c r="Z22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5" s="10" t="str">
        <f>IF(tblSales[[#This Row],[Key]]="","",IF(tblSales[[#This Row],[ขนาด]]="16 oz",tblSales[[#This Row],[จำนวนแก้ว]],0))</f>
        <v/>
      </c>
      <c r="AI225" s="10" t="str">
        <f>IF(tblSales[[#This Row],[Key]]="","",IF(tblSales[[#This Row],[ขนาด]]="20 oz",tblSales[[#This Row],[จำนวนแก้ว]],0))</f>
        <v/>
      </c>
      <c r="AJ225" s="10" t="str">
        <f>IF(tblSales[[#This Row],[Key]]="","",IF(tblSales[[#This Row],[ขนาด]]="22 oz",tblSales[[#This Row],[จำนวนแก้ว]],0))</f>
        <v/>
      </c>
    </row>
    <row r="226" spans="1:36" x14ac:dyDescent="0.25">
      <c r="A226" s="4" t="str">
        <f>IF(tblSales[[#This Row],[วันที่]]="","","S"&amp;TEXT(tblSales[[#This Row],[วันที่]],"yymmdd")&amp;"-"&amp;TEXT(ROW()-5,"000"))</f>
        <v/>
      </c>
      <c r="B226" s="16"/>
      <c r="C226" s="6"/>
      <c r="D226" s="6"/>
      <c r="E226" s="20"/>
      <c r="F226" s="6"/>
      <c r="G226" s="6"/>
      <c r="H226" s="6"/>
      <c r="I226" s="6"/>
      <c r="J22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6" s="8" t="str">
        <f>IF(tblSales[[#This Row],[Key]]="","",IFERROR(INDEX(ตารางรวม!$W:$W,MATCH(tblSales[[#This Row],[Key]],ตารางรวม!$Z:$Z,0)),"ไม่พบสูตร"))</f>
        <v/>
      </c>
      <c r="L226" s="8" t="str">
        <f>IF(tblSales[[#This Row],[Key]]="","",IFERROR(INDEX(ตารางรวม!$V:$V,MATCH(tblSales[[#This Row],[Key]],ตารางรวม!$Z:$Z,0)),"ไม่พบสูตร"))</f>
        <v/>
      </c>
      <c r="M226" s="8" t="str">
        <f>IF(tblSales[[#This Row],[Key]]="","",IFERROR(tblSales[[#This Row],[ราคาต่อแก้ว]]*tblSales[[#This Row],[จำนวนแก้ว]],""))</f>
        <v/>
      </c>
      <c r="N226" s="8" t="str">
        <f>IF(tblSales[[#This Row],[Key]]="","",IFERROR(tblSales[[#This Row],[ต้นทุนต่อแก้ว]]*tblSales[[#This Row],[จำนวนแก้ว]],""))</f>
        <v/>
      </c>
      <c r="O226" s="8" t="str">
        <f>IF(tblSales[[#This Row],[Key]]="","",IFERROR(tblSales[[#This Row],[ยอดขาย (บาท)]]-tblSales[[#This Row],[ต้นทุนรวม (บาท)]],""))</f>
        <v/>
      </c>
      <c r="P226" s="21" t="str">
        <f>IF(tblSales[[#This Row],[Key]]="","",IFERROR(tblSales[[#This Row],[กำไร (บาท)]]/tblSales[[#This Row],[ยอดขาย (บาท)]],""))</f>
        <v/>
      </c>
      <c r="Q226" s="10" t="str">
        <f>IF(tblSales[[#This Row],[Key]]="","",IFERROR(INDEX(ตารางรวม!$D:$D,MATCH(tblSales[[#This Row],[Key]],ตารางรวม!$Z:$Z,0))*tblSales[[#This Row],[จำนวนแก้ว]],0))</f>
        <v/>
      </c>
      <c r="R226" s="10" t="str">
        <f>IF(tblSales[[#This Row],[Key]]="","",IFERROR(INDEX(ตารางรวม!$E:$E,MATCH(tblSales[[#This Row],[Key]],ตารางรวม!$Z:$Z,0))*tblSales[[#This Row],[จำนวนแก้ว]],0))</f>
        <v/>
      </c>
      <c r="S226" s="10" t="str">
        <f>IF(tblSales[[#This Row],[Key]]="","",IFERROR(INDEX(ตารางรวม!$F:$F,MATCH(tblSales[[#This Row],[Key]],ตารางรวม!$Z:$Z,0))*tblSales[[#This Row],[จำนวนแก้ว]],0))</f>
        <v/>
      </c>
      <c r="T226" s="10" t="str">
        <f>IF(tblSales[[#This Row],[Key]]="","",IFERROR(INDEX(ตารางรวม!$G:$G,MATCH(tblSales[[#This Row],[Key]],ตารางรวม!$Z:$Z,0))*tblSales[[#This Row],[จำนวนแก้ว]],0))</f>
        <v/>
      </c>
      <c r="U226" s="10" t="str">
        <f>IF(tblSales[[#This Row],[Key]]="","",IFERROR(INDEX(ตารางรวม!$H:$H,MATCH(tblSales[[#This Row],[Key]],ตารางรวม!$Z:$Z,0))*tblSales[[#This Row],[จำนวนแก้ว]],0))</f>
        <v/>
      </c>
      <c r="V226" s="10" t="str">
        <f>IF(tblSales[[#This Row],[Key]]="","",IFERROR(INDEX(ตารางรวม!$I:$I,MATCH(tblSales[[#This Row],[Key]],ตารางรวม!$Z:$Z,0))*tblSales[[#This Row],[จำนวนแก้ว]],0))</f>
        <v/>
      </c>
      <c r="W226" s="10" t="str">
        <f>IF(tblSales[[#This Row],[Key]]="","",IFERROR(INDEX(ตารางรวม!$J:$J,MATCH(tblSales[[#This Row],[Key]],ตารางรวม!$Z:$Z,0))*tblSales[[#This Row],[จำนวนแก้ว]],0))</f>
        <v/>
      </c>
      <c r="X226" s="10" t="str">
        <f>IF(tblSales[[#This Row],[Key]]="","",IFERROR(INDEX(ตารางรวม!$K:$K,MATCH(tblSales[[#This Row],[Key]],ตารางรวม!$Z:$Z,0))*tblSales[[#This Row],[จำนวนแก้ว]],0))</f>
        <v/>
      </c>
      <c r="Y226" s="10" t="str">
        <f>IF(tblSales[[#This Row],[Key]]="","",IFERROR(INDEX(ตารางรวม!$L:$L,MATCH(tblSales[[#This Row],[Key]],ตารางรวม!$Z:$Z,0))*tblSales[[#This Row],[จำนวนแก้ว]],0))</f>
        <v/>
      </c>
      <c r="Z22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6" s="10" t="str">
        <f>IF(tblSales[[#This Row],[Key]]="","",IF(tblSales[[#This Row],[ขนาด]]="16 oz",tblSales[[#This Row],[จำนวนแก้ว]],0))</f>
        <v/>
      </c>
      <c r="AI226" s="10" t="str">
        <f>IF(tblSales[[#This Row],[Key]]="","",IF(tblSales[[#This Row],[ขนาด]]="20 oz",tblSales[[#This Row],[จำนวนแก้ว]],0))</f>
        <v/>
      </c>
      <c r="AJ226" s="10" t="str">
        <f>IF(tblSales[[#This Row],[Key]]="","",IF(tblSales[[#This Row],[ขนาด]]="22 oz",tblSales[[#This Row],[จำนวนแก้ว]],0))</f>
        <v/>
      </c>
    </row>
    <row r="227" spans="1:36" x14ac:dyDescent="0.25">
      <c r="A227" s="4" t="str">
        <f>IF(tblSales[[#This Row],[วันที่]]="","","S"&amp;TEXT(tblSales[[#This Row],[วันที่]],"yymmdd")&amp;"-"&amp;TEXT(ROW()-5,"000"))</f>
        <v/>
      </c>
      <c r="B227" s="16"/>
      <c r="C227" s="6"/>
      <c r="D227" s="6"/>
      <c r="E227" s="20"/>
      <c r="F227" s="6"/>
      <c r="G227" s="6"/>
      <c r="H227" s="6"/>
      <c r="I227" s="6"/>
      <c r="J22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7" s="8" t="str">
        <f>IF(tblSales[[#This Row],[Key]]="","",IFERROR(INDEX(ตารางรวม!$W:$W,MATCH(tblSales[[#This Row],[Key]],ตารางรวม!$Z:$Z,0)),"ไม่พบสูตร"))</f>
        <v/>
      </c>
      <c r="L227" s="8" t="str">
        <f>IF(tblSales[[#This Row],[Key]]="","",IFERROR(INDEX(ตารางรวม!$V:$V,MATCH(tblSales[[#This Row],[Key]],ตารางรวม!$Z:$Z,0)),"ไม่พบสูตร"))</f>
        <v/>
      </c>
      <c r="M227" s="8" t="str">
        <f>IF(tblSales[[#This Row],[Key]]="","",IFERROR(tblSales[[#This Row],[ราคาต่อแก้ว]]*tblSales[[#This Row],[จำนวนแก้ว]],""))</f>
        <v/>
      </c>
      <c r="N227" s="8" t="str">
        <f>IF(tblSales[[#This Row],[Key]]="","",IFERROR(tblSales[[#This Row],[ต้นทุนต่อแก้ว]]*tblSales[[#This Row],[จำนวนแก้ว]],""))</f>
        <v/>
      </c>
      <c r="O227" s="8" t="str">
        <f>IF(tblSales[[#This Row],[Key]]="","",IFERROR(tblSales[[#This Row],[ยอดขาย (บาท)]]-tblSales[[#This Row],[ต้นทุนรวม (บาท)]],""))</f>
        <v/>
      </c>
      <c r="P227" s="21" t="str">
        <f>IF(tblSales[[#This Row],[Key]]="","",IFERROR(tblSales[[#This Row],[กำไร (บาท)]]/tblSales[[#This Row],[ยอดขาย (บาท)]],""))</f>
        <v/>
      </c>
      <c r="Q227" s="10" t="str">
        <f>IF(tblSales[[#This Row],[Key]]="","",IFERROR(INDEX(ตารางรวม!$D:$D,MATCH(tblSales[[#This Row],[Key]],ตารางรวม!$Z:$Z,0))*tblSales[[#This Row],[จำนวนแก้ว]],0))</f>
        <v/>
      </c>
      <c r="R227" s="10" t="str">
        <f>IF(tblSales[[#This Row],[Key]]="","",IFERROR(INDEX(ตารางรวม!$E:$E,MATCH(tblSales[[#This Row],[Key]],ตารางรวม!$Z:$Z,0))*tblSales[[#This Row],[จำนวนแก้ว]],0))</f>
        <v/>
      </c>
      <c r="S227" s="10" t="str">
        <f>IF(tblSales[[#This Row],[Key]]="","",IFERROR(INDEX(ตารางรวม!$F:$F,MATCH(tblSales[[#This Row],[Key]],ตารางรวม!$Z:$Z,0))*tblSales[[#This Row],[จำนวนแก้ว]],0))</f>
        <v/>
      </c>
      <c r="T227" s="10" t="str">
        <f>IF(tblSales[[#This Row],[Key]]="","",IFERROR(INDEX(ตารางรวม!$G:$G,MATCH(tblSales[[#This Row],[Key]],ตารางรวม!$Z:$Z,0))*tblSales[[#This Row],[จำนวนแก้ว]],0))</f>
        <v/>
      </c>
      <c r="U227" s="10" t="str">
        <f>IF(tblSales[[#This Row],[Key]]="","",IFERROR(INDEX(ตารางรวม!$H:$H,MATCH(tblSales[[#This Row],[Key]],ตารางรวม!$Z:$Z,0))*tblSales[[#This Row],[จำนวนแก้ว]],0))</f>
        <v/>
      </c>
      <c r="V227" s="10" t="str">
        <f>IF(tblSales[[#This Row],[Key]]="","",IFERROR(INDEX(ตารางรวม!$I:$I,MATCH(tblSales[[#This Row],[Key]],ตารางรวม!$Z:$Z,0))*tblSales[[#This Row],[จำนวนแก้ว]],0))</f>
        <v/>
      </c>
      <c r="W227" s="10" t="str">
        <f>IF(tblSales[[#This Row],[Key]]="","",IFERROR(INDEX(ตารางรวม!$J:$J,MATCH(tblSales[[#This Row],[Key]],ตารางรวม!$Z:$Z,0))*tblSales[[#This Row],[จำนวนแก้ว]],0))</f>
        <v/>
      </c>
      <c r="X227" s="10" t="str">
        <f>IF(tblSales[[#This Row],[Key]]="","",IFERROR(INDEX(ตารางรวม!$K:$K,MATCH(tblSales[[#This Row],[Key]],ตารางรวม!$Z:$Z,0))*tblSales[[#This Row],[จำนวนแก้ว]],0))</f>
        <v/>
      </c>
      <c r="Y227" s="10" t="str">
        <f>IF(tblSales[[#This Row],[Key]]="","",IFERROR(INDEX(ตารางรวม!$L:$L,MATCH(tblSales[[#This Row],[Key]],ตารางรวม!$Z:$Z,0))*tblSales[[#This Row],[จำนวนแก้ว]],0))</f>
        <v/>
      </c>
      <c r="Z22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7" s="10" t="str">
        <f>IF(tblSales[[#This Row],[Key]]="","",IF(tblSales[[#This Row],[ขนาด]]="16 oz",tblSales[[#This Row],[จำนวนแก้ว]],0))</f>
        <v/>
      </c>
      <c r="AI227" s="10" t="str">
        <f>IF(tblSales[[#This Row],[Key]]="","",IF(tblSales[[#This Row],[ขนาด]]="20 oz",tblSales[[#This Row],[จำนวนแก้ว]],0))</f>
        <v/>
      </c>
      <c r="AJ227" s="10" t="str">
        <f>IF(tblSales[[#This Row],[Key]]="","",IF(tblSales[[#This Row],[ขนาด]]="22 oz",tblSales[[#This Row],[จำนวนแก้ว]],0))</f>
        <v/>
      </c>
    </row>
    <row r="228" spans="1:36" x14ac:dyDescent="0.25">
      <c r="A228" s="4" t="str">
        <f>IF(tblSales[[#This Row],[วันที่]]="","","S"&amp;TEXT(tblSales[[#This Row],[วันที่]],"yymmdd")&amp;"-"&amp;TEXT(ROW()-5,"000"))</f>
        <v/>
      </c>
      <c r="B228" s="16"/>
      <c r="C228" s="6"/>
      <c r="D228" s="6"/>
      <c r="E228" s="20"/>
      <c r="F228" s="6"/>
      <c r="G228" s="6"/>
      <c r="H228" s="6"/>
      <c r="I228" s="6"/>
      <c r="J22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8" s="8" t="str">
        <f>IF(tblSales[[#This Row],[Key]]="","",IFERROR(INDEX(ตารางรวม!$W:$W,MATCH(tblSales[[#This Row],[Key]],ตารางรวม!$Z:$Z,0)),"ไม่พบสูตร"))</f>
        <v/>
      </c>
      <c r="L228" s="8" t="str">
        <f>IF(tblSales[[#This Row],[Key]]="","",IFERROR(INDEX(ตารางรวม!$V:$V,MATCH(tblSales[[#This Row],[Key]],ตารางรวม!$Z:$Z,0)),"ไม่พบสูตร"))</f>
        <v/>
      </c>
      <c r="M228" s="8" t="str">
        <f>IF(tblSales[[#This Row],[Key]]="","",IFERROR(tblSales[[#This Row],[ราคาต่อแก้ว]]*tblSales[[#This Row],[จำนวนแก้ว]],""))</f>
        <v/>
      </c>
      <c r="N228" s="8" t="str">
        <f>IF(tblSales[[#This Row],[Key]]="","",IFERROR(tblSales[[#This Row],[ต้นทุนต่อแก้ว]]*tblSales[[#This Row],[จำนวนแก้ว]],""))</f>
        <v/>
      </c>
      <c r="O228" s="8" t="str">
        <f>IF(tblSales[[#This Row],[Key]]="","",IFERROR(tblSales[[#This Row],[ยอดขาย (บาท)]]-tblSales[[#This Row],[ต้นทุนรวม (บาท)]],""))</f>
        <v/>
      </c>
      <c r="P228" s="21" t="str">
        <f>IF(tblSales[[#This Row],[Key]]="","",IFERROR(tblSales[[#This Row],[กำไร (บาท)]]/tblSales[[#This Row],[ยอดขาย (บาท)]],""))</f>
        <v/>
      </c>
      <c r="Q228" s="10" t="str">
        <f>IF(tblSales[[#This Row],[Key]]="","",IFERROR(INDEX(ตารางรวม!$D:$D,MATCH(tblSales[[#This Row],[Key]],ตารางรวม!$Z:$Z,0))*tblSales[[#This Row],[จำนวนแก้ว]],0))</f>
        <v/>
      </c>
      <c r="R228" s="10" t="str">
        <f>IF(tblSales[[#This Row],[Key]]="","",IFERROR(INDEX(ตารางรวม!$E:$E,MATCH(tblSales[[#This Row],[Key]],ตารางรวม!$Z:$Z,0))*tblSales[[#This Row],[จำนวนแก้ว]],0))</f>
        <v/>
      </c>
      <c r="S228" s="10" t="str">
        <f>IF(tblSales[[#This Row],[Key]]="","",IFERROR(INDEX(ตารางรวม!$F:$F,MATCH(tblSales[[#This Row],[Key]],ตารางรวม!$Z:$Z,0))*tblSales[[#This Row],[จำนวนแก้ว]],0))</f>
        <v/>
      </c>
      <c r="T228" s="10" t="str">
        <f>IF(tblSales[[#This Row],[Key]]="","",IFERROR(INDEX(ตารางรวม!$G:$G,MATCH(tblSales[[#This Row],[Key]],ตารางรวม!$Z:$Z,0))*tblSales[[#This Row],[จำนวนแก้ว]],0))</f>
        <v/>
      </c>
      <c r="U228" s="10" t="str">
        <f>IF(tblSales[[#This Row],[Key]]="","",IFERROR(INDEX(ตารางรวม!$H:$H,MATCH(tblSales[[#This Row],[Key]],ตารางรวม!$Z:$Z,0))*tblSales[[#This Row],[จำนวนแก้ว]],0))</f>
        <v/>
      </c>
      <c r="V228" s="10" t="str">
        <f>IF(tblSales[[#This Row],[Key]]="","",IFERROR(INDEX(ตารางรวม!$I:$I,MATCH(tblSales[[#This Row],[Key]],ตารางรวม!$Z:$Z,0))*tblSales[[#This Row],[จำนวนแก้ว]],0))</f>
        <v/>
      </c>
      <c r="W228" s="10" t="str">
        <f>IF(tblSales[[#This Row],[Key]]="","",IFERROR(INDEX(ตารางรวม!$J:$J,MATCH(tblSales[[#This Row],[Key]],ตารางรวม!$Z:$Z,0))*tblSales[[#This Row],[จำนวนแก้ว]],0))</f>
        <v/>
      </c>
      <c r="X228" s="10" t="str">
        <f>IF(tblSales[[#This Row],[Key]]="","",IFERROR(INDEX(ตารางรวม!$K:$K,MATCH(tblSales[[#This Row],[Key]],ตารางรวม!$Z:$Z,0))*tblSales[[#This Row],[จำนวนแก้ว]],0))</f>
        <v/>
      </c>
      <c r="Y228" s="10" t="str">
        <f>IF(tblSales[[#This Row],[Key]]="","",IFERROR(INDEX(ตารางรวม!$L:$L,MATCH(tblSales[[#This Row],[Key]],ตารางรวม!$Z:$Z,0))*tblSales[[#This Row],[จำนวนแก้ว]],0))</f>
        <v/>
      </c>
      <c r="Z22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8" s="10" t="str">
        <f>IF(tblSales[[#This Row],[Key]]="","",IF(tblSales[[#This Row],[ขนาด]]="16 oz",tblSales[[#This Row],[จำนวนแก้ว]],0))</f>
        <v/>
      </c>
      <c r="AI228" s="10" t="str">
        <f>IF(tblSales[[#This Row],[Key]]="","",IF(tblSales[[#This Row],[ขนาด]]="20 oz",tblSales[[#This Row],[จำนวนแก้ว]],0))</f>
        <v/>
      </c>
      <c r="AJ228" s="10" t="str">
        <f>IF(tblSales[[#This Row],[Key]]="","",IF(tblSales[[#This Row],[ขนาด]]="22 oz",tblSales[[#This Row],[จำนวนแก้ว]],0))</f>
        <v/>
      </c>
    </row>
    <row r="229" spans="1:36" x14ac:dyDescent="0.25">
      <c r="A229" s="4" t="str">
        <f>IF(tblSales[[#This Row],[วันที่]]="","","S"&amp;TEXT(tblSales[[#This Row],[วันที่]],"yymmdd")&amp;"-"&amp;TEXT(ROW()-5,"000"))</f>
        <v/>
      </c>
      <c r="B229" s="16"/>
      <c r="C229" s="6"/>
      <c r="D229" s="6"/>
      <c r="E229" s="20"/>
      <c r="F229" s="6"/>
      <c r="G229" s="6"/>
      <c r="H229" s="6"/>
      <c r="I229" s="6"/>
      <c r="J22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29" s="8" t="str">
        <f>IF(tblSales[[#This Row],[Key]]="","",IFERROR(INDEX(ตารางรวม!$W:$W,MATCH(tblSales[[#This Row],[Key]],ตารางรวม!$Z:$Z,0)),"ไม่พบสูตร"))</f>
        <v/>
      </c>
      <c r="L229" s="8" t="str">
        <f>IF(tblSales[[#This Row],[Key]]="","",IFERROR(INDEX(ตารางรวม!$V:$V,MATCH(tblSales[[#This Row],[Key]],ตารางรวม!$Z:$Z,0)),"ไม่พบสูตร"))</f>
        <v/>
      </c>
      <c r="M229" s="8" t="str">
        <f>IF(tblSales[[#This Row],[Key]]="","",IFERROR(tblSales[[#This Row],[ราคาต่อแก้ว]]*tblSales[[#This Row],[จำนวนแก้ว]],""))</f>
        <v/>
      </c>
      <c r="N229" s="8" t="str">
        <f>IF(tblSales[[#This Row],[Key]]="","",IFERROR(tblSales[[#This Row],[ต้นทุนต่อแก้ว]]*tblSales[[#This Row],[จำนวนแก้ว]],""))</f>
        <v/>
      </c>
      <c r="O229" s="8" t="str">
        <f>IF(tblSales[[#This Row],[Key]]="","",IFERROR(tblSales[[#This Row],[ยอดขาย (บาท)]]-tblSales[[#This Row],[ต้นทุนรวม (บาท)]],""))</f>
        <v/>
      </c>
      <c r="P229" s="21" t="str">
        <f>IF(tblSales[[#This Row],[Key]]="","",IFERROR(tblSales[[#This Row],[กำไร (บาท)]]/tblSales[[#This Row],[ยอดขาย (บาท)]],""))</f>
        <v/>
      </c>
      <c r="Q229" s="10" t="str">
        <f>IF(tblSales[[#This Row],[Key]]="","",IFERROR(INDEX(ตารางรวม!$D:$D,MATCH(tblSales[[#This Row],[Key]],ตารางรวม!$Z:$Z,0))*tblSales[[#This Row],[จำนวนแก้ว]],0))</f>
        <v/>
      </c>
      <c r="R229" s="10" t="str">
        <f>IF(tblSales[[#This Row],[Key]]="","",IFERROR(INDEX(ตารางรวม!$E:$E,MATCH(tblSales[[#This Row],[Key]],ตารางรวม!$Z:$Z,0))*tblSales[[#This Row],[จำนวนแก้ว]],0))</f>
        <v/>
      </c>
      <c r="S229" s="10" t="str">
        <f>IF(tblSales[[#This Row],[Key]]="","",IFERROR(INDEX(ตารางรวม!$F:$F,MATCH(tblSales[[#This Row],[Key]],ตารางรวม!$Z:$Z,0))*tblSales[[#This Row],[จำนวนแก้ว]],0))</f>
        <v/>
      </c>
      <c r="T229" s="10" t="str">
        <f>IF(tblSales[[#This Row],[Key]]="","",IFERROR(INDEX(ตารางรวม!$G:$G,MATCH(tblSales[[#This Row],[Key]],ตารางรวม!$Z:$Z,0))*tblSales[[#This Row],[จำนวนแก้ว]],0))</f>
        <v/>
      </c>
      <c r="U229" s="10" t="str">
        <f>IF(tblSales[[#This Row],[Key]]="","",IFERROR(INDEX(ตารางรวม!$H:$H,MATCH(tblSales[[#This Row],[Key]],ตารางรวม!$Z:$Z,0))*tblSales[[#This Row],[จำนวนแก้ว]],0))</f>
        <v/>
      </c>
      <c r="V229" s="10" t="str">
        <f>IF(tblSales[[#This Row],[Key]]="","",IFERROR(INDEX(ตารางรวม!$I:$I,MATCH(tblSales[[#This Row],[Key]],ตารางรวม!$Z:$Z,0))*tblSales[[#This Row],[จำนวนแก้ว]],0))</f>
        <v/>
      </c>
      <c r="W229" s="10" t="str">
        <f>IF(tblSales[[#This Row],[Key]]="","",IFERROR(INDEX(ตารางรวม!$J:$J,MATCH(tblSales[[#This Row],[Key]],ตารางรวม!$Z:$Z,0))*tblSales[[#This Row],[จำนวนแก้ว]],0))</f>
        <v/>
      </c>
      <c r="X229" s="10" t="str">
        <f>IF(tblSales[[#This Row],[Key]]="","",IFERROR(INDEX(ตารางรวม!$K:$K,MATCH(tblSales[[#This Row],[Key]],ตารางรวม!$Z:$Z,0))*tblSales[[#This Row],[จำนวนแก้ว]],0))</f>
        <v/>
      </c>
      <c r="Y229" s="10" t="str">
        <f>IF(tblSales[[#This Row],[Key]]="","",IFERROR(INDEX(ตารางรวม!$L:$L,MATCH(tblSales[[#This Row],[Key]],ตารางรวม!$Z:$Z,0))*tblSales[[#This Row],[จำนวนแก้ว]],0))</f>
        <v/>
      </c>
      <c r="Z22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2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2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2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2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2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2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2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29" s="10" t="str">
        <f>IF(tblSales[[#This Row],[Key]]="","",IF(tblSales[[#This Row],[ขนาด]]="16 oz",tblSales[[#This Row],[จำนวนแก้ว]],0))</f>
        <v/>
      </c>
      <c r="AI229" s="10" t="str">
        <f>IF(tblSales[[#This Row],[Key]]="","",IF(tblSales[[#This Row],[ขนาด]]="20 oz",tblSales[[#This Row],[จำนวนแก้ว]],0))</f>
        <v/>
      </c>
      <c r="AJ229" s="10" t="str">
        <f>IF(tblSales[[#This Row],[Key]]="","",IF(tblSales[[#This Row],[ขนาด]]="22 oz",tblSales[[#This Row],[จำนวนแก้ว]],0))</f>
        <v/>
      </c>
    </row>
    <row r="230" spans="1:36" x14ac:dyDescent="0.25">
      <c r="A230" s="4" t="str">
        <f>IF(tblSales[[#This Row],[วันที่]]="","","S"&amp;TEXT(tblSales[[#This Row],[วันที่]],"yymmdd")&amp;"-"&amp;TEXT(ROW()-5,"000"))</f>
        <v/>
      </c>
      <c r="B230" s="16"/>
      <c r="C230" s="6"/>
      <c r="D230" s="6"/>
      <c r="E230" s="20"/>
      <c r="F230" s="6"/>
      <c r="G230" s="6"/>
      <c r="H230" s="6"/>
      <c r="I230" s="6"/>
      <c r="J23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0" s="8" t="str">
        <f>IF(tblSales[[#This Row],[Key]]="","",IFERROR(INDEX(ตารางรวม!$W:$W,MATCH(tblSales[[#This Row],[Key]],ตารางรวม!$Z:$Z,0)),"ไม่พบสูตร"))</f>
        <v/>
      </c>
      <c r="L230" s="8" t="str">
        <f>IF(tblSales[[#This Row],[Key]]="","",IFERROR(INDEX(ตารางรวม!$V:$V,MATCH(tblSales[[#This Row],[Key]],ตารางรวม!$Z:$Z,0)),"ไม่พบสูตร"))</f>
        <v/>
      </c>
      <c r="M230" s="8" t="str">
        <f>IF(tblSales[[#This Row],[Key]]="","",IFERROR(tblSales[[#This Row],[ราคาต่อแก้ว]]*tblSales[[#This Row],[จำนวนแก้ว]],""))</f>
        <v/>
      </c>
      <c r="N230" s="8" t="str">
        <f>IF(tblSales[[#This Row],[Key]]="","",IFERROR(tblSales[[#This Row],[ต้นทุนต่อแก้ว]]*tblSales[[#This Row],[จำนวนแก้ว]],""))</f>
        <v/>
      </c>
      <c r="O230" s="8" t="str">
        <f>IF(tblSales[[#This Row],[Key]]="","",IFERROR(tblSales[[#This Row],[ยอดขาย (บาท)]]-tblSales[[#This Row],[ต้นทุนรวม (บาท)]],""))</f>
        <v/>
      </c>
      <c r="P230" s="21" t="str">
        <f>IF(tblSales[[#This Row],[Key]]="","",IFERROR(tblSales[[#This Row],[กำไร (บาท)]]/tblSales[[#This Row],[ยอดขาย (บาท)]],""))</f>
        <v/>
      </c>
      <c r="Q230" s="10" t="str">
        <f>IF(tblSales[[#This Row],[Key]]="","",IFERROR(INDEX(ตารางรวม!$D:$D,MATCH(tblSales[[#This Row],[Key]],ตารางรวม!$Z:$Z,0))*tblSales[[#This Row],[จำนวนแก้ว]],0))</f>
        <v/>
      </c>
      <c r="R230" s="10" t="str">
        <f>IF(tblSales[[#This Row],[Key]]="","",IFERROR(INDEX(ตารางรวม!$E:$E,MATCH(tblSales[[#This Row],[Key]],ตารางรวม!$Z:$Z,0))*tblSales[[#This Row],[จำนวนแก้ว]],0))</f>
        <v/>
      </c>
      <c r="S230" s="10" t="str">
        <f>IF(tblSales[[#This Row],[Key]]="","",IFERROR(INDEX(ตารางรวม!$F:$F,MATCH(tblSales[[#This Row],[Key]],ตารางรวม!$Z:$Z,0))*tblSales[[#This Row],[จำนวนแก้ว]],0))</f>
        <v/>
      </c>
      <c r="T230" s="10" t="str">
        <f>IF(tblSales[[#This Row],[Key]]="","",IFERROR(INDEX(ตารางรวม!$G:$G,MATCH(tblSales[[#This Row],[Key]],ตารางรวม!$Z:$Z,0))*tblSales[[#This Row],[จำนวนแก้ว]],0))</f>
        <v/>
      </c>
      <c r="U230" s="10" t="str">
        <f>IF(tblSales[[#This Row],[Key]]="","",IFERROR(INDEX(ตารางรวม!$H:$H,MATCH(tblSales[[#This Row],[Key]],ตารางรวม!$Z:$Z,0))*tblSales[[#This Row],[จำนวนแก้ว]],0))</f>
        <v/>
      </c>
      <c r="V230" s="10" t="str">
        <f>IF(tblSales[[#This Row],[Key]]="","",IFERROR(INDEX(ตารางรวม!$I:$I,MATCH(tblSales[[#This Row],[Key]],ตารางรวม!$Z:$Z,0))*tblSales[[#This Row],[จำนวนแก้ว]],0))</f>
        <v/>
      </c>
      <c r="W230" s="10" t="str">
        <f>IF(tblSales[[#This Row],[Key]]="","",IFERROR(INDEX(ตารางรวม!$J:$J,MATCH(tblSales[[#This Row],[Key]],ตารางรวม!$Z:$Z,0))*tblSales[[#This Row],[จำนวนแก้ว]],0))</f>
        <v/>
      </c>
      <c r="X230" s="10" t="str">
        <f>IF(tblSales[[#This Row],[Key]]="","",IFERROR(INDEX(ตารางรวม!$K:$K,MATCH(tblSales[[#This Row],[Key]],ตารางรวม!$Z:$Z,0))*tblSales[[#This Row],[จำนวนแก้ว]],0))</f>
        <v/>
      </c>
      <c r="Y230" s="10" t="str">
        <f>IF(tblSales[[#This Row],[Key]]="","",IFERROR(INDEX(ตารางรวม!$L:$L,MATCH(tblSales[[#This Row],[Key]],ตารางรวม!$Z:$Z,0))*tblSales[[#This Row],[จำนวนแก้ว]],0))</f>
        <v/>
      </c>
      <c r="Z23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0" s="10" t="str">
        <f>IF(tblSales[[#This Row],[Key]]="","",IF(tblSales[[#This Row],[ขนาด]]="16 oz",tblSales[[#This Row],[จำนวนแก้ว]],0))</f>
        <v/>
      </c>
      <c r="AI230" s="10" t="str">
        <f>IF(tblSales[[#This Row],[Key]]="","",IF(tblSales[[#This Row],[ขนาด]]="20 oz",tblSales[[#This Row],[จำนวนแก้ว]],0))</f>
        <v/>
      </c>
      <c r="AJ230" s="10" t="str">
        <f>IF(tblSales[[#This Row],[Key]]="","",IF(tblSales[[#This Row],[ขนาด]]="22 oz",tblSales[[#This Row],[จำนวนแก้ว]],0))</f>
        <v/>
      </c>
    </row>
    <row r="231" spans="1:36" x14ac:dyDescent="0.25">
      <c r="A231" s="4" t="str">
        <f>IF(tblSales[[#This Row],[วันที่]]="","","S"&amp;TEXT(tblSales[[#This Row],[วันที่]],"yymmdd")&amp;"-"&amp;TEXT(ROW()-5,"000"))</f>
        <v/>
      </c>
      <c r="B231" s="16"/>
      <c r="C231" s="6"/>
      <c r="D231" s="6"/>
      <c r="E231" s="20"/>
      <c r="F231" s="6"/>
      <c r="G231" s="6"/>
      <c r="H231" s="6"/>
      <c r="I231" s="6"/>
      <c r="J23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1" s="8" t="str">
        <f>IF(tblSales[[#This Row],[Key]]="","",IFERROR(INDEX(ตารางรวม!$W:$W,MATCH(tblSales[[#This Row],[Key]],ตารางรวม!$Z:$Z,0)),"ไม่พบสูตร"))</f>
        <v/>
      </c>
      <c r="L231" s="8" t="str">
        <f>IF(tblSales[[#This Row],[Key]]="","",IFERROR(INDEX(ตารางรวม!$V:$V,MATCH(tblSales[[#This Row],[Key]],ตารางรวม!$Z:$Z,0)),"ไม่พบสูตร"))</f>
        <v/>
      </c>
      <c r="M231" s="8" t="str">
        <f>IF(tblSales[[#This Row],[Key]]="","",IFERROR(tblSales[[#This Row],[ราคาต่อแก้ว]]*tblSales[[#This Row],[จำนวนแก้ว]],""))</f>
        <v/>
      </c>
      <c r="N231" s="8" t="str">
        <f>IF(tblSales[[#This Row],[Key]]="","",IFERROR(tblSales[[#This Row],[ต้นทุนต่อแก้ว]]*tblSales[[#This Row],[จำนวนแก้ว]],""))</f>
        <v/>
      </c>
      <c r="O231" s="8" t="str">
        <f>IF(tblSales[[#This Row],[Key]]="","",IFERROR(tblSales[[#This Row],[ยอดขาย (บาท)]]-tblSales[[#This Row],[ต้นทุนรวม (บาท)]],""))</f>
        <v/>
      </c>
      <c r="P231" s="21" t="str">
        <f>IF(tblSales[[#This Row],[Key]]="","",IFERROR(tblSales[[#This Row],[กำไร (บาท)]]/tblSales[[#This Row],[ยอดขาย (บาท)]],""))</f>
        <v/>
      </c>
      <c r="Q231" s="10" t="str">
        <f>IF(tblSales[[#This Row],[Key]]="","",IFERROR(INDEX(ตารางรวม!$D:$D,MATCH(tblSales[[#This Row],[Key]],ตารางรวม!$Z:$Z,0))*tblSales[[#This Row],[จำนวนแก้ว]],0))</f>
        <v/>
      </c>
      <c r="R231" s="10" t="str">
        <f>IF(tblSales[[#This Row],[Key]]="","",IFERROR(INDEX(ตารางรวม!$E:$E,MATCH(tblSales[[#This Row],[Key]],ตารางรวม!$Z:$Z,0))*tblSales[[#This Row],[จำนวนแก้ว]],0))</f>
        <v/>
      </c>
      <c r="S231" s="10" t="str">
        <f>IF(tblSales[[#This Row],[Key]]="","",IFERROR(INDEX(ตารางรวม!$F:$F,MATCH(tblSales[[#This Row],[Key]],ตารางรวม!$Z:$Z,0))*tblSales[[#This Row],[จำนวนแก้ว]],0))</f>
        <v/>
      </c>
      <c r="T231" s="10" t="str">
        <f>IF(tblSales[[#This Row],[Key]]="","",IFERROR(INDEX(ตารางรวม!$G:$G,MATCH(tblSales[[#This Row],[Key]],ตารางรวม!$Z:$Z,0))*tblSales[[#This Row],[จำนวนแก้ว]],0))</f>
        <v/>
      </c>
      <c r="U231" s="10" t="str">
        <f>IF(tblSales[[#This Row],[Key]]="","",IFERROR(INDEX(ตารางรวม!$H:$H,MATCH(tblSales[[#This Row],[Key]],ตารางรวม!$Z:$Z,0))*tblSales[[#This Row],[จำนวนแก้ว]],0))</f>
        <v/>
      </c>
      <c r="V231" s="10" t="str">
        <f>IF(tblSales[[#This Row],[Key]]="","",IFERROR(INDEX(ตารางรวม!$I:$I,MATCH(tblSales[[#This Row],[Key]],ตารางรวม!$Z:$Z,0))*tblSales[[#This Row],[จำนวนแก้ว]],0))</f>
        <v/>
      </c>
      <c r="W231" s="10" t="str">
        <f>IF(tblSales[[#This Row],[Key]]="","",IFERROR(INDEX(ตารางรวม!$J:$J,MATCH(tblSales[[#This Row],[Key]],ตารางรวม!$Z:$Z,0))*tblSales[[#This Row],[จำนวนแก้ว]],0))</f>
        <v/>
      </c>
      <c r="X231" s="10" t="str">
        <f>IF(tblSales[[#This Row],[Key]]="","",IFERROR(INDEX(ตารางรวม!$K:$K,MATCH(tblSales[[#This Row],[Key]],ตารางรวม!$Z:$Z,0))*tblSales[[#This Row],[จำนวนแก้ว]],0))</f>
        <v/>
      </c>
      <c r="Y231" s="10" t="str">
        <f>IF(tblSales[[#This Row],[Key]]="","",IFERROR(INDEX(ตารางรวม!$L:$L,MATCH(tblSales[[#This Row],[Key]],ตารางรวม!$Z:$Z,0))*tblSales[[#This Row],[จำนวนแก้ว]],0))</f>
        <v/>
      </c>
      <c r="Z23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1" s="10" t="str">
        <f>IF(tblSales[[#This Row],[Key]]="","",IF(tblSales[[#This Row],[ขนาด]]="16 oz",tblSales[[#This Row],[จำนวนแก้ว]],0))</f>
        <v/>
      </c>
      <c r="AI231" s="10" t="str">
        <f>IF(tblSales[[#This Row],[Key]]="","",IF(tblSales[[#This Row],[ขนาด]]="20 oz",tblSales[[#This Row],[จำนวนแก้ว]],0))</f>
        <v/>
      </c>
      <c r="AJ231" s="10" t="str">
        <f>IF(tblSales[[#This Row],[Key]]="","",IF(tblSales[[#This Row],[ขนาด]]="22 oz",tblSales[[#This Row],[จำนวนแก้ว]],0))</f>
        <v/>
      </c>
    </row>
    <row r="232" spans="1:36" x14ac:dyDescent="0.25">
      <c r="A232" s="4" t="str">
        <f>IF(tblSales[[#This Row],[วันที่]]="","","S"&amp;TEXT(tblSales[[#This Row],[วันที่]],"yymmdd")&amp;"-"&amp;TEXT(ROW()-5,"000"))</f>
        <v/>
      </c>
      <c r="B232" s="16"/>
      <c r="C232" s="6"/>
      <c r="D232" s="6"/>
      <c r="E232" s="20"/>
      <c r="F232" s="6"/>
      <c r="G232" s="6"/>
      <c r="H232" s="6"/>
      <c r="I232" s="6"/>
      <c r="J23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2" s="8" t="str">
        <f>IF(tblSales[[#This Row],[Key]]="","",IFERROR(INDEX(ตารางรวม!$W:$W,MATCH(tblSales[[#This Row],[Key]],ตารางรวม!$Z:$Z,0)),"ไม่พบสูตร"))</f>
        <v/>
      </c>
      <c r="L232" s="8" t="str">
        <f>IF(tblSales[[#This Row],[Key]]="","",IFERROR(INDEX(ตารางรวม!$V:$V,MATCH(tblSales[[#This Row],[Key]],ตารางรวม!$Z:$Z,0)),"ไม่พบสูตร"))</f>
        <v/>
      </c>
      <c r="M232" s="8" t="str">
        <f>IF(tblSales[[#This Row],[Key]]="","",IFERROR(tblSales[[#This Row],[ราคาต่อแก้ว]]*tblSales[[#This Row],[จำนวนแก้ว]],""))</f>
        <v/>
      </c>
      <c r="N232" s="8" t="str">
        <f>IF(tblSales[[#This Row],[Key]]="","",IFERROR(tblSales[[#This Row],[ต้นทุนต่อแก้ว]]*tblSales[[#This Row],[จำนวนแก้ว]],""))</f>
        <v/>
      </c>
      <c r="O232" s="8" t="str">
        <f>IF(tblSales[[#This Row],[Key]]="","",IFERROR(tblSales[[#This Row],[ยอดขาย (บาท)]]-tblSales[[#This Row],[ต้นทุนรวม (บาท)]],""))</f>
        <v/>
      </c>
      <c r="P232" s="21" t="str">
        <f>IF(tblSales[[#This Row],[Key]]="","",IFERROR(tblSales[[#This Row],[กำไร (บาท)]]/tblSales[[#This Row],[ยอดขาย (บาท)]],""))</f>
        <v/>
      </c>
      <c r="Q232" s="10" t="str">
        <f>IF(tblSales[[#This Row],[Key]]="","",IFERROR(INDEX(ตารางรวม!$D:$D,MATCH(tblSales[[#This Row],[Key]],ตารางรวม!$Z:$Z,0))*tblSales[[#This Row],[จำนวนแก้ว]],0))</f>
        <v/>
      </c>
      <c r="R232" s="10" t="str">
        <f>IF(tblSales[[#This Row],[Key]]="","",IFERROR(INDEX(ตารางรวม!$E:$E,MATCH(tblSales[[#This Row],[Key]],ตารางรวม!$Z:$Z,0))*tblSales[[#This Row],[จำนวนแก้ว]],0))</f>
        <v/>
      </c>
      <c r="S232" s="10" t="str">
        <f>IF(tblSales[[#This Row],[Key]]="","",IFERROR(INDEX(ตารางรวม!$F:$F,MATCH(tblSales[[#This Row],[Key]],ตารางรวม!$Z:$Z,0))*tblSales[[#This Row],[จำนวนแก้ว]],0))</f>
        <v/>
      </c>
      <c r="T232" s="10" t="str">
        <f>IF(tblSales[[#This Row],[Key]]="","",IFERROR(INDEX(ตารางรวม!$G:$G,MATCH(tblSales[[#This Row],[Key]],ตารางรวม!$Z:$Z,0))*tblSales[[#This Row],[จำนวนแก้ว]],0))</f>
        <v/>
      </c>
      <c r="U232" s="10" t="str">
        <f>IF(tblSales[[#This Row],[Key]]="","",IFERROR(INDEX(ตารางรวม!$H:$H,MATCH(tblSales[[#This Row],[Key]],ตารางรวม!$Z:$Z,0))*tblSales[[#This Row],[จำนวนแก้ว]],0))</f>
        <v/>
      </c>
      <c r="V232" s="10" t="str">
        <f>IF(tblSales[[#This Row],[Key]]="","",IFERROR(INDEX(ตารางรวม!$I:$I,MATCH(tblSales[[#This Row],[Key]],ตารางรวม!$Z:$Z,0))*tblSales[[#This Row],[จำนวนแก้ว]],0))</f>
        <v/>
      </c>
      <c r="W232" s="10" t="str">
        <f>IF(tblSales[[#This Row],[Key]]="","",IFERROR(INDEX(ตารางรวม!$J:$J,MATCH(tblSales[[#This Row],[Key]],ตารางรวม!$Z:$Z,0))*tblSales[[#This Row],[จำนวนแก้ว]],0))</f>
        <v/>
      </c>
      <c r="X232" s="10" t="str">
        <f>IF(tblSales[[#This Row],[Key]]="","",IFERROR(INDEX(ตารางรวม!$K:$K,MATCH(tblSales[[#This Row],[Key]],ตารางรวม!$Z:$Z,0))*tblSales[[#This Row],[จำนวนแก้ว]],0))</f>
        <v/>
      </c>
      <c r="Y232" s="10" t="str">
        <f>IF(tblSales[[#This Row],[Key]]="","",IFERROR(INDEX(ตารางรวม!$L:$L,MATCH(tblSales[[#This Row],[Key]],ตารางรวม!$Z:$Z,0))*tblSales[[#This Row],[จำนวนแก้ว]],0))</f>
        <v/>
      </c>
      <c r="Z23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2" s="10" t="str">
        <f>IF(tblSales[[#This Row],[Key]]="","",IF(tblSales[[#This Row],[ขนาด]]="16 oz",tblSales[[#This Row],[จำนวนแก้ว]],0))</f>
        <v/>
      </c>
      <c r="AI232" s="10" t="str">
        <f>IF(tblSales[[#This Row],[Key]]="","",IF(tblSales[[#This Row],[ขนาด]]="20 oz",tblSales[[#This Row],[จำนวนแก้ว]],0))</f>
        <v/>
      </c>
      <c r="AJ232" s="10" t="str">
        <f>IF(tblSales[[#This Row],[Key]]="","",IF(tblSales[[#This Row],[ขนาด]]="22 oz",tblSales[[#This Row],[จำนวนแก้ว]],0))</f>
        <v/>
      </c>
    </row>
    <row r="233" spans="1:36" x14ac:dyDescent="0.25">
      <c r="A233" s="4" t="str">
        <f>IF(tblSales[[#This Row],[วันที่]]="","","S"&amp;TEXT(tblSales[[#This Row],[วันที่]],"yymmdd")&amp;"-"&amp;TEXT(ROW()-5,"000"))</f>
        <v/>
      </c>
      <c r="B233" s="16"/>
      <c r="C233" s="6"/>
      <c r="D233" s="6"/>
      <c r="E233" s="20"/>
      <c r="F233" s="6"/>
      <c r="G233" s="6"/>
      <c r="H233" s="6"/>
      <c r="I233" s="6"/>
      <c r="J23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3" s="8" t="str">
        <f>IF(tblSales[[#This Row],[Key]]="","",IFERROR(INDEX(ตารางรวม!$W:$W,MATCH(tblSales[[#This Row],[Key]],ตารางรวม!$Z:$Z,0)),"ไม่พบสูตร"))</f>
        <v/>
      </c>
      <c r="L233" s="8" t="str">
        <f>IF(tblSales[[#This Row],[Key]]="","",IFERROR(INDEX(ตารางรวม!$V:$V,MATCH(tblSales[[#This Row],[Key]],ตารางรวม!$Z:$Z,0)),"ไม่พบสูตร"))</f>
        <v/>
      </c>
      <c r="M233" s="8" t="str">
        <f>IF(tblSales[[#This Row],[Key]]="","",IFERROR(tblSales[[#This Row],[ราคาต่อแก้ว]]*tblSales[[#This Row],[จำนวนแก้ว]],""))</f>
        <v/>
      </c>
      <c r="N233" s="8" t="str">
        <f>IF(tblSales[[#This Row],[Key]]="","",IFERROR(tblSales[[#This Row],[ต้นทุนต่อแก้ว]]*tblSales[[#This Row],[จำนวนแก้ว]],""))</f>
        <v/>
      </c>
      <c r="O233" s="8" t="str">
        <f>IF(tblSales[[#This Row],[Key]]="","",IFERROR(tblSales[[#This Row],[ยอดขาย (บาท)]]-tblSales[[#This Row],[ต้นทุนรวม (บาท)]],""))</f>
        <v/>
      </c>
      <c r="P233" s="21" t="str">
        <f>IF(tblSales[[#This Row],[Key]]="","",IFERROR(tblSales[[#This Row],[กำไร (บาท)]]/tblSales[[#This Row],[ยอดขาย (บาท)]],""))</f>
        <v/>
      </c>
      <c r="Q233" s="10" t="str">
        <f>IF(tblSales[[#This Row],[Key]]="","",IFERROR(INDEX(ตารางรวม!$D:$D,MATCH(tblSales[[#This Row],[Key]],ตารางรวม!$Z:$Z,0))*tblSales[[#This Row],[จำนวนแก้ว]],0))</f>
        <v/>
      </c>
      <c r="R233" s="10" t="str">
        <f>IF(tblSales[[#This Row],[Key]]="","",IFERROR(INDEX(ตารางรวม!$E:$E,MATCH(tblSales[[#This Row],[Key]],ตารางรวม!$Z:$Z,0))*tblSales[[#This Row],[จำนวนแก้ว]],0))</f>
        <v/>
      </c>
      <c r="S233" s="10" t="str">
        <f>IF(tblSales[[#This Row],[Key]]="","",IFERROR(INDEX(ตารางรวม!$F:$F,MATCH(tblSales[[#This Row],[Key]],ตารางรวม!$Z:$Z,0))*tblSales[[#This Row],[จำนวนแก้ว]],0))</f>
        <v/>
      </c>
      <c r="T233" s="10" t="str">
        <f>IF(tblSales[[#This Row],[Key]]="","",IFERROR(INDEX(ตารางรวม!$G:$G,MATCH(tblSales[[#This Row],[Key]],ตารางรวม!$Z:$Z,0))*tblSales[[#This Row],[จำนวนแก้ว]],0))</f>
        <v/>
      </c>
      <c r="U233" s="10" t="str">
        <f>IF(tblSales[[#This Row],[Key]]="","",IFERROR(INDEX(ตารางรวม!$H:$H,MATCH(tblSales[[#This Row],[Key]],ตารางรวม!$Z:$Z,0))*tblSales[[#This Row],[จำนวนแก้ว]],0))</f>
        <v/>
      </c>
      <c r="V233" s="10" t="str">
        <f>IF(tblSales[[#This Row],[Key]]="","",IFERROR(INDEX(ตารางรวม!$I:$I,MATCH(tblSales[[#This Row],[Key]],ตารางรวม!$Z:$Z,0))*tblSales[[#This Row],[จำนวนแก้ว]],0))</f>
        <v/>
      </c>
      <c r="W233" s="10" t="str">
        <f>IF(tblSales[[#This Row],[Key]]="","",IFERROR(INDEX(ตารางรวม!$J:$J,MATCH(tblSales[[#This Row],[Key]],ตารางรวม!$Z:$Z,0))*tblSales[[#This Row],[จำนวนแก้ว]],0))</f>
        <v/>
      </c>
      <c r="X233" s="10" t="str">
        <f>IF(tblSales[[#This Row],[Key]]="","",IFERROR(INDEX(ตารางรวม!$K:$K,MATCH(tblSales[[#This Row],[Key]],ตารางรวม!$Z:$Z,0))*tblSales[[#This Row],[จำนวนแก้ว]],0))</f>
        <v/>
      </c>
      <c r="Y233" s="10" t="str">
        <f>IF(tblSales[[#This Row],[Key]]="","",IFERROR(INDEX(ตารางรวม!$L:$L,MATCH(tblSales[[#This Row],[Key]],ตารางรวม!$Z:$Z,0))*tblSales[[#This Row],[จำนวนแก้ว]],0))</f>
        <v/>
      </c>
      <c r="Z23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3" s="10" t="str">
        <f>IF(tblSales[[#This Row],[Key]]="","",IF(tblSales[[#This Row],[ขนาด]]="16 oz",tblSales[[#This Row],[จำนวนแก้ว]],0))</f>
        <v/>
      </c>
      <c r="AI233" s="10" t="str">
        <f>IF(tblSales[[#This Row],[Key]]="","",IF(tblSales[[#This Row],[ขนาด]]="20 oz",tblSales[[#This Row],[จำนวนแก้ว]],0))</f>
        <v/>
      </c>
      <c r="AJ233" s="10" t="str">
        <f>IF(tblSales[[#This Row],[Key]]="","",IF(tblSales[[#This Row],[ขนาด]]="22 oz",tblSales[[#This Row],[จำนวนแก้ว]],0))</f>
        <v/>
      </c>
    </row>
    <row r="234" spans="1:36" x14ac:dyDescent="0.25">
      <c r="A234" s="4" t="str">
        <f>IF(tblSales[[#This Row],[วันที่]]="","","S"&amp;TEXT(tblSales[[#This Row],[วันที่]],"yymmdd")&amp;"-"&amp;TEXT(ROW()-5,"000"))</f>
        <v/>
      </c>
      <c r="B234" s="16"/>
      <c r="C234" s="6"/>
      <c r="D234" s="6"/>
      <c r="E234" s="20"/>
      <c r="F234" s="6"/>
      <c r="G234" s="6"/>
      <c r="H234" s="6"/>
      <c r="I234" s="6"/>
      <c r="J23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4" s="8" t="str">
        <f>IF(tblSales[[#This Row],[Key]]="","",IFERROR(INDEX(ตารางรวม!$W:$W,MATCH(tblSales[[#This Row],[Key]],ตารางรวม!$Z:$Z,0)),"ไม่พบสูตร"))</f>
        <v/>
      </c>
      <c r="L234" s="8" t="str">
        <f>IF(tblSales[[#This Row],[Key]]="","",IFERROR(INDEX(ตารางรวม!$V:$V,MATCH(tblSales[[#This Row],[Key]],ตารางรวม!$Z:$Z,0)),"ไม่พบสูตร"))</f>
        <v/>
      </c>
      <c r="M234" s="8" t="str">
        <f>IF(tblSales[[#This Row],[Key]]="","",IFERROR(tblSales[[#This Row],[ราคาต่อแก้ว]]*tblSales[[#This Row],[จำนวนแก้ว]],""))</f>
        <v/>
      </c>
      <c r="N234" s="8" t="str">
        <f>IF(tblSales[[#This Row],[Key]]="","",IFERROR(tblSales[[#This Row],[ต้นทุนต่อแก้ว]]*tblSales[[#This Row],[จำนวนแก้ว]],""))</f>
        <v/>
      </c>
      <c r="O234" s="8" t="str">
        <f>IF(tblSales[[#This Row],[Key]]="","",IFERROR(tblSales[[#This Row],[ยอดขาย (บาท)]]-tblSales[[#This Row],[ต้นทุนรวม (บาท)]],""))</f>
        <v/>
      </c>
      <c r="P234" s="21" t="str">
        <f>IF(tblSales[[#This Row],[Key]]="","",IFERROR(tblSales[[#This Row],[กำไร (บาท)]]/tblSales[[#This Row],[ยอดขาย (บาท)]],""))</f>
        <v/>
      </c>
      <c r="Q234" s="10" t="str">
        <f>IF(tblSales[[#This Row],[Key]]="","",IFERROR(INDEX(ตารางรวม!$D:$D,MATCH(tblSales[[#This Row],[Key]],ตารางรวม!$Z:$Z,0))*tblSales[[#This Row],[จำนวนแก้ว]],0))</f>
        <v/>
      </c>
      <c r="R234" s="10" t="str">
        <f>IF(tblSales[[#This Row],[Key]]="","",IFERROR(INDEX(ตารางรวม!$E:$E,MATCH(tblSales[[#This Row],[Key]],ตารางรวม!$Z:$Z,0))*tblSales[[#This Row],[จำนวนแก้ว]],0))</f>
        <v/>
      </c>
      <c r="S234" s="10" t="str">
        <f>IF(tblSales[[#This Row],[Key]]="","",IFERROR(INDEX(ตารางรวม!$F:$F,MATCH(tblSales[[#This Row],[Key]],ตารางรวม!$Z:$Z,0))*tblSales[[#This Row],[จำนวนแก้ว]],0))</f>
        <v/>
      </c>
      <c r="T234" s="10" t="str">
        <f>IF(tblSales[[#This Row],[Key]]="","",IFERROR(INDEX(ตารางรวม!$G:$G,MATCH(tblSales[[#This Row],[Key]],ตารางรวม!$Z:$Z,0))*tblSales[[#This Row],[จำนวนแก้ว]],0))</f>
        <v/>
      </c>
      <c r="U234" s="10" t="str">
        <f>IF(tblSales[[#This Row],[Key]]="","",IFERROR(INDEX(ตารางรวม!$H:$H,MATCH(tblSales[[#This Row],[Key]],ตารางรวม!$Z:$Z,0))*tblSales[[#This Row],[จำนวนแก้ว]],0))</f>
        <v/>
      </c>
      <c r="V234" s="10" t="str">
        <f>IF(tblSales[[#This Row],[Key]]="","",IFERROR(INDEX(ตารางรวม!$I:$I,MATCH(tblSales[[#This Row],[Key]],ตารางรวม!$Z:$Z,0))*tblSales[[#This Row],[จำนวนแก้ว]],0))</f>
        <v/>
      </c>
      <c r="W234" s="10" t="str">
        <f>IF(tblSales[[#This Row],[Key]]="","",IFERROR(INDEX(ตารางรวม!$J:$J,MATCH(tblSales[[#This Row],[Key]],ตารางรวม!$Z:$Z,0))*tblSales[[#This Row],[จำนวนแก้ว]],0))</f>
        <v/>
      </c>
      <c r="X234" s="10" t="str">
        <f>IF(tblSales[[#This Row],[Key]]="","",IFERROR(INDEX(ตารางรวม!$K:$K,MATCH(tblSales[[#This Row],[Key]],ตารางรวม!$Z:$Z,0))*tblSales[[#This Row],[จำนวนแก้ว]],0))</f>
        <v/>
      </c>
      <c r="Y234" s="10" t="str">
        <f>IF(tblSales[[#This Row],[Key]]="","",IFERROR(INDEX(ตารางรวม!$L:$L,MATCH(tblSales[[#This Row],[Key]],ตารางรวม!$Z:$Z,0))*tblSales[[#This Row],[จำนวนแก้ว]],0))</f>
        <v/>
      </c>
      <c r="Z23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4" s="10" t="str">
        <f>IF(tblSales[[#This Row],[Key]]="","",IF(tblSales[[#This Row],[ขนาด]]="16 oz",tblSales[[#This Row],[จำนวนแก้ว]],0))</f>
        <v/>
      </c>
      <c r="AI234" s="10" t="str">
        <f>IF(tblSales[[#This Row],[Key]]="","",IF(tblSales[[#This Row],[ขนาด]]="20 oz",tblSales[[#This Row],[จำนวนแก้ว]],0))</f>
        <v/>
      </c>
      <c r="AJ234" s="10" t="str">
        <f>IF(tblSales[[#This Row],[Key]]="","",IF(tblSales[[#This Row],[ขนาด]]="22 oz",tblSales[[#This Row],[จำนวนแก้ว]],0))</f>
        <v/>
      </c>
    </row>
    <row r="235" spans="1:36" x14ac:dyDescent="0.25">
      <c r="A235" s="4" t="str">
        <f>IF(tblSales[[#This Row],[วันที่]]="","","S"&amp;TEXT(tblSales[[#This Row],[วันที่]],"yymmdd")&amp;"-"&amp;TEXT(ROW()-5,"000"))</f>
        <v/>
      </c>
      <c r="B235" s="16"/>
      <c r="C235" s="6"/>
      <c r="D235" s="6"/>
      <c r="E235" s="20"/>
      <c r="F235" s="6"/>
      <c r="G235" s="6"/>
      <c r="H235" s="6"/>
      <c r="I235" s="6"/>
      <c r="J23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5" s="8" t="str">
        <f>IF(tblSales[[#This Row],[Key]]="","",IFERROR(INDEX(ตารางรวม!$W:$W,MATCH(tblSales[[#This Row],[Key]],ตารางรวม!$Z:$Z,0)),"ไม่พบสูตร"))</f>
        <v/>
      </c>
      <c r="L235" s="8" t="str">
        <f>IF(tblSales[[#This Row],[Key]]="","",IFERROR(INDEX(ตารางรวม!$V:$V,MATCH(tblSales[[#This Row],[Key]],ตารางรวม!$Z:$Z,0)),"ไม่พบสูตร"))</f>
        <v/>
      </c>
      <c r="M235" s="8" t="str">
        <f>IF(tblSales[[#This Row],[Key]]="","",IFERROR(tblSales[[#This Row],[ราคาต่อแก้ว]]*tblSales[[#This Row],[จำนวนแก้ว]],""))</f>
        <v/>
      </c>
      <c r="N235" s="8" t="str">
        <f>IF(tblSales[[#This Row],[Key]]="","",IFERROR(tblSales[[#This Row],[ต้นทุนต่อแก้ว]]*tblSales[[#This Row],[จำนวนแก้ว]],""))</f>
        <v/>
      </c>
      <c r="O235" s="8" t="str">
        <f>IF(tblSales[[#This Row],[Key]]="","",IFERROR(tblSales[[#This Row],[ยอดขาย (บาท)]]-tblSales[[#This Row],[ต้นทุนรวม (บาท)]],""))</f>
        <v/>
      </c>
      <c r="P235" s="21" t="str">
        <f>IF(tblSales[[#This Row],[Key]]="","",IFERROR(tblSales[[#This Row],[กำไร (บาท)]]/tblSales[[#This Row],[ยอดขาย (บาท)]],""))</f>
        <v/>
      </c>
      <c r="Q235" s="10" t="str">
        <f>IF(tblSales[[#This Row],[Key]]="","",IFERROR(INDEX(ตารางรวม!$D:$D,MATCH(tblSales[[#This Row],[Key]],ตารางรวม!$Z:$Z,0))*tblSales[[#This Row],[จำนวนแก้ว]],0))</f>
        <v/>
      </c>
      <c r="R235" s="10" t="str">
        <f>IF(tblSales[[#This Row],[Key]]="","",IFERROR(INDEX(ตารางรวม!$E:$E,MATCH(tblSales[[#This Row],[Key]],ตารางรวม!$Z:$Z,0))*tblSales[[#This Row],[จำนวนแก้ว]],0))</f>
        <v/>
      </c>
      <c r="S235" s="10" t="str">
        <f>IF(tblSales[[#This Row],[Key]]="","",IFERROR(INDEX(ตารางรวม!$F:$F,MATCH(tblSales[[#This Row],[Key]],ตารางรวม!$Z:$Z,0))*tblSales[[#This Row],[จำนวนแก้ว]],0))</f>
        <v/>
      </c>
      <c r="T235" s="10" t="str">
        <f>IF(tblSales[[#This Row],[Key]]="","",IFERROR(INDEX(ตารางรวม!$G:$G,MATCH(tblSales[[#This Row],[Key]],ตารางรวม!$Z:$Z,0))*tblSales[[#This Row],[จำนวนแก้ว]],0))</f>
        <v/>
      </c>
      <c r="U235" s="10" t="str">
        <f>IF(tblSales[[#This Row],[Key]]="","",IFERROR(INDEX(ตารางรวม!$H:$H,MATCH(tblSales[[#This Row],[Key]],ตารางรวม!$Z:$Z,0))*tblSales[[#This Row],[จำนวนแก้ว]],0))</f>
        <v/>
      </c>
      <c r="V235" s="10" t="str">
        <f>IF(tblSales[[#This Row],[Key]]="","",IFERROR(INDEX(ตารางรวม!$I:$I,MATCH(tblSales[[#This Row],[Key]],ตารางรวม!$Z:$Z,0))*tblSales[[#This Row],[จำนวนแก้ว]],0))</f>
        <v/>
      </c>
      <c r="W235" s="10" t="str">
        <f>IF(tblSales[[#This Row],[Key]]="","",IFERROR(INDEX(ตารางรวม!$J:$J,MATCH(tblSales[[#This Row],[Key]],ตารางรวม!$Z:$Z,0))*tblSales[[#This Row],[จำนวนแก้ว]],0))</f>
        <v/>
      </c>
      <c r="X235" s="10" t="str">
        <f>IF(tblSales[[#This Row],[Key]]="","",IFERROR(INDEX(ตารางรวม!$K:$K,MATCH(tblSales[[#This Row],[Key]],ตารางรวม!$Z:$Z,0))*tblSales[[#This Row],[จำนวนแก้ว]],0))</f>
        <v/>
      </c>
      <c r="Y235" s="10" t="str">
        <f>IF(tblSales[[#This Row],[Key]]="","",IFERROR(INDEX(ตารางรวม!$L:$L,MATCH(tblSales[[#This Row],[Key]],ตารางรวม!$Z:$Z,0))*tblSales[[#This Row],[จำนวนแก้ว]],0))</f>
        <v/>
      </c>
      <c r="Z23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5" s="10" t="str">
        <f>IF(tblSales[[#This Row],[Key]]="","",IF(tblSales[[#This Row],[ขนาด]]="16 oz",tblSales[[#This Row],[จำนวนแก้ว]],0))</f>
        <v/>
      </c>
      <c r="AI235" s="10" t="str">
        <f>IF(tblSales[[#This Row],[Key]]="","",IF(tblSales[[#This Row],[ขนาด]]="20 oz",tblSales[[#This Row],[จำนวนแก้ว]],0))</f>
        <v/>
      </c>
      <c r="AJ235" s="10" t="str">
        <f>IF(tblSales[[#This Row],[Key]]="","",IF(tblSales[[#This Row],[ขนาด]]="22 oz",tblSales[[#This Row],[จำนวนแก้ว]],0))</f>
        <v/>
      </c>
    </row>
    <row r="236" spans="1:36" x14ac:dyDescent="0.25">
      <c r="A236" s="4" t="str">
        <f>IF(tblSales[[#This Row],[วันที่]]="","","S"&amp;TEXT(tblSales[[#This Row],[วันที่]],"yymmdd")&amp;"-"&amp;TEXT(ROW()-5,"000"))</f>
        <v/>
      </c>
      <c r="B236" s="16"/>
      <c r="C236" s="6"/>
      <c r="D236" s="6"/>
      <c r="E236" s="20"/>
      <c r="F236" s="6"/>
      <c r="G236" s="6"/>
      <c r="H236" s="6"/>
      <c r="I236" s="6"/>
      <c r="J23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6" s="8" t="str">
        <f>IF(tblSales[[#This Row],[Key]]="","",IFERROR(INDEX(ตารางรวม!$W:$W,MATCH(tblSales[[#This Row],[Key]],ตารางรวม!$Z:$Z,0)),"ไม่พบสูตร"))</f>
        <v/>
      </c>
      <c r="L236" s="8" t="str">
        <f>IF(tblSales[[#This Row],[Key]]="","",IFERROR(INDEX(ตารางรวม!$V:$V,MATCH(tblSales[[#This Row],[Key]],ตารางรวม!$Z:$Z,0)),"ไม่พบสูตร"))</f>
        <v/>
      </c>
      <c r="M236" s="8" t="str">
        <f>IF(tblSales[[#This Row],[Key]]="","",IFERROR(tblSales[[#This Row],[ราคาต่อแก้ว]]*tblSales[[#This Row],[จำนวนแก้ว]],""))</f>
        <v/>
      </c>
      <c r="N236" s="8" t="str">
        <f>IF(tblSales[[#This Row],[Key]]="","",IFERROR(tblSales[[#This Row],[ต้นทุนต่อแก้ว]]*tblSales[[#This Row],[จำนวนแก้ว]],""))</f>
        <v/>
      </c>
      <c r="O236" s="8" t="str">
        <f>IF(tblSales[[#This Row],[Key]]="","",IFERROR(tblSales[[#This Row],[ยอดขาย (บาท)]]-tblSales[[#This Row],[ต้นทุนรวม (บาท)]],""))</f>
        <v/>
      </c>
      <c r="P236" s="21" t="str">
        <f>IF(tblSales[[#This Row],[Key]]="","",IFERROR(tblSales[[#This Row],[กำไร (บาท)]]/tblSales[[#This Row],[ยอดขาย (บาท)]],""))</f>
        <v/>
      </c>
      <c r="Q236" s="10" t="str">
        <f>IF(tblSales[[#This Row],[Key]]="","",IFERROR(INDEX(ตารางรวม!$D:$D,MATCH(tblSales[[#This Row],[Key]],ตารางรวม!$Z:$Z,0))*tblSales[[#This Row],[จำนวนแก้ว]],0))</f>
        <v/>
      </c>
      <c r="R236" s="10" t="str">
        <f>IF(tblSales[[#This Row],[Key]]="","",IFERROR(INDEX(ตารางรวม!$E:$E,MATCH(tblSales[[#This Row],[Key]],ตารางรวม!$Z:$Z,0))*tblSales[[#This Row],[จำนวนแก้ว]],0))</f>
        <v/>
      </c>
      <c r="S236" s="10" t="str">
        <f>IF(tblSales[[#This Row],[Key]]="","",IFERROR(INDEX(ตารางรวม!$F:$F,MATCH(tblSales[[#This Row],[Key]],ตารางรวม!$Z:$Z,0))*tblSales[[#This Row],[จำนวนแก้ว]],0))</f>
        <v/>
      </c>
      <c r="T236" s="10" t="str">
        <f>IF(tblSales[[#This Row],[Key]]="","",IFERROR(INDEX(ตารางรวม!$G:$G,MATCH(tblSales[[#This Row],[Key]],ตารางรวม!$Z:$Z,0))*tblSales[[#This Row],[จำนวนแก้ว]],0))</f>
        <v/>
      </c>
      <c r="U236" s="10" t="str">
        <f>IF(tblSales[[#This Row],[Key]]="","",IFERROR(INDEX(ตารางรวม!$H:$H,MATCH(tblSales[[#This Row],[Key]],ตารางรวม!$Z:$Z,0))*tblSales[[#This Row],[จำนวนแก้ว]],0))</f>
        <v/>
      </c>
      <c r="V236" s="10" t="str">
        <f>IF(tblSales[[#This Row],[Key]]="","",IFERROR(INDEX(ตารางรวม!$I:$I,MATCH(tblSales[[#This Row],[Key]],ตารางรวม!$Z:$Z,0))*tblSales[[#This Row],[จำนวนแก้ว]],0))</f>
        <v/>
      </c>
      <c r="W236" s="10" t="str">
        <f>IF(tblSales[[#This Row],[Key]]="","",IFERROR(INDEX(ตารางรวม!$J:$J,MATCH(tblSales[[#This Row],[Key]],ตารางรวม!$Z:$Z,0))*tblSales[[#This Row],[จำนวนแก้ว]],0))</f>
        <v/>
      </c>
      <c r="X236" s="10" t="str">
        <f>IF(tblSales[[#This Row],[Key]]="","",IFERROR(INDEX(ตารางรวม!$K:$K,MATCH(tblSales[[#This Row],[Key]],ตารางรวม!$Z:$Z,0))*tblSales[[#This Row],[จำนวนแก้ว]],0))</f>
        <v/>
      </c>
      <c r="Y236" s="10" t="str">
        <f>IF(tblSales[[#This Row],[Key]]="","",IFERROR(INDEX(ตารางรวม!$L:$L,MATCH(tblSales[[#This Row],[Key]],ตารางรวม!$Z:$Z,0))*tblSales[[#This Row],[จำนวนแก้ว]],0))</f>
        <v/>
      </c>
      <c r="Z23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6" s="10" t="str">
        <f>IF(tblSales[[#This Row],[Key]]="","",IF(tblSales[[#This Row],[ขนาด]]="16 oz",tblSales[[#This Row],[จำนวนแก้ว]],0))</f>
        <v/>
      </c>
      <c r="AI236" s="10" t="str">
        <f>IF(tblSales[[#This Row],[Key]]="","",IF(tblSales[[#This Row],[ขนาด]]="20 oz",tblSales[[#This Row],[จำนวนแก้ว]],0))</f>
        <v/>
      </c>
      <c r="AJ236" s="10" t="str">
        <f>IF(tblSales[[#This Row],[Key]]="","",IF(tblSales[[#This Row],[ขนาด]]="22 oz",tblSales[[#This Row],[จำนวนแก้ว]],0))</f>
        <v/>
      </c>
    </row>
    <row r="237" spans="1:36" x14ac:dyDescent="0.25">
      <c r="A237" s="4" t="str">
        <f>IF(tblSales[[#This Row],[วันที่]]="","","S"&amp;TEXT(tblSales[[#This Row],[วันที่]],"yymmdd")&amp;"-"&amp;TEXT(ROW()-5,"000"))</f>
        <v/>
      </c>
      <c r="B237" s="16"/>
      <c r="C237" s="6"/>
      <c r="D237" s="6"/>
      <c r="E237" s="20"/>
      <c r="F237" s="6"/>
      <c r="G237" s="6"/>
      <c r="H237" s="6"/>
      <c r="I237" s="6"/>
      <c r="J23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7" s="8" t="str">
        <f>IF(tblSales[[#This Row],[Key]]="","",IFERROR(INDEX(ตารางรวม!$W:$W,MATCH(tblSales[[#This Row],[Key]],ตารางรวม!$Z:$Z,0)),"ไม่พบสูตร"))</f>
        <v/>
      </c>
      <c r="L237" s="8" t="str">
        <f>IF(tblSales[[#This Row],[Key]]="","",IFERROR(INDEX(ตารางรวม!$V:$V,MATCH(tblSales[[#This Row],[Key]],ตารางรวม!$Z:$Z,0)),"ไม่พบสูตร"))</f>
        <v/>
      </c>
      <c r="M237" s="8" t="str">
        <f>IF(tblSales[[#This Row],[Key]]="","",IFERROR(tblSales[[#This Row],[ราคาต่อแก้ว]]*tblSales[[#This Row],[จำนวนแก้ว]],""))</f>
        <v/>
      </c>
      <c r="N237" s="8" t="str">
        <f>IF(tblSales[[#This Row],[Key]]="","",IFERROR(tblSales[[#This Row],[ต้นทุนต่อแก้ว]]*tblSales[[#This Row],[จำนวนแก้ว]],""))</f>
        <v/>
      </c>
      <c r="O237" s="8" t="str">
        <f>IF(tblSales[[#This Row],[Key]]="","",IFERROR(tblSales[[#This Row],[ยอดขาย (บาท)]]-tblSales[[#This Row],[ต้นทุนรวม (บาท)]],""))</f>
        <v/>
      </c>
      <c r="P237" s="21" t="str">
        <f>IF(tblSales[[#This Row],[Key]]="","",IFERROR(tblSales[[#This Row],[กำไร (บาท)]]/tblSales[[#This Row],[ยอดขาย (บาท)]],""))</f>
        <v/>
      </c>
      <c r="Q237" s="10" t="str">
        <f>IF(tblSales[[#This Row],[Key]]="","",IFERROR(INDEX(ตารางรวม!$D:$D,MATCH(tblSales[[#This Row],[Key]],ตารางรวม!$Z:$Z,0))*tblSales[[#This Row],[จำนวนแก้ว]],0))</f>
        <v/>
      </c>
      <c r="R237" s="10" t="str">
        <f>IF(tblSales[[#This Row],[Key]]="","",IFERROR(INDEX(ตารางรวม!$E:$E,MATCH(tblSales[[#This Row],[Key]],ตารางรวม!$Z:$Z,0))*tblSales[[#This Row],[จำนวนแก้ว]],0))</f>
        <v/>
      </c>
      <c r="S237" s="10" t="str">
        <f>IF(tblSales[[#This Row],[Key]]="","",IFERROR(INDEX(ตารางรวม!$F:$F,MATCH(tblSales[[#This Row],[Key]],ตารางรวม!$Z:$Z,0))*tblSales[[#This Row],[จำนวนแก้ว]],0))</f>
        <v/>
      </c>
      <c r="T237" s="10" t="str">
        <f>IF(tblSales[[#This Row],[Key]]="","",IFERROR(INDEX(ตารางรวม!$G:$G,MATCH(tblSales[[#This Row],[Key]],ตารางรวม!$Z:$Z,0))*tblSales[[#This Row],[จำนวนแก้ว]],0))</f>
        <v/>
      </c>
      <c r="U237" s="10" t="str">
        <f>IF(tblSales[[#This Row],[Key]]="","",IFERROR(INDEX(ตารางรวม!$H:$H,MATCH(tblSales[[#This Row],[Key]],ตารางรวม!$Z:$Z,0))*tblSales[[#This Row],[จำนวนแก้ว]],0))</f>
        <v/>
      </c>
      <c r="V237" s="10" t="str">
        <f>IF(tblSales[[#This Row],[Key]]="","",IFERROR(INDEX(ตารางรวม!$I:$I,MATCH(tblSales[[#This Row],[Key]],ตารางรวม!$Z:$Z,0))*tblSales[[#This Row],[จำนวนแก้ว]],0))</f>
        <v/>
      </c>
      <c r="W237" s="10" t="str">
        <f>IF(tblSales[[#This Row],[Key]]="","",IFERROR(INDEX(ตารางรวม!$J:$J,MATCH(tblSales[[#This Row],[Key]],ตารางรวม!$Z:$Z,0))*tblSales[[#This Row],[จำนวนแก้ว]],0))</f>
        <v/>
      </c>
      <c r="X237" s="10" t="str">
        <f>IF(tblSales[[#This Row],[Key]]="","",IFERROR(INDEX(ตารางรวม!$K:$K,MATCH(tblSales[[#This Row],[Key]],ตารางรวม!$Z:$Z,0))*tblSales[[#This Row],[จำนวนแก้ว]],0))</f>
        <v/>
      </c>
      <c r="Y237" s="10" t="str">
        <f>IF(tblSales[[#This Row],[Key]]="","",IFERROR(INDEX(ตารางรวม!$L:$L,MATCH(tblSales[[#This Row],[Key]],ตารางรวม!$Z:$Z,0))*tblSales[[#This Row],[จำนวนแก้ว]],0))</f>
        <v/>
      </c>
      <c r="Z23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7" s="10" t="str">
        <f>IF(tblSales[[#This Row],[Key]]="","",IF(tblSales[[#This Row],[ขนาด]]="16 oz",tblSales[[#This Row],[จำนวนแก้ว]],0))</f>
        <v/>
      </c>
      <c r="AI237" s="10" t="str">
        <f>IF(tblSales[[#This Row],[Key]]="","",IF(tblSales[[#This Row],[ขนาด]]="20 oz",tblSales[[#This Row],[จำนวนแก้ว]],0))</f>
        <v/>
      </c>
      <c r="AJ237" s="10" t="str">
        <f>IF(tblSales[[#This Row],[Key]]="","",IF(tblSales[[#This Row],[ขนาด]]="22 oz",tblSales[[#This Row],[จำนวนแก้ว]],0))</f>
        <v/>
      </c>
    </row>
    <row r="238" spans="1:36" x14ac:dyDescent="0.25">
      <c r="A238" s="4" t="str">
        <f>IF(tblSales[[#This Row],[วันที่]]="","","S"&amp;TEXT(tblSales[[#This Row],[วันที่]],"yymmdd")&amp;"-"&amp;TEXT(ROW()-5,"000"))</f>
        <v/>
      </c>
      <c r="B238" s="16"/>
      <c r="C238" s="6"/>
      <c r="D238" s="6"/>
      <c r="E238" s="20"/>
      <c r="F238" s="6"/>
      <c r="G238" s="6"/>
      <c r="H238" s="6"/>
      <c r="I238" s="6"/>
      <c r="J23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8" s="8" t="str">
        <f>IF(tblSales[[#This Row],[Key]]="","",IFERROR(INDEX(ตารางรวม!$W:$W,MATCH(tblSales[[#This Row],[Key]],ตารางรวม!$Z:$Z,0)),"ไม่พบสูตร"))</f>
        <v/>
      </c>
      <c r="L238" s="8" t="str">
        <f>IF(tblSales[[#This Row],[Key]]="","",IFERROR(INDEX(ตารางรวม!$V:$V,MATCH(tblSales[[#This Row],[Key]],ตารางรวม!$Z:$Z,0)),"ไม่พบสูตร"))</f>
        <v/>
      </c>
      <c r="M238" s="8" t="str">
        <f>IF(tblSales[[#This Row],[Key]]="","",IFERROR(tblSales[[#This Row],[ราคาต่อแก้ว]]*tblSales[[#This Row],[จำนวนแก้ว]],""))</f>
        <v/>
      </c>
      <c r="N238" s="8" t="str">
        <f>IF(tblSales[[#This Row],[Key]]="","",IFERROR(tblSales[[#This Row],[ต้นทุนต่อแก้ว]]*tblSales[[#This Row],[จำนวนแก้ว]],""))</f>
        <v/>
      </c>
      <c r="O238" s="8" t="str">
        <f>IF(tblSales[[#This Row],[Key]]="","",IFERROR(tblSales[[#This Row],[ยอดขาย (บาท)]]-tblSales[[#This Row],[ต้นทุนรวม (บาท)]],""))</f>
        <v/>
      </c>
      <c r="P238" s="21" t="str">
        <f>IF(tblSales[[#This Row],[Key]]="","",IFERROR(tblSales[[#This Row],[กำไร (บาท)]]/tblSales[[#This Row],[ยอดขาย (บาท)]],""))</f>
        <v/>
      </c>
      <c r="Q238" s="10" t="str">
        <f>IF(tblSales[[#This Row],[Key]]="","",IFERROR(INDEX(ตารางรวม!$D:$D,MATCH(tblSales[[#This Row],[Key]],ตารางรวม!$Z:$Z,0))*tblSales[[#This Row],[จำนวนแก้ว]],0))</f>
        <v/>
      </c>
      <c r="R238" s="10" t="str">
        <f>IF(tblSales[[#This Row],[Key]]="","",IFERROR(INDEX(ตารางรวม!$E:$E,MATCH(tblSales[[#This Row],[Key]],ตารางรวม!$Z:$Z,0))*tblSales[[#This Row],[จำนวนแก้ว]],0))</f>
        <v/>
      </c>
      <c r="S238" s="10" t="str">
        <f>IF(tblSales[[#This Row],[Key]]="","",IFERROR(INDEX(ตารางรวม!$F:$F,MATCH(tblSales[[#This Row],[Key]],ตารางรวม!$Z:$Z,0))*tblSales[[#This Row],[จำนวนแก้ว]],0))</f>
        <v/>
      </c>
      <c r="T238" s="10" t="str">
        <f>IF(tblSales[[#This Row],[Key]]="","",IFERROR(INDEX(ตารางรวม!$G:$G,MATCH(tblSales[[#This Row],[Key]],ตารางรวม!$Z:$Z,0))*tblSales[[#This Row],[จำนวนแก้ว]],0))</f>
        <v/>
      </c>
      <c r="U238" s="10" t="str">
        <f>IF(tblSales[[#This Row],[Key]]="","",IFERROR(INDEX(ตารางรวม!$H:$H,MATCH(tblSales[[#This Row],[Key]],ตารางรวม!$Z:$Z,0))*tblSales[[#This Row],[จำนวนแก้ว]],0))</f>
        <v/>
      </c>
      <c r="V238" s="10" t="str">
        <f>IF(tblSales[[#This Row],[Key]]="","",IFERROR(INDEX(ตารางรวม!$I:$I,MATCH(tblSales[[#This Row],[Key]],ตารางรวม!$Z:$Z,0))*tblSales[[#This Row],[จำนวนแก้ว]],0))</f>
        <v/>
      </c>
      <c r="W238" s="10" t="str">
        <f>IF(tblSales[[#This Row],[Key]]="","",IFERROR(INDEX(ตารางรวม!$J:$J,MATCH(tblSales[[#This Row],[Key]],ตารางรวม!$Z:$Z,0))*tblSales[[#This Row],[จำนวนแก้ว]],0))</f>
        <v/>
      </c>
      <c r="X238" s="10" t="str">
        <f>IF(tblSales[[#This Row],[Key]]="","",IFERROR(INDEX(ตารางรวม!$K:$K,MATCH(tblSales[[#This Row],[Key]],ตารางรวม!$Z:$Z,0))*tblSales[[#This Row],[จำนวนแก้ว]],0))</f>
        <v/>
      </c>
      <c r="Y238" s="10" t="str">
        <f>IF(tblSales[[#This Row],[Key]]="","",IFERROR(INDEX(ตารางรวม!$L:$L,MATCH(tblSales[[#This Row],[Key]],ตารางรวม!$Z:$Z,0))*tblSales[[#This Row],[จำนวนแก้ว]],0))</f>
        <v/>
      </c>
      <c r="Z23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8" s="10" t="str">
        <f>IF(tblSales[[#This Row],[Key]]="","",IF(tblSales[[#This Row],[ขนาด]]="16 oz",tblSales[[#This Row],[จำนวนแก้ว]],0))</f>
        <v/>
      </c>
      <c r="AI238" s="10" t="str">
        <f>IF(tblSales[[#This Row],[Key]]="","",IF(tblSales[[#This Row],[ขนาด]]="20 oz",tblSales[[#This Row],[จำนวนแก้ว]],0))</f>
        <v/>
      </c>
      <c r="AJ238" s="10" t="str">
        <f>IF(tblSales[[#This Row],[Key]]="","",IF(tblSales[[#This Row],[ขนาด]]="22 oz",tblSales[[#This Row],[จำนวนแก้ว]],0))</f>
        <v/>
      </c>
    </row>
    <row r="239" spans="1:36" x14ac:dyDescent="0.25">
      <c r="A239" s="4" t="str">
        <f>IF(tblSales[[#This Row],[วันที่]]="","","S"&amp;TEXT(tblSales[[#This Row],[วันที่]],"yymmdd")&amp;"-"&amp;TEXT(ROW()-5,"000"))</f>
        <v/>
      </c>
      <c r="B239" s="16"/>
      <c r="C239" s="6"/>
      <c r="D239" s="6"/>
      <c r="E239" s="20"/>
      <c r="F239" s="6"/>
      <c r="G239" s="6"/>
      <c r="H239" s="6"/>
      <c r="I239" s="6"/>
      <c r="J23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39" s="8" t="str">
        <f>IF(tblSales[[#This Row],[Key]]="","",IFERROR(INDEX(ตารางรวม!$W:$W,MATCH(tblSales[[#This Row],[Key]],ตารางรวม!$Z:$Z,0)),"ไม่พบสูตร"))</f>
        <v/>
      </c>
      <c r="L239" s="8" t="str">
        <f>IF(tblSales[[#This Row],[Key]]="","",IFERROR(INDEX(ตารางรวม!$V:$V,MATCH(tblSales[[#This Row],[Key]],ตารางรวม!$Z:$Z,0)),"ไม่พบสูตร"))</f>
        <v/>
      </c>
      <c r="M239" s="8" t="str">
        <f>IF(tblSales[[#This Row],[Key]]="","",IFERROR(tblSales[[#This Row],[ราคาต่อแก้ว]]*tblSales[[#This Row],[จำนวนแก้ว]],""))</f>
        <v/>
      </c>
      <c r="N239" s="8" t="str">
        <f>IF(tblSales[[#This Row],[Key]]="","",IFERROR(tblSales[[#This Row],[ต้นทุนต่อแก้ว]]*tblSales[[#This Row],[จำนวนแก้ว]],""))</f>
        <v/>
      </c>
      <c r="O239" s="8" t="str">
        <f>IF(tblSales[[#This Row],[Key]]="","",IFERROR(tblSales[[#This Row],[ยอดขาย (บาท)]]-tblSales[[#This Row],[ต้นทุนรวม (บาท)]],""))</f>
        <v/>
      </c>
      <c r="P239" s="21" t="str">
        <f>IF(tblSales[[#This Row],[Key]]="","",IFERROR(tblSales[[#This Row],[กำไร (บาท)]]/tblSales[[#This Row],[ยอดขาย (บาท)]],""))</f>
        <v/>
      </c>
      <c r="Q239" s="10" t="str">
        <f>IF(tblSales[[#This Row],[Key]]="","",IFERROR(INDEX(ตารางรวม!$D:$D,MATCH(tblSales[[#This Row],[Key]],ตารางรวม!$Z:$Z,0))*tblSales[[#This Row],[จำนวนแก้ว]],0))</f>
        <v/>
      </c>
      <c r="R239" s="10" t="str">
        <f>IF(tblSales[[#This Row],[Key]]="","",IFERROR(INDEX(ตารางรวม!$E:$E,MATCH(tblSales[[#This Row],[Key]],ตารางรวม!$Z:$Z,0))*tblSales[[#This Row],[จำนวนแก้ว]],0))</f>
        <v/>
      </c>
      <c r="S239" s="10" t="str">
        <f>IF(tblSales[[#This Row],[Key]]="","",IFERROR(INDEX(ตารางรวม!$F:$F,MATCH(tblSales[[#This Row],[Key]],ตารางรวม!$Z:$Z,0))*tblSales[[#This Row],[จำนวนแก้ว]],0))</f>
        <v/>
      </c>
      <c r="T239" s="10" t="str">
        <f>IF(tblSales[[#This Row],[Key]]="","",IFERROR(INDEX(ตารางรวม!$G:$G,MATCH(tblSales[[#This Row],[Key]],ตารางรวม!$Z:$Z,0))*tblSales[[#This Row],[จำนวนแก้ว]],0))</f>
        <v/>
      </c>
      <c r="U239" s="10" t="str">
        <f>IF(tblSales[[#This Row],[Key]]="","",IFERROR(INDEX(ตารางรวม!$H:$H,MATCH(tblSales[[#This Row],[Key]],ตารางรวม!$Z:$Z,0))*tblSales[[#This Row],[จำนวนแก้ว]],0))</f>
        <v/>
      </c>
      <c r="V239" s="10" t="str">
        <f>IF(tblSales[[#This Row],[Key]]="","",IFERROR(INDEX(ตารางรวม!$I:$I,MATCH(tblSales[[#This Row],[Key]],ตารางรวม!$Z:$Z,0))*tblSales[[#This Row],[จำนวนแก้ว]],0))</f>
        <v/>
      </c>
      <c r="W239" s="10" t="str">
        <f>IF(tblSales[[#This Row],[Key]]="","",IFERROR(INDEX(ตารางรวม!$J:$J,MATCH(tblSales[[#This Row],[Key]],ตารางรวม!$Z:$Z,0))*tblSales[[#This Row],[จำนวนแก้ว]],0))</f>
        <v/>
      </c>
      <c r="X239" s="10" t="str">
        <f>IF(tblSales[[#This Row],[Key]]="","",IFERROR(INDEX(ตารางรวม!$K:$K,MATCH(tblSales[[#This Row],[Key]],ตารางรวม!$Z:$Z,0))*tblSales[[#This Row],[จำนวนแก้ว]],0))</f>
        <v/>
      </c>
      <c r="Y239" s="10" t="str">
        <f>IF(tblSales[[#This Row],[Key]]="","",IFERROR(INDEX(ตารางรวม!$L:$L,MATCH(tblSales[[#This Row],[Key]],ตารางรวม!$Z:$Z,0))*tblSales[[#This Row],[จำนวนแก้ว]],0))</f>
        <v/>
      </c>
      <c r="Z23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3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3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3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3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3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3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3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39" s="10" t="str">
        <f>IF(tblSales[[#This Row],[Key]]="","",IF(tblSales[[#This Row],[ขนาด]]="16 oz",tblSales[[#This Row],[จำนวนแก้ว]],0))</f>
        <v/>
      </c>
      <c r="AI239" s="10" t="str">
        <f>IF(tblSales[[#This Row],[Key]]="","",IF(tblSales[[#This Row],[ขนาด]]="20 oz",tblSales[[#This Row],[จำนวนแก้ว]],0))</f>
        <v/>
      </c>
      <c r="AJ239" s="10" t="str">
        <f>IF(tblSales[[#This Row],[Key]]="","",IF(tblSales[[#This Row],[ขนาด]]="22 oz",tblSales[[#This Row],[จำนวนแก้ว]],0))</f>
        <v/>
      </c>
    </row>
    <row r="240" spans="1:36" x14ac:dyDescent="0.25">
      <c r="A240" s="4" t="str">
        <f>IF(tblSales[[#This Row],[วันที่]]="","","S"&amp;TEXT(tblSales[[#This Row],[วันที่]],"yymmdd")&amp;"-"&amp;TEXT(ROW()-5,"000"))</f>
        <v/>
      </c>
      <c r="B240" s="16"/>
      <c r="C240" s="6"/>
      <c r="D240" s="6"/>
      <c r="E240" s="20"/>
      <c r="F240" s="6"/>
      <c r="G240" s="6"/>
      <c r="H240" s="6"/>
      <c r="I240" s="6"/>
      <c r="J24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0" s="8" t="str">
        <f>IF(tblSales[[#This Row],[Key]]="","",IFERROR(INDEX(ตารางรวม!$W:$W,MATCH(tblSales[[#This Row],[Key]],ตารางรวม!$Z:$Z,0)),"ไม่พบสูตร"))</f>
        <v/>
      </c>
      <c r="L240" s="8" t="str">
        <f>IF(tblSales[[#This Row],[Key]]="","",IFERROR(INDEX(ตารางรวม!$V:$V,MATCH(tblSales[[#This Row],[Key]],ตารางรวม!$Z:$Z,0)),"ไม่พบสูตร"))</f>
        <v/>
      </c>
      <c r="M240" s="8" t="str">
        <f>IF(tblSales[[#This Row],[Key]]="","",IFERROR(tblSales[[#This Row],[ราคาต่อแก้ว]]*tblSales[[#This Row],[จำนวนแก้ว]],""))</f>
        <v/>
      </c>
      <c r="N240" s="8" t="str">
        <f>IF(tblSales[[#This Row],[Key]]="","",IFERROR(tblSales[[#This Row],[ต้นทุนต่อแก้ว]]*tblSales[[#This Row],[จำนวนแก้ว]],""))</f>
        <v/>
      </c>
      <c r="O240" s="8" t="str">
        <f>IF(tblSales[[#This Row],[Key]]="","",IFERROR(tblSales[[#This Row],[ยอดขาย (บาท)]]-tblSales[[#This Row],[ต้นทุนรวม (บาท)]],""))</f>
        <v/>
      </c>
      <c r="P240" s="21" t="str">
        <f>IF(tblSales[[#This Row],[Key]]="","",IFERROR(tblSales[[#This Row],[กำไร (บาท)]]/tblSales[[#This Row],[ยอดขาย (บาท)]],""))</f>
        <v/>
      </c>
      <c r="Q240" s="10" t="str">
        <f>IF(tblSales[[#This Row],[Key]]="","",IFERROR(INDEX(ตารางรวม!$D:$D,MATCH(tblSales[[#This Row],[Key]],ตารางรวม!$Z:$Z,0))*tblSales[[#This Row],[จำนวนแก้ว]],0))</f>
        <v/>
      </c>
      <c r="R240" s="10" t="str">
        <f>IF(tblSales[[#This Row],[Key]]="","",IFERROR(INDEX(ตารางรวม!$E:$E,MATCH(tblSales[[#This Row],[Key]],ตารางรวม!$Z:$Z,0))*tblSales[[#This Row],[จำนวนแก้ว]],0))</f>
        <v/>
      </c>
      <c r="S240" s="10" t="str">
        <f>IF(tblSales[[#This Row],[Key]]="","",IFERROR(INDEX(ตารางรวม!$F:$F,MATCH(tblSales[[#This Row],[Key]],ตารางรวม!$Z:$Z,0))*tblSales[[#This Row],[จำนวนแก้ว]],0))</f>
        <v/>
      </c>
      <c r="T240" s="10" t="str">
        <f>IF(tblSales[[#This Row],[Key]]="","",IFERROR(INDEX(ตารางรวม!$G:$G,MATCH(tblSales[[#This Row],[Key]],ตารางรวม!$Z:$Z,0))*tblSales[[#This Row],[จำนวนแก้ว]],0))</f>
        <v/>
      </c>
      <c r="U240" s="10" t="str">
        <f>IF(tblSales[[#This Row],[Key]]="","",IFERROR(INDEX(ตารางรวม!$H:$H,MATCH(tblSales[[#This Row],[Key]],ตารางรวม!$Z:$Z,0))*tblSales[[#This Row],[จำนวนแก้ว]],0))</f>
        <v/>
      </c>
      <c r="V240" s="10" t="str">
        <f>IF(tblSales[[#This Row],[Key]]="","",IFERROR(INDEX(ตารางรวม!$I:$I,MATCH(tblSales[[#This Row],[Key]],ตารางรวม!$Z:$Z,0))*tblSales[[#This Row],[จำนวนแก้ว]],0))</f>
        <v/>
      </c>
      <c r="W240" s="10" t="str">
        <f>IF(tblSales[[#This Row],[Key]]="","",IFERROR(INDEX(ตารางรวม!$J:$J,MATCH(tblSales[[#This Row],[Key]],ตารางรวม!$Z:$Z,0))*tblSales[[#This Row],[จำนวนแก้ว]],0))</f>
        <v/>
      </c>
      <c r="X240" s="10" t="str">
        <f>IF(tblSales[[#This Row],[Key]]="","",IFERROR(INDEX(ตารางรวม!$K:$K,MATCH(tblSales[[#This Row],[Key]],ตารางรวม!$Z:$Z,0))*tblSales[[#This Row],[จำนวนแก้ว]],0))</f>
        <v/>
      </c>
      <c r="Y240" s="10" t="str">
        <f>IF(tblSales[[#This Row],[Key]]="","",IFERROR(INDEX(ตารางรวม!$L:$L,MATCH(tblSales[[#This Row],[Key]],ตารางรวม!$Z:$Z,0))*tblSales[[#This Row],[จำนวนแก้ว]],0))</f>
        <v/>
      </c>
      <c r="Z24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0" s="10" t="str">
        <f>IF(tblSales[[#This Row],[Key]]="","",IF(tblSales[[#This Row],[ขนาด]]="16 oz",tblSales[[#This Row],[จำนวนแก้ว]],0))</f>
        <v/>
      </c>
      <c r="AI240" s="10" t="str">
        <f>IF(tblSales[[#This Row],[Key]]="","",IF(tblSales[[#This Row],[ขนาด]]="20 oz",tblSales[[#This Row],[จำนวนแก้ว]],0))</f>
        <v/>
      </c>
      <c r="AJ240" s="10" t="str">
        <f>IF(tblSales[[#This Row],[Key]]="","",IF(tblSales[[#This Row],[ขนาด]]="22 oz",tblSales[[#This Row],[จำนวนแก้ว]],0))</f>
        <v/>
      </c>
    </row>
    <row r="241" spans="1:36" x14ac:dyDescent="0.25">
      <c r="A241" s="4" t="str">
        <f>IF(tblSales[[#This Row],[วันที่]]="","","S"&amp;TEXT(tblSales[[#This Row],[วันที่]],"yymmdd")&amp;"-"&amp;TEXT(ROW()-5,"000"))</f>
        <v/>
      </c>
      <c r="B241" s="16"/>
      <c r="C241" s="6"/>
      <c r="D241" s="6"/>
      <c r="E241" s="20"/>
      <c r="F241" s="6"/>
      <c r="G241" s="6"/>
      <c r="H241" s="6"/>
      <c r="I241" s="6"/>
      <c r="J24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1" s="8" t="str">
        <f>IF(tblSales[[#This Row],[Key]]="","",IFERROR(INDEX(ตารางรวม!$W:$W,MATCH(tblSales[[#This Row],[Key]],ตารางรวม!$Z:$Z,0)),"ไม่พบสูตร"))</f>
        <v/>
      </c>
      <c r="L241" s="8" t="str">
        <f>IF(tblSales[[#This Row],[Key]]="","",IFERROR(INDEX(ตารางรวม!$V:$V,MATCH(tblSales[[#This Row],[Key]],ตารางรวม!$Z:$Z,0)),"ไม่พบสูตร"))</f>
        <v/>
      </c>
      <c r="M241" s="8" t="str">
        <f>IF(tblSales[[#This Row],[Key]]="","",IFERROR(tblSales[[#This Row],[ราคาต่อแก้ว]]*tblSales[[#This Row],[จำนวนแก้ว]],""))</f>
        <v/>
      </c>
      <c r="N241" s="8" t="str">
        <f>IF(tblSales[[#This Row],[Key]]="","",IFERROR(tblSales[[#This Row],[ต้นทุนต่อแก้ว]]*tblSales[[#This Row],[จำนวนแก้ว]],""))</f>
        <v/>
      </c>
      <c r="O241" s="8" t="str">
        <f>IF(tblSales[[#This Row],[Key]]="","",IFERROR(tblSales[[#This Row],[ยอดขาย (บาท)]]-tblSales[[#This Row],[ต้นทุนรวม (บาท)]],""))</f>
        <v/>
      </c>
      <c r="P241" s="21" t="str">
        <f>IF(tblSales[[#This Row],[Key]]="","",IFERROR(tblSales[[#This Row],[กำไร (บาท)]]/tblSales[[#This Row],[ยอดขาย (บาท)]],""))</f>
        <v/>
      </c>
      <c r="Q241" s="10" t="str">
        <f>IF(tblSales[[#This Row],[Key]]="","",IFERROR(INDEX(ตารางรวม!$D:$D,MATCH(tblSales[[#This Row],[Key]],ตารางรวม!$Z:$Z,0))*tblSales[[#This Row],[จำนวนแก้ว]],0))</f>
        <v/>
      </c>
      <c r="R241" s="10" t="str">
        <f>IF(tblSales[[#This Row],[Key]]="","",IFERROR(INDEX(ตารางรวม!$E:$E,MATCH(tblSales[[#This Row],[Key]],ตารางรวม!$Z:$Z,0))*tblSales[[#This Row],[จำนวนแก้ว]],0))</f>
        <v/>
      </c>
      <c r="S241" s="10" t="str">
        <f>IF(tblSales[[#This Row],[Key]]="","",IFERROR(INDEX(ตารางรวม!$F:$F,MATCH(tblSales[[#This Row],[Key]],ตารางรวม!$Z:$Z,0))*tblSales[[#This Row],[จำนวนแก้ว]],0))</f>
        <v/>
      </c>
      <c r="T241" s="10" t="str">
        <f>IF(tblSales[[#This Row],[Key]]="","",IFERROR(INDEX(ตารางรวม!$G:$G,MATCH(tblSales[[#This Row],[Key]],ตารางรวม!$Z:$Z,0))*tblSales[[#This Row],[จำนวนแก้ว]],0))</f>
        <v/>
      </c>
      <c r="U241" s="10" t="str">
        <f>IF(tblSales[[#This Row],[Key]]="","",IFERROR(INDEX(ตารางรวม!$H:$H,MATCH(tblSales[[#This Row],[Key]],ตารางรวม!$Z:$Z,0))*tblSales[[#This Row],[จำนวนแก้ว]],0))</f>
        <v/>
      </c>
      <c r="V241" s="10" t="str">
        <f>IF(tblSales[[#This Row],[Key]]="","",IFERROR(INDEX(ตารางรวม!$I:$I,MATCH(tblSales[[#This Row],[Key]],ตารางรวม!$Z:$Z,0))*tblSales[[#This Row],[จำนวนแก้ว]],0))</f>
        <v/>
      </c>
      <c r="W241" s="10" t="str">
        <f>IF(tblSales[[#This Row],[Key]]="","",IFERROR(INDEX(ตารางรวม!$J:$J,MATCH(tblSales[[#This Row],[Key]],ตารางรวม!$Z:$Z,0))*tblSales[[#This Row],[จำนวนแก้ว]],0))</f>
        <v/>
      </c>
      <c r="X241" s="10" t="str">
        <f>IF(tblSales[[#This Row],[Key]]="","",IFERROR(INDEX(ตารางรวม!$K:$K,MATCH(tblSales[[#This Row],[Key]],ตารางรวม!$Z:$Z,0))*tblSales[[#This Row],[จำนวนแก้ว]],0))</f>
        <v/>
      </c>
      <c r="Y241" s="10" t="str">
        <f>IF(tblSales[[#This Row],[Key]]="","",IFERROR(INDEX(ตารางรวม!$L:$L,MATCH(tblSales[[#This Row],[Key]],ตารางรวม!$Z:$Z,0))*tblSales[[#This Row],[จำนวนแก้ว]],0))</f>
        <v/>
      </c>
      <c r="Z24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1" s="10" t="str">
        <f>IF(tblSales[[#This Row],[Key]]="","",IF(tblSales[[#This Row],[ขนาด]]="16 oz",tblSales[[#This Row],[จำนวนแก้ว]],0))</f>
        <v/>
      </c>
      <c r="AI241" s="10" t="str">
        <f>IF(tblSales[[#This Row],[Key]]="","",IF(tblSales[[#This Row],[ขนาด]]="20 oz",tblSales[[#This Row],[จำนวนแก้ว]],0))</f>
        <v/>
      </c>
      <c r="AJ241" s="10" t="str">
        <f>IF(tblSales[[#This Row],[Key]]="","",IF(tblSales[[#This Row],[ขนาด]]="22 oz",tblSales[[#This Row],[จำนวนแก้ว]],0))</f>
        <v/>
      </c>
    </row>
    <row r="242" spans="1:36" x14ac:dyDescent="0.25">
      <c r="A242" s="4" t="str">
        <f>IF(tblSales[[#This Row],[วันที่]]="","","S"&amp;TEXT(tblSales[[#This Row],[วันที่]],"yymmdd")&amp;"-"&amp;TEXT(ROW()-5,"000"))</f>
        <v/>
      </c>
      <c r="B242" s="16"/>
      <c r="C242" s="6"/>
      <c r="D242" s="6"/>
      <c r="E242" s="20"/>
      <c r="F242" s="6"/>
      <c r="G242" s="6"/>
      <c r="H242" s="6"/>
      <c r="I242" s="6"/>
      <c r="J24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2" s="8" t="str">
        <f>IF(tblSales[[#This Row],[Key]]="","",IFERROR(INDEX(ตารางรวม!$W:$W,MATCH(tblSales[[#This Row],[Key]],ตารางรวม!$Z:$Z,0)),"ไม่พบสูตร"))</f>
        <v/>
      </c>
      <c r="L242" s="8" t="str">
        <f>IF(tblSales[[#This Row],[Key]]="","",IFERROR(INDEX(ตารางรวม!$V:$V,MATCH(tblSales[[#This Row],[Key]],ตารางรวม!$Z:$Z,0)),"ไม่พบสูตร"))</f>
        <v/>
      </c>
      <c r="M242" s="8" t="str">
        <f>IF(tblSales[[#This Row],[Key]]="","",IFERROR(tblSales[[#This Row],[ราคาต่อแก้ว]]*tblSales[[#This Row],[จำนวนแก้ว]],""))</f>
        <v/>
      </c>
      <c r="N242" s="8" t="str">
        <f>IF(tblSales[[#This Row],[Key]]="","",IFERROR(tblSales[[#This Row],[ต้นทุนต่อแก้ว]]*tblSales[[#This Row],[จำนวนแก้ว]],""))</f>
        <v/>
      </c>
      <c r="O242" s="8" t="str">
        <f>IF(tblSales[[#This Row],[Key]]="","",IFERROR(tblSales[[#This Row],[ยอดขาย (บาท)]]-tblSales[[#This Row],[ต้นทุนรวม (บาท)]],""))</f>
        <v/>
      </c>
      <c r="P242" s="21" t="str">
        <f>IF(tblSales[[#This Row],[Key]]="","",IFERROR(tblSales[[#This Row],[กำไร (บาท)]]/tblSales[[#This Row],[ยอดขาย (บาท)]],""))</f>
        <v/>
      </c>
      <c r="Q242" s="10" t="str">
        <f>IF(tblSales[[#This Row],[Key]]="","",IFERROR(INDEX(ตารางรวม!$D:$D,MATCH(tblSales[[#This Row],[Key]],ตารางรวม!$Z:$Z,0))*tblSales[[#This Row],[จำนวนแก้ว]],0))</f>
        <v/>
      </c>
      <c r="R242" s="10" t="str">
        <f>IF(tblSales[[#This Row],[Key]]="","",IFERROR(INDEX(ตารางรวม!$E:$E,MATCH(tblSales[[#This Row],[Key]],ตารางรวม!$Z:$Z,0))*tblSales[[#This Row],[จำนวนแก้ว]],0))</f>
        <v/>
      </c>
      <c r="S242" s="10" t="str">
        <f>IF(tblSales[[#This Row],[Key]]="","",IFERROR(INDEX(ตารางรวม!$F:$F,MATCH(tblSales[[#This Row],[Key]],ตารางรวม!$Z:$Z,0))*tblSales[[#This Row],[จำนวนแก้ว]],0))</f>
        <v/>
      </c>
      <c r="T242" s="10" t="str">
        <f>IF(tblSales[[#This Row],[Key]]="","",IFERROR(INDEX(ตารางรวม!$G:$G,MATCH(tblSales[[#This Row],[Key]],ตารางรวม!$Z:$Z,0))*tblSales[[#This Row],[จำนวนแก้ว]],0))</f>
        <v/>
      </c>
      <c r="U242" s="10" t="str">
        <f>IF(tblSales[[#This Row],[Key]]="","",IFERROR(INDEX(ตารางรวม!$H:$H,MATCH(tblSales[[#This Row],[Key]],ตารางรวม!$Z:$Z,0))*tblSales[[#This Row],[จำนวนแก้ว]],0))</f>
        <v/>
      </c>
      <c r="V242" s="10" t="str">
        <f>IF(tblSales[[#This Row],[Key]]="","",IFERROR(INDEX(ตารางรวม!$I:$I,MATCH(tblSales[[#This Row],[Key]],ตารางรวม!$Z:$Z,0))*tblSales[[#This Row],[จำนวนแก้ว]],0))</f>
        <v/>
      </c>
      <c r="W242" s="10" t="str">
        <f>IF(tblSales[[#This Row],[Key]]="","",IFERROR(INDEX(ตารางรวม!$J:$J,MATCH(tblSales[[#This Row],[Key]],ตารางรวม!$Z:$Z,0))*tblSales[[#This Row],[จำนวนแก้ว]],0))</f>
        <v/>
      </c>
      <c r="X242" s="10" t="str">
        <f>IF(tblSales[[#This Row],[Key]]="","",IFERROR(INDEX(ตารางรวม!$K:$K,MATCH(tblSales[[#This Row],[Key]],ตารางรวม!$Z:$Z,0))*tblSales[[#This Row],[จำนวนแก้ว]],0))</f>
        <v/>
      </c>
      <c r="Y242" s="10" t="str">
        <f>IF(tblSales[[#This Row],[Key]]="","",IFERROR(INDEX(ตารางรวม!$L:$L,MATCH(tblSales[[#This Row],[Key]],ตารางรวม!$Z:$Z,0))*tblSales[[#This Row],[จำนวนแก้ว]],0))</f>
        <v/>
      </c>
      <c r="Z24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2" s="10" t="str">
        <f>IF(tblSales[[#This Row],[Key]]="","",IF(tblSales[[#This Row],[ขนาด]]="16 oz",tblSales[[#This Row],[จำนวนแก้ว]],0))</f>
        <v/>
      </c>
      <c r="AI242" s="10" t="str">
        <f>IF(tblSales[[#This Row],[Key]]="","",IF(tblSales[[#This Row],[ขนาด]]="20 oz",tblSales[[#This Row],[จำนวนแก้ว]],0))</f>
        <v/>
      </c>
      <c r="AJ242" s="10" t="str">
        <f>IF(tblSales[[#This Row],[Key]]="","",IF(tblSales[[#This Row],[ขนาด]]="22 oz",tblSales[[#This Row],[จำนวนแก้ว]],0))</f>
        <v/>
      </c>
    </row>
    <row r="243" spans="1:36" x14ac:dyDescent="0.25">
      <c r="A243" s="4" t="str">
        <f>IF(tblSales[[#This Row],[วันที่]]="","","S"&amp;TEXT(tblSales[[#This Row],[วันที่]],"yymmdd")&amp;"-"&amp;TEXT(ROW()-5,"000"))</f>
        <v/>
      </c>
      <c r="B243" s="16"/>
      <c r="C243" s="6"/>
      <c r="D243" s="6"/>
      <c r="E243" s="20"/>
      <c r="F243" s="6"/>
      <c r="G243" s="6"/>
      <c r="H243" s="6"/>
      <c r="I243" s="6"/>
      <c r="J24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3" s="8" t="str">
        <f>IF(tblSales[[#This Row],[Key]]="","",IFERROR(INDEX(ตารางรวม!$W:$W,MATCH(tblSales[[#This Row],[Key]],ตารางรวม!$Z:$Z,0)),"ไม่พบสูตร"))</f>
        <v/>
      </c>
      <c r="L243" s="8" t="str">
        <f>IF(tblSales[[#This Row],[Key]]="","",IFERROR(INDEX(ตารางรวม!$V:$V,MATCH(tblSales[[#This Row],[Key]],ตารางรวม!$Z:$Z,0)),"ไม่พบสูตร"))</f>
        <v/>
      </c>
      <c r="M243" s="8" t="str">
        <f>IF(tblSales[[#This Row],[Key]]="","",IFERROR(tblSales[[#This Row],[ราคาต่อแก้ว]]*tblSales[[#This Row],[จำนวนแก้ว]],""))</f>
        <v/>
      </c>
      <c r="N243" s="8" t="str">
        <f>IF(tblSales[[#This Row],[Key]]="","",IFERROR(tblSales[[#This Row],[ต้นทุนต่อแก้ว]]*tblSales[[#This Row],[จำนวนแก้ว]],""))</f>
        <v/>
      </c>
      <c r="O243" s="8" t="str">
        <f>IF(tblSales[[#This Row],[Key]]="","",IFERROR(tblSales[[#This Row],[ยอดขาย (บาท)]]-tblSales[[#This Row],[ต้นทุนรวม (บาท)]],""))</f>
        <v/>
      </c>
      <c r="P243" s="21" t="str">
        <f>IF(tblSales[[#This Row],[Key]]="","",IFERROR(tblSales[[#This Row],[กำไร (บาท)]]/tblSales[[#This Row],[ยอดขาย (บาท)]],""))</f>
        <v/>
      </c>
      <c r="Q243" s="10" t="str">
        <f>IF(tblSales[[#This Row],[Key]]="","",IFERROR(INDEX(ตารางรวม!$D:$D,MATCH(tblSales[[#This Row],[Key]],ตารางรวม!$Z:$Z,0))*tblSales[[#This Row],[จำนวนแก้ว]],0))</f>
        <v/>
      </c>
      <c r="R243" s="10" t="str">
        <f>IF(tblSales[[#This Row],[Key]]="","",IFERROR(INDEX(ตารางรวม!$E:$E,MATCH(tblSales[[#This Row],[Key]],ตารางรวม!$Z:$Z,0))*tblSales[[#This Row],[จำนวนแก้ว]],0))</f>
        <v/>
      </c>
      <c r="S243" s="10" t="str">
        <f>IF(tblSales[[#This Row],[Key]]="","",IFERROR(INDEX(ตารางรวม!$F:$F,MATCH(tblSales[[#This Row],[Key]],ตารางรวม!$Z:$Z,0))*tblSales[[#This Row],[จำนวนแก้ว]],0))</f>
        <v/>
      </c>
      <c r="T243" s="10" t="str">
        <f>IF(tblSales[[#This Row],[Key]]="","",IFERROR(INDEX(ตารางรวม!$G:$G,MATCH(tblSales[[#This Row],[Key]],ตารางรวม!$Z:$Z,0))*tblSales[[#This Row],[จำนวนแก้ว]],0))</f>
        <v/>
      </c>
      <c r="U243" s="10" t="str">
        <f>IF(tblSales[[#This Row],[Key]]="","",IFERROR(INDEX(ตารางรวม!$H:$H,MATCH(tblSales[[#This Row],[Key]],ตารางรวม!$Z:$Z,0))*tblSales[[#This Row],[จำนวนแก้ว]],0))</f>
        <v/>
      </c>
      <c r="V243" s="10" t="str">
        <f>IF(tblSales[[#This Row],[Key]]="","",IFERROR(INDEX(ตารางรวม!$I:$I,MATCH(tblSales[[#This Row],[Key]],ตารางรวม!$Z:$Z,0))*tblSales[[#This Row],[จำนวนแก้ว]],0))</f>
        <v/>
      </c>
      <c r="W243" s="10" t="str">
        <f>IF(tblSales[[#This Row],[Key]]="","",IFERROR(INDEX(ตารางรวม!$J:$J,MATCH(tblSales[[#This Row],[Key]],ตารางรวม!$Z:$Z,0))*tblSales[[#This Row],[จำนวนแก้ว]],0))</f>
        <v/>
      </c>
      <c r="X243" s="10" t="str">
        <f>IF(tblSales[[#This Row],[Key]]="","",IFERROR(INDEX(ตารางรวม!$K:$K,MATCH(tblSales[[#This Row],[Key]],ตารางรวม!$Z:$Z,0))*tblSales[[#This Row],[จำนวนแก้ว]],0))</f>
        <v/>
      </c>
      <c r="Y243" s="10" t="str">
        <f>IF(tblSales[[#This Row],[Key]]="","",IFERROR(INDEX(ตารางรวม!$L:$L,MATCH(tblSales[[#This Row],[Key]],ตารางรวม!$Z:$Z,0))*tblSales[[#This Row],[จำนวนแก้ว]],0))</f>
        <v/>
      </c>
      <c r="Z24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3" s="10" t="str">
        <f>IF(tblSales[[#This Row],[Key]]="","",IF(tblSales[[#This Row],[ขนาด]]="16 oz",tblSales[[#This Row],[จำนวนแก้ว]],0))</f>
        <v/>
      </c>
      <c r="AI243" s="10" t="str">
        <f>IF(tblSales[[#This Row],[Key]]="","",IF(tblSales[[#This Row],[ขนาด]]="20 oz",tblSales[[#This Row],[จำนวนแก้ว]],0))</f>
        <v/>
      </c>
      <c r="AJ243" s="10" t="str">
        <f>IF(tblSales[[#This Row],[Key]]="","",IF(tblSales[[#This Row],[ขนาด]]="22 oz",tblSales[[#This Row],[จำนวนแก้ว]],0))</f>
        <v/>
      </c>
    </row>
    <row r="244" spans="1:36" x14ac:dyDescent="0.25">
      <c r="A244" s="4" t="str">
        <f>IF(tblSales[[#This Row],[วันที่]]="","","S"&amp;TEXT(tblSales[[#This Row],[วันที่]],"yymmdd")&amp;"-"&amp;TEXT(ROW()-5,"000"))</f>
        <v/>
      </c>
      <c r="B244" s="16"/>
      <c r="C244" s="6"/>
      <c r="D244" s="6"/>
      <c r="E244" s="20"/>
      <c r="F244" s="6"/>
      <c r="G244" s="6"/>
      <c r="H244" s="6"/>
      <c r="I244" s="6"/>
      <c r="J24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4" s="8" t="str">
        <f>IF(tblSales[[#This Row],[Key]]="","",IFERROR(INDEX(ตารางรวม!$W:$W,MATCH(tblSales[[#This Row],[Key]],ตารางรวม!$Z:$Z,0)),"ไม่พบสูตร"))</f>
        <v/>
      </c>
      <c r="L244" s="8" t="str">
        <f>IF(tblSales[[#This Row],[Key]]="","",IFERROR(INDEX(ตารางรวม!$V:$V,MATCH(tblSales[[#This Row],[Key]],ตารางรวม!$Z:$Z,0)),"ไม่พบสูตร"))</f>
        <v/>
      </c>
      <c r="M244" s="8" t="str">
        <f>IF(tblSales[[#This Row],[Key]]="","",IFERROR(tblSales[[#This Row],[ราคาต่อแก้ว]]*tblSales[[#This Row],[จำนวนแก้ว]],""))</f>
        <v/>
      </c>
      <c r="N244" s="8" t="str">
        <f>IF(tblSales[[#This Row],[Key]]="","",IFERROR(tblSales[[#This Row],[ต้นทุนต่อแก้ว]]*tblSales[[#This Row],[จำนวนแก้ว]],""))</f>
        <v/>
      </c>
      <c r="O244" s="8" t="str">
        <f>IF(tblSales[[#This Row],[Key]]="","",IFERROR(tblSales[[#This Row],[ยอดขาย (บาท)]]-tblSales[[#This Row],[ต้นทุนรวม (บาท)]],""))</f>
        <v/>
      </c>
      <c r="P244" s="21" t="str">
        <f>IF(tblSales[[#This Row],[Key]]="","",IFERROR(tblSales[[#This Row],[กำไร (บาท)]]/tblSales[[#This Row],[ยอดขาย (บาท)]],""))</f>
        <v/>
      </c>
      <c r="Q244" s="10" t="str">
        <f>IF(tblSales[[#This Row],[Key]]="","",IFERROR(INDEX(ตารางรวม!$D:$D,MATCH(tblSales[[#This Row],[Key]],ตารางรวม!$Z:$Z,0))*tblSales[[#This Row],[จำนวนแก้ว]],0))</f>
        <v/>
      </c>
      <c r="R244" s="10" t="str">
        <f>IF(tblSales[[#This Row],[Key]]="","",IFERROR(INDEX(ตารางรวม!$E:$E,MATCH(tblSales[[#This Row],[Key]],ตารางรวม!$Z:$Z,0))*tblSales[[#This Row],[จำนวนแก้ว]],0))</f>
        <v/>
      </c>
      <c r="S244" s="10" t="str">
        <f>IF(tblSales[[#This Row],[Key]]="","",IFERROR(INDEX(ตารางรวม!$F:$F,MATCH(tblSales[[#This Row],[Key]],ตารางรวม!$Z:$Z,0))*tblSales[[#This Row],[จำนวนแก้ว]],0))</f>
        <v/>
      </c>
      <c r="T244" s="10" t="str">
        <f>IF(tblSales[[#This Row],[Key]]="","",IFERROR(INDEX(ตารางรวม!$G:$G,MATCH(tblSales[[#This Row],[Key]],ตารางรวม!$Z:$Z,0))*tblSales[[#This Row],[จำนวนแก้ว]],0))</f>
        <v/>
      </c>
      <c r="U244" s="10" t="str">
        <f>IF(tblSales[[#This Row],[Key]]="","",IFERROR(INDEX(ตารางรวม!$H:$H,MATCH(tblSales[[#This Row],[Key]],ตารางรวม!$Z:$Z,0))*tblSales[[#This Row],[จำนวนแก้ว]],0))</f>
        <v/>
      </c>
      <c r="V244" s="10" t="str">
        <f>IF(tblSales[[#This Row],[Key]]="","",IFERROR(INDEX(ตารางรวม!$I:$I,MATCH(tblSales[[#This Row],[Key]],ตารางรวม!$Z:$Z,0))*tblSales[[#This Row],[จำนวนแก้ว]],0))</f>
        <v/>
      </c>
      <c r="W244" s="10" t="str">
        <f>IF(tblSales[[#This Row],[Key]]="","",IFERROR(INDEX(ตารางรวม!$J:$J,MATCH(tblSales[[#This Row],[Key]],ตารางรวม!$Z:$Z,0))*tblSales[[#This Row],[จำนวนแก้ว]],0))</f>
        <v/>
      </c>
      <c r="X244" s="10" t="str">
        <f>IF(tblSales[[#This Row],[Key]]="","",IFERROR(INDEX(ตารางรวม!$K:$K,MATCH(tblSales[[#This Row],[Key]],ตารางรวม!$Z:$Z,0))*tblSales[[#This Row],[จำนวนแก้ว]],0))</f>
        <v/>
      </c>
      <c r="Y244" s="10" t="str">
        <f>IF(tblSales[[#This Row],[Key]]="","",IFERROR(INDEX(ตารางรวม!$L:$L,MATCH(tblSales[[#This Row],[Key]],ตารางรวม!$Z:$Z,0))*tblSales[[#This Row],[จำนวนแก้ว]],0))</f>
        <v/>
      </c>
      <c r="Z24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4" s="10" t="str">
        <f>IF(tblSales[[#This Row],[Key]]="","",IF(tblSales[[#This Row],[ขนาด]]="16 oz",tblSales[[#This Row],[จำนวนแก้ว]],0))</f>
        <v/>
      </c>
      <c r="AI244" s="10" t="str">
        <f>IF(tblSales[[#This Row],[Key]]="","",IF(tblSales[[#This Row],[ขนาด]]="20 oz",tblSales[[#This Row],[จำนวนแก้ว]],0))</f>
        <v/>
      </c>
      <c r="AJ244" s="10" t="str">
        <f>IF(tblSales[[#This Row],[Key]]="","",IF(tblSales[[#This Row],[ขนาด]]="22 oz",tblSales[[#This Row],[จำนวนแก้ว]],0))</f>
        <v/>
      </c>
    </row>
    <row r="245" spans="1:36" x14ac:dyDescent="0.25">
      <c r="A245" s="4" t="str">
        <f>IF(tblSales[[#This Row],[วันที่]]="","","S"&amp;TEXT(tblSales[[#This Row],[วันที่]],"yymmdd")&amp;"-"&amp;TEXT(ROW()-5,"000"))</f>
        <v/>
      </c>
      <c r="B245" s="16"/>
      <c r="C245" s="6"/>
      <c r="D245" s="6"/>
      <c r="E245" s="20"/>
      <c r="F245" s="6"/>
      <c r="G245" s="6"/>
      <c r="H245" s="6"/>
      <c r="I245" s="6"/>
      <c r="J24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5" s="8" t="str">
        <f>IF(tblSales[[#This Row],[Key]]="","",IFERROR(INDEX(ตารางรวม!$W:$W,MATCH(tblSales[[#This Row],[Key]],ตารางรวม!$Z:$Z,0)),"ไม่พบสูตร"))</f>
        <v/>
      </c>
      <c r="L245" s="8" t="str">
        <f>IF(tblSales[[#This Row],[Key]]="","",IFERROR(INDEX(ตารางรวม!$V:$V,MATCH(tblSales[[#This Row],[Key]],ตารางรวม!$Z:$Z,0)),"ไม่พบสูตร"))</f>
        <v/>
      </c>
      <c r="M245" s="8" t="str">
        <f>IF(tblSales[[#This Row],[Key]]="","",IFERROR(tblSales[[#This Row],[ราคาต่อแก้ว]]*tblSales[[#This Row],[จำนวนแก้ว]],""))</f>
        <v/>
      </c>
      <c r="N245" s="8" t="str">
        <f>IF(tblSales[[#This Row],[Key]]="","",IFERROR(tblSales[[#This Row],[ต้นทุนต่อแก้ว]]*tblSales[[#This Row],[จำนวนแก้ว]],""))</f>
        <v/>
      </c>
      <c r="O245" s="8" t="str">
        <f>IF(tblSales[[#This Row],[Key]]="","",IFERROR(tblSales[[#This Row],[ยอดขาย (บาท)]]-tblSales[[#This Row],[ต้นทุนรวม (บาท)]],""))</f>
        <v/>
      </c>
      <c r="P245" s="21" t="str">
        <f>IF(tblSales[[#This Row],[Key]]="","",IFERROR(tblSales[[#This Row],[กำไร (บาท)]]/tblSales[[#This Row],[ยอดขาย (บาท)]],""))</f>
        <v/>
      </c>
      <c r="Q245" s="10" t="str">
        <f>IF(tblSales[[#This Row],[Key]]="","",IFERROR(INDEX(ตารางรวม!$D:$D,MATCH(tblSales[[#This Row],[Key]],ตารางรวม!$Z:$Z,0))*tblSales[[#This Row],[จำนวนแก้ว]],0))</f>
        <v/>
      </c>
      <c r="R245" s="10" t="str">
        <f>IF(tblSales[[#This Row],[Key]]="","",IFERROR(INDEX(ตารางรวม!$E:$E,MATCH(tblSales[[#This Row],[Key]],ตารางรวม!$Z:$Z,0))*tblSales[[#This Row],[จำนวนแก้ว]],0))</f>
        <v/>
      </c>
      <c r="S245" s="10" t="str">
        <f>IF(tblSales[[#This Row],[Key]]="","",IFERROR(INDEX(ตารางรวม!$F:$F,MATCH(tblSales[[#This Row],[Key]],ตารางรวม!$Z:$Z,0))*tblSales[[#This Row],[จำนวนแก้ว]],0))</f>
        <v/>
      </c>
      <c r="T245" s="10" t="str">
        <f>IF(tblSales[[#This Row],[Key]]="","",IFERROR(INDEX(ตารางรวม!$G:$G,MATCH(tblSales[[#This Row],[Key]],ตารางรวม!$Z:$Z,0))*tblSales[[#This Row],[จำนวนแก้ว]],0))</f>
        <v/>
      </c>
      <c r="U245" s="10" t="str">
        <f>IF(tblSales[[#This Row],[Key]]="","",IFERROR(INDEX(ตารางรวม!$H:$H,MATCH(tblSales[[#This Row],[Key]],ตารางรวม!$Z:$Z,0))*tblSales[[#This Row],[จำนวนแก้ว]],0))</f>
        <v/>
      </c>
      <c r="V245" s="10" t="str">
        <f>IF(tblSales[[#This Row],[Key]]="","",IFERROR(INDEX(ตารางรวม!$I:$I,MATCH(tblSales[[#This Row],[Key]],ตารางรวม!$Z:$Z,0))*tblSales[[#This Row],[จำนวนแก้ว]],0))</f>
        <v/>
      </c>
      <c r="W245" s="10" t="str">
        <f>IF(tblSales[[#This Row],[Key]]="","",IFERROR(INDEX(ตารางรวม!$J:$J,MATCH(tblSales[[#This Row],[Key]],ตารางรวม!$Z:$Z,0))*tblSales[[#This Row],[จำนวนแก้ว]],0))</f>
        <v/>
      </c>
      <c r="X245" s="10" t="str">
        <f>IF(tblSales[[#This Row],[Key]]="","",IFERROR(INDEX(ตารางรวม!$K:$K,MATCH(tblSales[[#This Row],[Key]],ตารางรวม!$Z:$Z,0))*tblSales[[#This Row],[จำนวนแก้ว]],0))</f>
        <v/>
      </c>
      <c r="Y245" s="10" t="str">
        <f>IF(tblSales[[#This Row],[Key]]="","",IFERROR(INDEX(ตารางรวม!$L:$L,MATCH(tblSales[[#This Row],[Key]],ตารางรวม!$Z:$Z,0))*tblSales[[#This Row],[จำนวนแก้ว]],0))</f>
        <v/>
      </c>
      <c r="Z24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5" s="10" t="str">
        <f>IF(tblSales[[#This Row],[Key]]="","",IF(tblSales[[#This Row],[ขนาด]]="16 oz",tblSales[[#This Row],[จำนวนแก้ว]],0))</f>
        <v/>
      </c>
      <c r="AI245" s="10" t="str">
        <f>IF(tblSales[[#This Row],[Key]]="","",IF(tblSales[[#This Row],[ขนาด]]="20 oz",tblSales[[#This Row],[จำนวนแก้ว]],0))</f>
        <v/>
      </c>
      <c r="AJ245" s="10" t="str">
        <f>IF(tblSales[[#This Row],[Key]]="","",IF(tblSales[[#This Row],[ขนาด]]="22 oz",tblSales[[#This Row],[จำนวนแก้ว]],0))</f>
        <v/>
      </c>
    </row>
    <row r="246" spans="1:36" x14ac:dyDescent="0.25">
      <c r="A246" s="4" t="str">
        <f>IF(tblSales[[#This Row],[วันที่]]="","","S"&amp;TEXT(tblSales[[#This Row],[วันที่]],"yymmdd")&amp;"-"&amp;TEXT(ROW()-5,"000"))</f>
        <v/>
      </c>
      <c r="B246" s="16"/>
      <c r="C246" s="6"/>
      <c r="D246" s="6"/>
      <c r="E246" s="20"/>
      <c r="F246" s="6"/>
      <c r="G246" s="6"/>
      <c r="H246" s="6"/>
      <c r="I246" s="6"/>
      <c r="J24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6" s="8" t="str">
        <f>IF(tblSales[[#This Row],[Key]]="","",IFERROR(INDEX(ตารางรวม!$W:$W,MATCH(tblSales[[#This Row],[Key]],ตารางรวม!$Z:$Z,0)),"ไม่พบสูตร"))</f>
        <v/>
      </c>
      <c r="L246" s="8" t="str">
        <f>IF(tblSales[[#This Row],[Key]]="","",IFERROR(INDEX(ตารางรวม!$V:$V,MATCH(tblSales[[#This Row],[Key]],ตารางรวม!$Z:$Z,0)),"ไม่พบสูตร"))</f>
        <v/>
      </c>
      <c r="M246" s="8" t="str">
        <f>IF(tblSales[[#This Row],[Key]]="","",IFERROR(tblSales[[#This Row],[ราคาต่อแก้ว]]*tblSales[[#This Row],[จำนวนแก้ว]],""))</f>
        <v/>
      </c>
      <c r="N246" s="8" t="str">
        <f>IF(tblSales[[#This Row],[Key]]="","",IFERROR(tblSales[[#This Row],[ต้นทุนต่อแก้ว]]*tblSales[[#This Row],[จำนวนแก้ว]],""))</f>
        <v/>
      </c>
      <c r="O246" s="8" t="str">
        <f>IF(tblSales[[#This Row],[Key]]="","",IFERROR(tblSales[[#This Row],[ยอดขาย (บาท)]]-tblSales[[#This Row],[ต้นทุนรวม (บาท)]],""))</f>
        <v/>
      </c>
      <c r="P246" s="21" t="str">
        <f>IF(tblSales[[#This Row],[Key]]="","",IFERROR(tblSales[[#This Row],[กำไร (บาท)]]/tblSales[[#This Row],[ยอดขาย (บาท)]],""))</f>
        <v/>
      </c>
      <c r="Q246" s="10" t="str">
        <f>IF(tblSales[[#This Row],[Key]]="","",IFERROR(INDEX(ตารางรวม!$D:$D,MATCH(tblSales[[#This Row],[Key]],ตารางรวม!$Z:$Z,0))*tblSales[[#This Row],[จำนวนแก้ว]],0))</f>
        <v/>
      </c>
      <c r="R246" s="10" t="str">
        <f>IF(tblSales[[#This Row],[Key]]="","",IFERROR(INDEX(ตารางรวม!$E:$E,MATCH(tblSales[[#This Row],[Key]],ตารางรวม!$Z:$Z,0))*tblSales[[#This Row],[จำนวนแก้ว]],0))</f>
        <v/>
      </c>
      <c r="S246" s="10" t="str">
        <f>IF(tblSales[[#This Row],[Key]]="","",IFERROR(INDEX(ตารางรวม!$F:$F,MATCH(tblSales[[#This Row],[Key]],ตารางรวม!$Z:$Z,0))*tblSales[[#This Row],[จำนวนแก้ว]],0))</f>
        <v/>
      </c>
      <c r="T246" s="10" t="str">
        <f>IF(tblSales[[#This Row],[Key]]="","",IFERROR(INDEX(ตารางรวม!$G:$G,MATCH(tblSales[[#This Row],[Key]],ตารางรวม!$Z:$Z,0))*tblSales[[#This Row],[จำนวนแก้ว]],0))</f>
        <v/>
      </c>
      <c r="U246" s="10" t="str">
        <f>IF(tblSales[[#This Row],[Key]]="","",IFERROR(INDEX(ตารางรวม!$H:$H,MATCH(tblSales[[#This Row],[Key]],ตารางรวม!$Z:$Z,0))*tblSales[[#This Row],[จำนวนแก้ว]],0))</f>
        <v/>
      </c>
      <c r="V246" s="10" t="str">
        <f>IF(tblSales[[#This Row],[Key]]="","",IFERROR(INDEX(ตารางรวม!$I:$I,MATCH(tblSales[[#This Row],[Key]],ตารางรวม!$Z:$Z,0))*tblSales[[#This Row],[จำนวนแก้ว]],0))</f>
        <v/>
      </c>
      <c r="W246" s="10" t="str">
        <f>IF(tblSales[[#This Row],[Key]]="","",IFERROR(INDEX(ตารางรวม!$J:$J,MATCH(tblSales[[#This Row],[Key]],ตารางรวม!$Z:$Z,0))*tblSales[[#This Row],[จำนวนแก้ว]],0))</f>
        <v/>
      </c>
      <c r="X246" s="10" t="str">
        <f>IF(tblSales[[#This Row],[Key]]="","",IFERROR(INDEX(ตารางรวม!$K:$K,MATCH(tblSales[[#This Row],[Key]],ตารางรวม!$Z:$Z,0))*tblSales[[#This Row],[จำนวนแก้ว]],0))</f>
        <v/>
      </c>
      <c r="Y246" s="10" t="str">
        <f>IF(tblSales[[#This Row],[Key]]="","",IFERROR(INDEX(ตารางรวม!$L:$L,MATCH(tblSales[[#This Row],[Key]],ตารางรวม!$Z:$Z,0))*tblSales[[#This Row],[จำนวนแก้ว]],0))</f>
        <v/>
      </c>
      <c r="Z24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6" s="10" t="str">
        <f>IF(tblSales[[#This Row],[Key]]="","",IF(tblSales[[#This Row],[ขนาด]]="16 oz",tblSales[[#This Row],[จำนวนแก้ว]],0))</f>
        <v/>
      </c>
      <c r="AI246" s="10" t="str">
        <f>IF(tblSales[[#This Row],[Key]]="","",IF(tblSales[[#This Row],[ขนาด]]="20 oz",tblSales[[#This Row],[จำนวนแก้ว]],0))</f>
        <v/>
      </c>
      <c r="AJ246" s="10" t="str">
        <f>IF(tblSales[[#This Row],[Key]]="","",IF(tblSales[[#This Row],[ขนาด]]="22 oz",tblSales[[#This Row],[จำนวนแก้ว]],0))</f>
        <v/>
      </c>
    </row>
    <row r="247" spans="1:36" x14ac:dyDescent="0.25">
      <c r="A247" s="4" t="str">
        <f>IF(tblSales[[#This Row],[วันที่]]="","","S"&amp;TEXT(tblSales[[#This Row],[วันที่]],"yymmdd")&amp;"-"&amp;TEXT(ROW()-5,"000"))</f>
        <v/>
      </c>
      <c r="B247" s="16"/>
      <c r="C247" s="6"/>
      <c r="D247" s="6"/>
      <c r="E247" s="20"/>
      <c r="F247" s="6"/>
      <c r="G247" s="6"/>
      <c r="H247" s="6"/>
      <c r="I247" s="6"/>
      <c r="J24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7" s="8" t="str">
        <f>IF(tblSales[[#This Row],[Key]]="","",IFERROR(INDEX(ตารางรวม!$W:$W,MATCH(tblSales[[#This Row],[Key]],ตารางรวม!$Z:$Z,0)),"ไม่พบสูตร"))</f>
        <v/>
      </c>
      <c r="L247" s="8" t="str">
        <f>IF(tblSales[[#This Row],[Key]]="","",IFERROR(INDEX(ตารางรวม!$V:$V,MATCH(tblSales[[#This Row],[Key]],ตารางรวม!$Z:$Z,0)),"ไม่พบสูตร"))</f>
        <v/>
      </c>
      <c r="M247" s="8" t="str">
        <f>IF(tblSales[[#This Row],[Key]]="","",IFERROR(tblSales[[#This Row],[ราคาต่อแก้ว]]*tblSales[[#This Row],[จำนวนแก้ว]],""))</f>
        <v/>
      </c>
      <c r="N247" s="8" t="str">
        <f>IF(tblSales[[#This Row],[Key]]="","",IFERROR(tblSales[[#This Row],[ต้นทุนต่อแก้ว]]*tblSales[[#This Row],[จำนวนแก้ว]],""))</f>
        <v/>
      </c>
      <c r="O247" s="8" t="str">
        <f>IF(tblSales[[#This Row],[Key]]="","",IFERROR(tblSales[[#This Row],[ยอดขาย (บาท)]]-tblSales[[#This Row],[ต้นทุนรวม (บาท)]],""))</f>
        <v/>
      </c>
      <c r="P247" s="21" t="str">
        <f>IF(tblSales[[#This Row],[Key]]="","",IFERROR(tblSales[[#This Row],[กำไร (บาท)]]/tblSales[[#This Row],[ยอดขาย (บาท)]],""))</f>
        <v/>
      </c>
      <c r="Q247" s="10" t="str">
        <f>IF(tblSales[[#This Row],[Key]]="","",IFERROR(INDEX(ตารางรวม!$D:$D,MATCH(tblSales[[#This Row],[Key]],ตารางรวม!$Z:$Z,0))*tblSales[[#This Row],[จำนวนแก้ว]],0))</f>
        <v/>
      </c>
      <c r="R247" s="10" t="str">
        <f>IF(tblSales[[#This Row],[Key]]="","",IFERROR(INDEX(ตารางรวม!$E:$E,MATCH(tblSales[[#This Row],[Key]],ตารางรวม!$Z:$Z,0))*tblSales[[#This Row],[จำนวนแก้ว]],0))</f>
        <v/>
      </c>
      <c r="S247" s="10" t="str">
        <f>IF(tblSales[[#This Row],[Key]]="","",IFERROR(INDEX(ตารางรวม!$F:$F,MATCH(tblSales[[#This Row],[Key]],ตารางรวม!$Z:$Z,0))*tblSales[[#This Row],[จำนวนแก้ว]],0))</f>
        <v/>
      </c>
      <c r="T247" s="10" t="str">
        <f>IF(tblSales[[#This Row],[Key]]="","",IFERROR(INDEX(ตารางรวม!$G:$G,MATCH(tblSales[[#This Row],[Key]],ตารางรวม!$Z:$Z,0))*tblSales[[#This Row],[จำนวนแก้ว]],0))</f>
        <v/>
      </c>
      <c r="U247" s="10" t="str">
        <f>IF(tblSales[[#This Row],[Key]]="","",IFERROR(INDEX(ตารางรวม!$H:$H,MATCH(tblSales[[#This Row],[Key]],ตารางรวม!$Z:$Z,0))*tblSales[[#This Row],[จำนวนแก้ว]],0))</f>
        <v/>
      </c>
      <c r="V247" s="10" t="str">
        <f>IF(tblSales[[#This Row],[Key]]="","",IFERROR(INDEX(ตารางรวม!$I:$I,MATCH(tblSales[[#This Row],[Key]],ตารางรวม!$Z:$Z,0))*tblSales[[#This Row],[จำนวนแก้ว]],0))</f>
        <v/>
      </c>
      <c r="W247" s="10" t="str">
        <f>IF(tblSales[[#This Row],[Key]]="","",IFERROR(INDEX(ตารางรวม!$J:$J,MATCH(tblSales[[#This Row],[Key]],ตารางรวม!$Z:$Z,0))*tblSales[[#This Row],[จำนวนแก้ว]],0))</f>
        <v/>
      </c>
      <c r="X247" s="10" t="str">
        <f>IF(tblSales[[#This Row],[Key]]="","",IFERROR(INDEX(ตารางรวม!$K:$K,MATCH(tblSales[[#This Row],[Key]],ตารางรวม!$Z:$Z,0))*tblSales[[#This Row],[จำนวนแก้ว]],0))</f>
        <v/>
      </c>
      <c r="Y247" s="10" t="str">
        <f>IF(tblSales[[#This Row],[Key]]="","",IFERROR(INDEX(ตารางรวม!$L:$L,MATCH(tblSales[[#This Row],[Key]],ตารางรวม!$Z:$Z,0))*tblSales[[#This Row],[จำนวนแก้ว]],0))</f>
        <v/>
      </c>
      <c r="Z24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7" s="10" t="str">
        <f>IF(tblSales[[#This Row],[Key]]="","",IF(tblSales[[#This Row],[ขนาด]]="16 oz",tblSales[[#This Row],[จำนวนแก้ว]],0))</f>
        <v/>
      </c>
      <c r="AI247" s="10" t="str">
        <f>IF(tblSales[[#This Row],[Key]]="","",IF(tblSales[[#This Row],[ขนาด]]="20 oz",tblSales[[#This Row],[จำนวนแก้ว]],0))</f>
        <v/>
      </c>
      <c r="AJ247" s="10" t="str">
        <f>IF(tblSales[[#This Row],[Key]]="","",IF(tblSales[[#This Row],[ขนาด]]="22 oz",tblSales[[#This Row],[จำนวนแก้ว]],0))</f>
        <v/>
      </c>
    </row>
    <row r="248" spans="1:36" x14ac:dyDescent="0.25">
      <c r="A248" s="4" t="str">
        <f>IF(tblSales[[#This Row],[วันที่]]="","","S"&amp;TEXT(tblSales[[#This Row],[วันที่]],"yymmdd")&amp;"-"&amp;TEXT(ROW()-5,"000"))</f>
        <v/>
      </c>
      <c r="B248" s="16"/>
      <c r="C248" s="6"/>
      <c r="D248" s="6"/>
      <c r="E248" s="20"/>
      <c r="F248" s="6"/>
      <c r="G248" s="6"/>
      <c r="H248" s="6"/>
      <c r="I248" s="6"/>
      <c r="J24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8" s="8" t="str">
        <f>IF(tblSales[[#This Row],[Key]]="","",IFERROR(INDEX(ตารางรวม!$W:$W,MATCH(tblSales[[#This Row],[Key]],ตารางรวม!$Z:$Z,0)),"ไม่พบสูตร"))</f>
        <v/>
      </c>
      <c r="L248" s="8" t="str">
        <f>IF(tblSales[[#This Row],[Key]]="","",IFERROR(INDEX(ตารางรวม!$V:$V,MATCH(tblSales[[#This Row],[Key]],ตารางรวม!$Z:$Z,0)),"ไม่พบสูตร"))</f>
        <v/>
      </c>
      <c r="M248" s="8" t="str">
        <f>IF(tblSales[[#This Row],[Key]]="","",IFERROR(tblSales[[#This Row],[ราคาต่อแก้ว]]*tblSales[[#This Row],[จำนวนแก้ว]],""))</f>
        <v/>
      </c>
      <c r="N248" s="8" t="str">
        <f>IF(tblSales[[#This Row],[Key]]="","",IFERROR(tblSales[[#This Row],[ต้นทุนต่อแก้ว]]*tblSales[[#This Row],[จำนวนแก้ว]],""))</f>
        <v/>
      </c>
      <c r="O248" s="8" t="str">
        <f>IF(tblSales[[#This Row],[Key]]="","",IFERROR(tblSales[[#This Row],[ยอดขาย (บาท)]]-tblSales[[#This Row],[ต้นทุนรวม (บาท)]],""))</f>
        <v/>
      </c>
      <c r="P248" s="21" t="str">
        <f>IF(tblSales[[#This Row],[Key]]="","",IFERROR(tblSales[[#This Row],[กำไร (บาท)]]/tblSales[[#This Row],[ยอดขาย (บาท)]],""))</f>
        <v/>
      </c>
      <c r="Q248" s="10" t="str">
        <f>IF(tblSales[[#This Row],[Key]]="","",IFERROR(INDEX(ตารางรวม!$D:$D,MATCH(tblSales[[#This Row],[Key]],ตารางรวม!$Z:$Z,0))*tblSales[[#This Row],[จำนวนแก้ว]],0))</f>
        <v/>
      </c>
      <c r="R248" s="10" t="str">
        <f>IF(tblSales[[#This Row],[Key]]="","",IFERROR(INDEX(ตารางรวม!$E:$E,MATCH(tblSales[[#This Row],[Key]],ตารางรวม!$Z:$Z,0))*tblSales[[#This Row],[จำนวนแก้ว]],0))</f>
        <v/>
      </c>
      <c r="S248" s="10" t="str">
        <f>IF(tblSales[[#This Row],[Key]]="","",IFERROR(INDEX(ตารางรวม!$F:$F,MATCH(tblSales[[#This Row],[Key]],ตารางรวม!$Z:$Z,0))*tblSales[[#This Row],[จำนวนแก้ว]],0))</f>
        <v/>
      </c>
      <c r="T248" s="10" t="str">
        <f>IF(tblSales[[#This Row],[Key]]="","",IFERROR(INDEX(ตารางรวม!$G:$G,MATCH(tblSales[[#This Row],[Key]],ตารางรวม!$Z:$Z,0))*tblSales[[#This Row],[จำนวนแก้ว]],0))</f>
        <v/>
      </c>
      <c r="U248" s="10" t="str">
        <f>IF(tblSales[[#This Row],[Key]]="","",IFERROR(INDEX(ตารางรวม!$H:$H,MATCH(tblSales[[#This Row],[Key]],ตารางรวม!$Z:$Z,0))*tblSales[[#This Row],[จำนวนแก้ว]],0))</f>
        <v/>
      </c>
      <c r="V248" s="10" t="str">
        <f>IF(tblSales[[#This Row],[Key]]="","",IFERROR(INDEX(ตารางรวม!$I:$I,MATCH(tblSales[[#This Row],[Key]],ตารางรวม!$Z:$Z,0))*tblSales[[#This Row],[จำนวนแก้ว]],0))</f>
        <v/>
      </c>
      <c r="W248" s="10" t="str">
        <f>IF(tblSales[[#This Row],[Key]]="","",IFERROR(INDEX(ตารางรวม!$J:$J,MATCH(tblSales[[#This Row],[Key]],ตารางรวม!$Z:$Z,0))*tblSales[[#This Row],[จำนวนแก้ว]],0))</f>
        <v/>
      </c>
      <c r="X248" s="10" t="str">
        <f>IF(tblSales[[#This Row],[Key]]="","",IFERROR(INDEX(ตารางรวม!$K:$K,MATCH(tblSales[[#This Row],[Key]],ตารางรวม!$Z:$Z,0))*tblSales[[#This Row],[จำนวนแก้ว]],0))</f>
        <v/>
      </c>
      <c r="Y248" s="10" t="str">
        <f>IF(tblSales[[#This Row],[Key]]="","",IFERROR(INDEX(ตารางรวม!$L:$L,MATCH(tblSales[[#This Row],[Key]],ตารางรวม!$Z:$Z,0))*tblSales[[#This Row],[จำนวนแก้ว]],0))</f>
        <v/>
      </c>
      <c r="Z24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8" s="10" t="str">
        <f>IF(tblSales[[#This Row],[Key]]="","",IF(tblSales[[#This Row],[ขนาด]]="16 oz",tblSales[[#This Row],[จำนวนแก้ว]],0))</f>
        <v/>
      </c>
      <c r="AI248" s="10" t="str">
        <f>IF(tblSales[[#This Row],[Key]]="","",IF(tblSales[[#This Row],[ขนาด]]="20 oz",tblSales[[#This Row],[จำนวนแก้ว]],0))</f>
        <v/>
      </c>
      <c r="AJ248" s="10" t="str">
        <f>IF(tblSales[[#This Row],[Key]]="","",IF(tblSales[[#This Row],[ขนาด]]="22 oz",tblSales[[#This Row],[จำนวนแก้ว]],0))</f>
        <v/>
      </c>
    </row>
    <row r="249" spans="1:36" x14ac:dyDescent="0.25">
      <c r="A249" s="4" t="str">
        <f>IF(tblSales[[#This Row],[วันที่]]="","","S"&amp;TEXT(tblSales[[#This Row],[วันที่]],"yymmdd")&amp;"-"&amp;TEXT(ROW()-5,"000"))</f>
        <v/>
      </c>
      <c r="B249" s="16"/>
      <c r="C249" s="6"/>
      <c r="D249" s="6"/>
      <c r="E249" s="20"/>
      <c r="F249" s="6"/>
      <c r="G249" s="6"/>
      <c r="H249" s="6"/>
      <c r="I249" s="6"/>
      <c r="J24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49" s="8" t="str">
        <f>IF(tblSales[[#This Row],[Key]]="","",IFERROR(INDEX(ตารางรวม!$W:$W,MATCH(tblSales[[#This Row],[Key]],ตารางรวม!$Z:$Z,0)),"ไม่พบสูตร"))</f>
        <v/>
      </c>
      <c r="L249" s="8" t="str">
        <f>IF(tblSales[[#This Row],[Key]]="","",IFERROR(INDEX(ตารางรวม!$V:$V,MATCH(tblSales[[#This Row],[Key]],ตารางรวม!$Z:$Z,0)),"ไม่พบสูตร"))</f>
        <v/>
      </c>
      <c r="M249" s="8" t="str">
        <f>IF(tblSales[[#This Row],[Key]]="","",IFERROR(tblSales[[#This Row],[ราคาต่อแก้ว]]*tblSales[[#This Row],[จำนวนแก้ว]],""))</f>
        <v/>
      </c>
      <c r="N249" s="8" t="str">
        <f>IF(tblSales[[#This Row],[Key]]="","",IFERROR(tblSales[[#This Row],[ต้นทุนต่อแก้ว]]*tblSales[[#This Row],[จำนวนแก้ว]],""))</f>
        <v/>
      </c>
      <c r="O249" s="8" t="str">
        <f>IF(tblSales[[#This Row],[Key]]="","",IFERROR(tblSales[[#This Row],[ยอดขาย (บาท)]]-tblSales[[#This Row],[ต้นทุนรวม (บาท)]],""))</f>
        <v/>
      </c>
      <c r="P249" s="21" t="str">
        <f>IF(tblSales[[#This Row],[Key]]="","",IFERROR(tblSales[[#This Row],[กำไร (บาท)]]/tblSales[[#This Row],[ยอดขาย (บาท)]],""))</f>
        <v/>
      </c>
      <c r="Q249" s="10" t="str">
        <f>IF(tblSales[[#This Row],[Key]]="","",IFERROR(INDEX(ตารางรวม!$D:$D,MATCH(tblSales[[#This Row],[Key]],ตารางรวม!$Z:$Z,0))*tblSales[[#This Row],[จำนวนแก้ว]],0))</f>
        <v/>
      </c>
      <c r="R249" s="10" t="str">
        <f>IF(tblSales[[#This Row],[Key]]="","",IFERROR(INDEX(ตารางรวม!$E:$E,MATCH(tblSales[[#This Row],[Key]],ตารางรวม!$Z:$Z,0))*tblSales[[#This Row],[จำนวนแก้ว]],0))</f>
        <v/>
      </c>
      <c r="S249" s="10" t="str">
        <f>IF(tblSales[[#This Row],[Key]]="","",IFERROR(INDEX(ตารางรวม!$F:$F,MATCH(tblSales[[#This Row],[Key]],ตารางรวม!$Z:$Z,0))*tblSales[[#This Row],[จำนวนแก้ว]],0))</f>
        <v/>
      </c>
      <c r="T249" s="10" t="str">
        <f>IF(tblSales[[#This Row],[Key]]="","",IFERROR(INDEX(ตารางรวม!$G:$G,MATCH(tblSales[[#This Row],[Key]],ตารางรวม!$Z:$Z,0))*tblSales[[#This Row],[จำนวนแก้ว]],0))</f>
        <v/>
      </c>
      <c r="U249" s="10" t="str">
        <f>IF(tblSales[[#This Row],[Key]]="","",IFERROR(INDEX(ตารางรวม!$H:$H,MATCH(tblSales[[#This Row],[Key]],ตารางรวม!$Z:$Z,0))*tblSales[[#This Row],[จำนวนแก้ว]],0))</f>
        <v/>
      </c>
      <c r="V249" s="10" t="str">
        <f>IF(tblSales[[#This Row],[Key]]="","",IFERROR(INDEX(ตารางรวม!$I:$I,MATCH(tblSales[[#This Row],[Key]],ตารางรวม!$Z:$Z,0))*tblSales[[#This Row],[จำนวนแก้ว]],0))</f>
        <v/>
      </c>
      <c r="W249" s="10" t="str">
        <f>IF(tblSales[[#This Row],[Key]]="","",IFERROR(INDEX(ตารางรวม!$J:$J,MATCH(tblSales[[#This Row],[Key]],ตารางรวม!$Z:$Z,0))*tblSales[[#This Row],[จำนวนแก้ว]],0))</f>
        <v/>
      </c>
      <c r="X249" s="10" t="str">
        <f>IF(tblSales[[#This Row],[Key]]="","",IFERROR(INDEX(ตารางรวม!$K:$K,MATCH(tblSales[[#This Row],[Key]],ตารางรวม!$Z:$Z,0))*tblSales[[#This Row],[จำนวนแก้ว]],0))</f>
        <v/>
      </c>
      <c r="Y249" s="10" t="str">
        <f>IF(tblSales[[#This Row],[Key]]="","",IFERROR(INDEX(ตารางรวม!$L:$L,MATCH(tblSales[[#This Row],[Key]],ตารางรวม!$Z:$Z,0))*tblSales[[#This Row],[จำนวนแก้ว]],0))</f>
        <v/>
      </c>
      <c r="Z24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4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4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4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4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4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4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4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49" s="10" t="str">
        <f>IF(tblSales[[#This Row],[Key]]="","",IF(tblSales[[#This Row],[ขนาด]]="16 oz",tblSales[[#This Row],[จำนวนแก้ว]],0))</f>
        <v/>
      </c>
      <c r="AI249" s="10" t="str">
        <f>IF(tblSales[[#This Row],[Key]]="","",IF(tblSales[[#This Row],[ขนาด]]="20 oz",tblSales[[#This Row],[จำนวนแก้ว]],0))</f>
        <v/>
      </c>
      <c r="AJ249" s="10" t="str">
        <f>IF(tblSales[[#This Row],[Key]]="","",IF(tblSales[[#This Row],[ขนาด]]="22 oz",tblSales[[#This Row],[จำนวนแก้ว]],0))</f>
        <v/>
      </c>
    </row>
    <row r="250" spans="1:36" x14ac:dyDescent="0.25">
      <c r="A250" s="4" t="str">
        <f>IF(tblSales[[#This Row],[วันที่]]="","","S"&amp;TEXT(tblSales[[#This Row],[วันที่]],"yymmdd")&amp;"-"&amp;TEXT(ROW()-5,"000"))</f>
        <v/>
      </c>
      <c r="B250" s="16"/>
      <c r="C250" s="6"/>
      <c r="D250" s="6"/>
      <c r="E250" s="20"/>
      <c r="F250" s="6"/>
      <c r="G250" s="6"/>
      <c r="H250" s="6"/>
      <c r="I250" s="6"/>
      <c r="J25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0" s="8" t="str">
        <f>IF(tblSales[[#This Row],[Key]]="","",IFERROR(INDEX(ตารางรวม!$W:$W,MATCH(tblSales[[#This Row],[Key]],ตารางรวม!$Z:$Z,0)),"ไม่พบสูตร"))</f>
        <v/>
      </c>
      <c r="L250" s="8" t="str">
        <f>IF(tblSales[[#This Row],[Key]]="","",IFERROR(INDEX(ตารางรวม!$V:$V,MATCH(tblSales[[#This Row],[Key]],ตารางรวม!$Z:$Z,0)),"ไม่พบสูตร"))</f>
        <v/>
      </c>
      <c r="M250" s="8" t="str">
        <f>IF(tblSales[[#This Row],[Key]]="","",IFERROR(tblSales[[#This Row],[ราคาต่อแก้ว]]*tblSales[[#This Row],[จำนวนแก้ว]],""))</f>
        <v/>
      </c>
      <c r="N250" s="8" t="str">
        <f>IF(tblSales[[#This Row],[Key]]="","",IFERROR(tblSales[[#This Row],[ต้นทุนต่อแก้ว]]*tblSales[[#This Row],[จำนวนแก้ว]],""))</f>
        <v/>
      </c>
      <c r="O250" s="8" t="str">
        <f>IF(tblSales[[#This Row],[Key]]="","",IFERROR(tblSales[[#This Row],[ยอดขาย (บาท)]]-tblSales[[#This Row],[ต้นทุนรวม (บาท)]],""))</f>
        <v/>
      </c>
      <c r="P250" s="21" t="str">
        <f>IF(tblSales[[#This Row],[Key]]="","",IFERROR(tblSales[[#This Row],[กำไร (บาท)]]/tblSales[[#This Row],[ยอดขาย (บาท)]],""))</f>
        <v/>
      </c>
      <c r="Q250" s="10" t="str">
        <f>IF(tblSales[[#This Row],[Key]]="","",IFERROR(INDEX(ตารางรวม!$D:$D,MATCH(tblSales[[#This Row],[Key]],ตารางรวม!$Z:$Z,0))*tblSales[[#This Row],[จำนวนแก้ว]],0))</f>
        <v/>
      </c>
      <c r="R250" s="10" t="str">
        <f>IF(tblSales[[#This Row],[Key]]="","",IFERROR(INDEX(ตารางรวม!$E:$E,MATCH(tblSales[[#This Row],[Key]],ตารางรวม!$Z:$Z,0))*tblSales[[#This Row],[จำนวนแก้ว]],0))</f>
        <v/>
      </c>
      <c r="S250" s="10" t="str">
        <f>IF(tblSales[[#This Row],[Key]]="","",IFERROR(INDEX(ตารางรวม!$F:$F,MATCH(tblSales[[#This Row],[Key]],ตารางรวม!$Z:$Z,0))*tblSales[[#This Row],[จำนวนแก้ว]],0))</f>
        <v/>
      </c>
      <c r="T250" s="10" t="str">
        <f>IF(tblSales[[#This Row],[Key]]="","",IFERROR(INDEX(ตารางรวม!$G:$G,MATCH(tblSales[[#This Row],[Key]],ตารางรวม!$Z:$Z,0))*tblSales[[#This Row],[จำนวนแก้ว]],0))</f>
        <v/>
      </c>
      <c r="U250" s="10" t="str">
        <f>IF(tblSales[[#This Row],[Key]]="","",IFERROR(INDEX(ตารางรวม!$H:$H,MATCH(tblSales[[#This Row],[Key]],ตารางรวม!$Z:$Z,0))*tblSales[[#This Row],[จำนวนแก้ว]],0))</f>
        <v/>
      </c>
      <c r="V250" s="10" t="str">
        <f>IF(tblSales[[#This Row],[Key]]="","",IFERROR(INDEX(ตารางรวม!$I:$I,MATCH(tblSales[[#This Row],[Key]],ตารางรวม!$Z:$Z,0))*tblSales[[#This Row],[จำนวนแก้ว]],0))</f>
        <v/>
      </c>
      <c r="W250" s="10" t="str">
        <f>IF(tblSales[[#This Row],[Key]]="","",IFERROR(INDEX(ตารางรวม!$J:$J,MATCH(tblSales[[#This Row],[Key]],ตารางรวม!$Z:$Z,0))*tblSales[[#This Row],[จำนวนแก้ว]],0))</f>
        <v/>
      </c>
      <c r="X250" s="10" t="str">
        <f>IF(tblSales[[#This Row],[Key]]="","",IFERROR(INDEX(ตารางรวม!$K:$K,MATCH(tblSales[[#This Row],[Key]],ตารางรวม!$Z:$Z,0))*tblSales[[#This Row],[จำนวนแก้ว]],0))</f>
        <v/>
      </c>
      <c r="Y250" s="10" t="str">
        <f>IF(tblSales[[#This Row],[Key]]="","",IFERROR(INDEX(ตารางรวม!$L:$L,MATCH(tblSales[[#This Row],[Key]],ตารางรวม!$Z:$Z,0))*tblSales[[#This Row],[จำนวนแก้ว]],0))</f>
        <v/>
      </c>
      <c r="Z25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0" s="10" t="str">
        <f>IF(tblSales[[#This Row],[Key]]="","",IF(tblSales[[#This Row],[ขนาด]]="16 oz",tblSales[[#This Row],[จำนวนแก้ว]],0))</f>
        <v/>
      </c>
      <c r="AI250" s="10" t="str">
        <f>IF(tblSales[[#This Row],[Key]]="","",IF(tblSales[[#This Row],[ขนาด]]="20 oz",tblSales[[#This Row],[จำนวนแก้ว]],0))</f>
        <v/>
      </c>
      <c r="AJ250" s="10" t="str">
        <f>IF(tblSales[[#This Row],[Key]]="","",IF(tblSales[[#This Row],[ขนาด]]="22 oz",tblSales[[#This Row],[จำนวนแก้ว]],0))</f>
        <v/>
      </c>
    </row>
    <row r="251" spans="1:36" x14ac:dyDescent="0.25">
      <c r="A251" s="4" t="str">
        <f>IF(tblSales[[#This Row],[วันที่]]="","","S"&amp;TEXT(tblSales[[#This Row],[วันที่]],"yymmdd")&amp;"-"&amp;TEXT(ROW()-5,"000"))</f>
        <v/>
      </c>
      <c r="B251" s="16"/>
      <c r="C251" s="6"/>
      <c r="D251" s="6"/>
      <c r="E251" s="20"/>
      <c r="F251" s="6"/>
      <c r="G251" s="6"/>
      <c r="H251" s="6"/>
      <c r="I251" s="6"/>
      <c r="J25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1" s="8" t="str">
        <f>IF(tblSales[[#This Row],[Key]]="","",IFERROR(INDEX(ตารางรวม!$W:$W,MATCH(tblSales[[#This Row],[Key]],ตารางรวม!$Z:$Z,0)),"ไม่พบสูตร"))</f>
        <v/>
      </c>
      <c r="L251" s="8" t="str">
        <f>IF(tblSales[[#This Row],[Key]]="","",IFERROR(INDEX(ตารางรวม!$V:$V,MATCH(tblSales[[#This Row],[Key]],ตารางรวม!$Z:$Z,0)),"ไม่พบสูตร"))</f>
        <v/>
      </c>
      <c r="M251" s="8" t="str">
        <f>IF(tblSales[[#This Row],[Key]]="","",IFERROR(tblSales[[#This Row],[ราคาต่อแก้ว]]*tblSales[[#This Row],[จำนวนแก้ว]],""))</f>
        <v/>
      </c>
      <c r="N251" s="8" t="str">
        <f>IF(tblSales[[#This Row],[Key]]="","",IFERROR(tblSales[[#This Row],[ต้นทุนต่อแก้ว]]*tblSales[[#This Row],[จำนวนแก้ว]],""))</f>
        <v/>
      </c>
      <c r="O251" s="8" t="str">
        <f>IF(tblSales[[#This Row],[Key]]="","",IFERROR(tblSales[[#This Row],[ยอดขาย (บาท)]]-tblSales[[#This Row],[ต้นทุนรวม (บาท)]],""))</f>
        <v/>
      </c>
      <c r="P251" s="21" t="str">
        <f>IF(tblSales[[#This Row],[Key]]="","",IFERROR(tblSales[[#This Row],[กำไร (บาท)]]/tblSales[[#This Row],[ยอดขาย (บาท)]],""))</f>
        <v/>
      </c>
      <c r="Q251" s="10" t="str">
        <f>IF(tblSales[[#This Row],[Key]]="","",IFERROR(INDEX(ตารางรวม!$D:$D,MATCH(tblSales[[#This Row],[Key]],ตารางรวม!$Z:$Z,0))*tblSales[[#This Row],[จำนวนแก้ว]],0))</f>
        <v/>
      </c>
      <c r="R251" s="10" t="str">
        <f>IF(tblSales[[#This Row],[Key]]="","",IFERROR(INDEX(ตารางรวม!$E:$E,MATCH(tblSales[[#This Row],[Key]],ตารางรวม!$Z:$Z,0))*tblSales[[#This Row],[จำนวนแก้ว]],0))</f>
        <v/>
      </c>
      <c r="S251" s="10" t="str">
        <f>IF(tblSales[[#This Row],[Key]]="","",IFERROR(INDEX(ตารางรวม!$F:$F,MATCH(tblSales[[#This Row],[Key]],ตารางรวม!$Z:$Z,0))*tblSales[[#This Row],[จำนวนแก้ว]],0))</f>
        <v/>
      </c>
      <c r="T251" s="10" t="str">
        <f>IF(tblSales[[#This Row],[Key]]="","",IFERROR(INDEX(ตารางรวม!$G:$G,MATCH(tblSales[[#This Row],[Key]],ตารางรวม!$Z:$Z,0))*tblSales[[#This Row],[จำนวนแก้ว]],0))</f>
        <v/>
      </c>
      <c r="U251" s="10" t="str">
        <f>IF(tblSales[[#This Row],[Key]]="","",IFERROR(INDEX(ตารางรวม!$H:$H,MATCH(tblSales[[#This Row],[Key]],ตารางรวม!$Z:$Z,0))*tblSales[[#This Row],[จำนวนแก้ว]],0))</f>
        <v/>
      </c>
      <c r="V251" s="10" t="str">
        <f>IF(tblSales[[#This Row],[Key]]="","",IFERROR(INDEX(ตารางรวม!$I:$I,MATCH(tblSales[[#This Row],[Key]],ตารางรวม!$Z:$Z,0))*tblSales[[#This Row],[จำนวนแก้ว]],0))</f>
        <v/>
      </c>
      <c r="W251" s="10" t="str">
        <f>IF(tblSales[[#This Row],[Key]]="","",IFERROR(INDEX(ตารางรวม!$J:$J,MATCH(tblSales[[#This Row],[Key]],ตารางรวม!$Z:$Z,0))*tblSales[[#This Row],[จำนวนแก้ว]],0))</f>
        <v/>
      </c>
      <c r="X251" s="10" t="str">
        <f>IF(tblSales[[#This Row],[Key]]="","",IFERROR(INDEX(ตารางรวม!$K:$K,MATCH(tblSales[[#This Row],[Key]],ตารางรวม!$Z:$Z,0))*tblSales[[#This Row],[จำนวนแก้ว]],0))</f>
        <v/>
      </c>
      <c r="Y251" s="10" t="str">
        <f>IF(tblSales[[#This Row],[Key]]="","",IFERROR(INDEX(ตารางรวม!$L:$L,MATCH(tblSales[[#This Row],[Key]],ตารางรวม!$Z:$Z,0))*tblSales[[#This Row],[จำนวนแก้ว]],0))</f>
        <v/>
      </c>
      <c r="Z25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1" s="10" t="str">
        <f>IF(tblSales[[#This Row],[Key]]="","",IF(tblSales[[#This Row],[ขนาด]]="16 oz",tblSales[[#This Row],[จำนวนแก้ว]],0))</f>
        <v/>
      </c>
      <c r="AI251" s="10" t="str">
        <f>IF(tblSales[[#This Row],[Key]]="","",IF(tblSales[[#This Row],[ขนาด]]="20 oz",tblSales[[#This Row],[จำนวนแก้ว]],0))</f>
        <v/>
      </c>
      <c r="AJ251" s="10" t="str">
        <f>IF(tblSales[[#This Row],[Key]]="","",IF(tblSales[[#This Row],[ขนาด]]="22 oz",tblSales[[#This Row],[จำนวนแก้ว]],0))</f>
        <v/>
      </c>
    </row>
    <row r="252" spans="1:36" x14ac:dyDescent="0.25">
      <c r="A252" s="4" t="str">
        <f>IF(tblSales[[#This Row],[วันที่]]="","","S"&amp;TEXT(tblSales[[#This Row],[วันที่]],"yymmdd")&amp;"-"&amp;TEXT(ROW()-5,"000"))</f>
        <v/>
      </c>
      <c r="B252" s="16"/>
      <c r="C252" s="6"/>
      <c r="D252" s="6"/>
      <c r="E252" s="20"/>
      <c r="F252" s="6"/>
      <c r="G252" s="6"/>
      <c r="H252" s="6"/>
      <c r="I252" s="6"/>
      <c r="J25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2" s="8" t="str">
        <f>IF(tblSales[[#This Row],[Key]]="","",IFERROR(INDEX(ตารางรวม!$W:$W,MATCH(tblSales[[#This Row],[Key]],ตารางรวม!$Z:$Z,0)),"ไม่พบสูตร"))</f>
        <v/>
      </c>
      <c r="L252" s="8" t="str">
        <f>IF(tblSales[[#This Row],[Key]]="","",IFERROR(INDEX(ตารางรวม!$V:$V,MATCH(tblSales[[#This Row],[Key]],ตารางรวม!$Z:$Z,0)),"ไม่พบสูตร"))</f>
        <v/>
      </c>
      <c r="M252" s="8" t="str">
        <f>IF(tblSales[[#This Row],[Key]]="","",IFERROR(tblSales[[#This Row],[ราคาต่อแก้ว]]*tblSales[[#This Row],[จำนวนแก้ว]],""))</f>
        <v/>
      </c>
      <c r="N252" s="8" t="str">
        <f>IF(tblSales[[#This Row],[Key]]="","",IFERROR(tblSales[[#This Row],[ต้นทุนต่อแก้ว]]*tblSales[[#This Row],[จำนวนแก้ว]],""))</f>
        <v/>
      </c>
      <c r="O252" s="8" t="str">
        <f>IF(tblSales[[#This Row],[Key]]="","",IFERROR(tblSales[[#This Row],[ยอดขาย (บาท)]]-tblSales[[#This Row],[ต้นทุนรวม (บาท)]],""))</f>
        <v/>
      </c>
      <c r="P252" s="21" t="str">
        <f>IF(tblSales[[#This Row],[Key]]="","",IFERROR(tblSales[[#This Row],[กำไร (บาท)]]/tblSales[[#This Row],[ยอดขาย (บาท)]],""))</f>
        <v/>
      </c>
      <c r="Q252" s="10" t="str">
        <f>IF(tblSales[[#This Row],[Key]]="","",IFERROR(INDEX(ตารางรวม!$D:$D,MATCH(tblSales[[#This Row],[Key]],ตารางรวม!$Z:$Z,0))*tblSales[[#This Row],[จำนวนแก้ว]],0))</f>
        <v/>
      </c>
      <c r="R252" s="10" t="str">
        <f>IF(tblSales[[#This Row],[Key]]="","",IFERROR(INDEX(ตารางรวม!$E:$E,MATCH(tblSales[[#This Row],[Key]],ตารางรวม!$Z:$Z,0))*tblSales[[#This Row],[จำนวนแก้ว]],0))</f>
        <v/>
      </c>
      <c r="S252" s="10" t="str">
        <f>IF(tblSales[[#This Row],[Key]]="","",IFERROR(INDEX(ตารางรวม!$F:$F,MATCH(tblSales[[#This Row],[Key]],ตารางรวม!$Z:$Z,0))*tblSales[[#This Row],[จำนวนแก้ว]],0))</f>
        <v/>
      </c>
      <c r="T252" s="10" t="str">
        <f>IF(tblSales[[#This Row],[Key]]="","",IFERROR(INDEX(ตารางรวม!$G:$G,MATCH(tblSales[[#This Row],[Key]],ตารางรวม!$Z:$Z,0))*tblSales[[#This Row],[จำนวนแก้ว]],0))</f>
        <v/>
      </c>
      <c r="U252" s="10" t="str">
        <f>IF(tblSales[[#This Row],[Key]]="","",IFERROR(INDEX(ตารางรวม!$H:$H,MATCH(tblSales[[#This Row],[Key]],ตารางรวม!$Z:$Z,0))*tblSales[[#This Row],[จำนวนแก้ว]],0))</f>
        <v/>
      </c>
      <c r="V252" s="10" t="str">
        <f>IF(tblSales[[#This Row],[Key]]="","",IFERROR(INDEX(ตารางรวม!$I:$I,MATCH(tblSales[[#This Row],[Key]],ตารางรวม!$Z:$Z,0))*tblSales[[#This Row],[จำนวนแก้ว]],0))</f>
        <v/>
      </c>
      <c r="W252" s="10" t="str">
        <f>IF(tblSales[[#This Row],[Key]]="","",IFERROR(INDEX(ตารางรวม!$J:$J,MATCH(tblSales[[#This Row],[Key]],ตารางรวม!$Z:$Z,0))*tblSales[[#This Row],[จำนวนแก้ว]],0))</f>
        <v/>
      </c>
      <c r="X252" s="10" t="str">
        <f>IF(tblSales[[#This Row],[Key]]="","",IFERROR(INDEX(ตารางรวม!$K:$K,MATCH(tblSales[[#This Row],[Key]],ตารางรวม!$Z:$Z,0))*tblSales[[#This Row],[จำนวนแก้ว]],0))</f>
        <v/>
      </c>
      <c r="Y252" s="10" t="str">
        <f>IF(tblSales[[#This Row],[Key]]="","",IFERROR(INDEX(ตารางรวม!$L:$L,MATCH(tblSales[[#This Row],[Key]],ตารางรวม!$Z:$Z,0))*tblSales[[#This Row],[จำนวนแก้ว]],0))</f>
        <v/>
      </c>
      <c r="Z25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2" s="10" t="str">
        <f>IF(tblSales[[#This Row],[Key]]="","",IF(tblSales[[#This Row],[ขนาด]]="16 oz",tblSales[[#This Row],[จำนวนแก้ว]],0))</f>
        <v/>
      </c>
      <c r="AI252" s="10" t="str">
        <f>IF(tblSales[[#This Row],[Key]]="","",IF(tblSales[[#This Row],[ขนาด]]="20 oz",tblSales[[#This Row],[จำนวนแก้ว]],0))</f>
        <v/>
      </c>
      <c r="AJ252" s="10" t="str">
        <f>IF(tblSales[[#This Row],[Key]]="","",IF(tblSales[[#This Row],[ขนาด]]="22 oz",tblSales[[#This Row],[จำนวนแก้ว]],0))</f>
        <v/>
      </c>
    </row>
    <row r="253" spans="1:36" x14ac:dyDescent="0.25">
      <c r="A253" s="4" t="str">
        <f>IF(tblSales[[#This Row],[วันที่]]="","","S"&amp;TEXT(tblSales[[#This Row],[วันที่]],"yymmdd")&amp;"-"&amp;TEXT(ROW()-5,"000"))</f>
        <v/>
      </c>
      <c r="B253" s="16"/>
      <c r="C253" s="6"/>
      <c r="D253" s="6"/>
      <c r="E253" s="20"/>
      <c r="F253" s="6"/>
      <c r="G253" s="6"/>
      <c r="H253" s="6"/>
      <c r="I253" s="6"/>
      <c r="J25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3" s="8" t="str">
        <f>IF(tblSales[[#This Row],[Key]]="","",IFERROR(INDEX(ตารางรวม!$W:$W,MATCH(tblSales[[#This Row],[Key]],ตารางรวม!$Z:$Z,0)),"ไม่พบสูตร"))</f>
        <v/>
      </c>
      <c r="L253" s="8" t="str">
        <f>IF(tblSales[[#This Row],[Key]]="","",IFERROR(INDEX(ตารางรวม!$V:$V,MATCH(tblSales[[#This Row],[Key]],ตารางรวม!$Z:$Z,0)),"ไม่พบสูตร"))</f>
        <v/>
      </c>
      <c r="M253" s="8" t="str">
        <f>IF(tblSales[[#This Row],[Key]]="","",IFERROR(tblSales[[#This Row],[ราคาต่อแก้ว]]*tblSales[[#This Row],[จำนวนแก้ว]],""))</f>
        <v/>
      </c>
      <c r="N253" s="8" t="str">
        <f>IF(tblSales[[#This Row],[Key]]="","",IFERROR(tblSales[[#This Row],[ต้นทุนต่อแก้ว]]*tblSales[[#This Row],[จำนวนแก้ว]],""))</f>
        <v/>
      </c>
      <c r="O253" s="8" t="str">
        <f>IF(tblSales[[#This Row],[Key]]="","",IFERROR(tblSales[[#This Row],[ยอดขาย (บาท)]]-tblSales[[#This Row],[ต้นทุนรวม (บาท)]],""))</f>
        <v/>
      </c>
      <c r="P253" s="21" t="str">
        <f>IF(tblSales[[#This Row],[Key]]="","",IFERROR(tblSales[[#This Row],[กำไร (บาท)]]/tblSales[[#This Row],[ยอดขาย (บาท)]],""))</f>
        <v/>
      </c>
      <c r="Q253" s="10" t="str">
        <f>IF(tblSales[[#This Row],[Key]]="","",IFERROR(INDEX(ตารางรวม!$D:$D,MATCH(tblSales[[#This Row],[Key]],ตารางรวม!$Z:$Z,0))*tblSales[[#This Row],[จำนวนแก้ว]],0))</f>
        <v/>
      </c>
      <c r="R253" s="10" t="str">
        <f>IF(tblSales[[#This Row],[Key]]="","",IFERROR(INDEX(ตารางรวม!$E:$E,MATCH(tblSales[[#This Row],[Key]],ตารางรวม!$Z:$Z,0))*tblSales[[#This Row],[จำนวนแก้ว]],0))</f>
        <v/>
      </c>
      <c r="S253" s="10" t="str">
        <f>IF(tblSales[[#This Row],[Key]]="","",IFERROR(INDEX(ตารางรวม!$F:$F,MATCH(tblSales[[#This Row],[Key]],ตารางรวม!$Z:$Z,0))*tblSales[[#This Row],[จำนวนแก้ว]],0))</f>
        <v/>
      </c>
      <c r="T253" s="10" t="str">
        <f>IF(tblSales[[#This Row],[Key]]="","",IFERROR(INDEX(ตารางรวม!$G:$G,MATCH(tblSales[[#This Row],[Key]],ตารางรวม!$Z:$Z,0))*tblSales[[#This Row],[จำนวนแก้ว]],0))</f>
        <v/>
      </c>
      <c r="U253" s="10" t="str">
        <f>IF(tblSales[[#This Row],[Key]]="","",IFERROR(INDEX(ตารางรวม!$H:$H,MATCH(tblSales[[#This Row],[Key]],ตารางรวม!$Z:$Z,0))*tblSales[[#This Row],[จำนวนแก้ว]],0))</f>
        <v/>
      </c>
      <c r="V253" s="10" t="str">
        <f>IF(tblSales[[#This Row],[Key]]="","",IFERROR(INDEX(ตารางรวม!$I:$I,MATCH(tblSales[[#This Row],[Key]],ตารางรวม!$Z:$Z,0))*tblSales[[#This Row],[จำนวนแก้ว]],0))</f>
        <v/>
      </c>
      <c r="W253" s="10" t="str">
        <f>IF(tblSales[[#This Row],[Key]]="","",IFERROR(INDEX(ตารางรวม!$J:$J,MATCH(tblSales[[#This Row],[Key]],ตารางรวม!$Z:$Z,0))*tblSales[[#This Row],[จำนวนแก้ว]],0))</f>
        <v/>
      </c>
      <c r="X253" s="10" t="str">
        <f>IF(tblSales[[#This Row],[Key]]="","",IFERROR(INDEX(ตารางรวม!$K:$K,MATCH(tblSales[[#This Row],[Key]],ตารางรวม!$Z:$Z,0))*tblSales[[#This Row],[จำนวนแก้ว]],0))</f>
        <v/>
      </c>
      <c r="Y253" s="10" t="str">
        <f>IF(tblSales[[#This Row],[Key]]="","",IFERROR(INDEX(ตารางรวม!$L:$L,MATCH(tblSales[[#This Row],[Key]],ตารางรวม!$Z:$Z,0))*tblSales[[#This Row],[จำนวนแก้ว]],0))</f>
        <v/>
      </c>
      <c r="Z25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3" s="10" t="str">
        <f>IF(tblSales[[#This Row],[Key]]="","",IF(tblSales[[#This Row],[ขนาด]]="16 oz",tblSales[[#This Row],[จำนวนแก้ว]],0))</f>
        <v/>
      </c>
      <c r="AI253" s="10" t="str">
        <f>IF(tblSales[[#This Row],[Key]]="","",IF(tblSales[[#This Row],[ขนาด]]="20 oz",tblSales[[#This Row],[จำนวนแก้ว]],0))</f>
        <v/>
      </c>
      <c r="AJ253" s="10" t="str">
        <f>IF(tblSales[[#This Row],[Key]]="","",IF(tblSales[[#This Row],[ขนาด]]="22 oz",tblSales[[#This Row],[จำนวนแก้ว]],0))</f>
        <v/>
      </c>
    </row>
    <row r="254" spans="1:36" x14ac:dyDescent="0.25">
      <c r="A254" s="4" t="str">
        <f>IF(tblSales[[#This Row],[วันที่]]="","","S"&amp;TEXT(tblSales[[#This Row],[วันที่]],"yymmdd")&amp;"-"&amp;TEXT(ROW()-5,"000"))</f>
        <v/>
      </c>
      <c r="B254" s="16"/>
      <c r="C254" s="6"/>
      <c r="D254" s="6"/>
      <c r="E254" s="20"/>
      <c r="F254" s="6"/>
      <c r="G254" s="6"/>
      <c r="H254" s="6"/>
      <c r="I254" s="6"/>
      <c r="J25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4" s="8" t="str">
        <f>IF(tblSales[[#This Row],[Key]]="","",IFERROR(INDEX(ตารางรวม!$W:$W,MATCH(tblSales[[#This Row],[Key]],ตารางรวม!$Z:$Z,0)),"ไม่พบสูตร"))</f>
        <v/>
      </c>
      <c r="L254" s="8" t="str">
        <f>IF(tblSales[[#This Row],[Key]]="","",IFERROR(INDEX(ตารางรวม!$V:$V,MATCH(tblSales[[#This Row],[Key]],ตารางรวม!$Z:$Z,0)),"ไม่พบสูตร"))</f>
        <v/>
      </c>
      <c r="M254" s="8" t="str">
        <f>IF(tblSales[[#This Row],[Key]]="","",IFERROR(tblSales[[#This Row],[ราคาต่อแก้ว]]*tblSales[[#This Row],[จำนวนแก้ว]],""))</f>
        <v/>
      </c>
      <c r="N254" s="8" t="str">
        <f>IF(tblSales[[#This Row],[Key]]="","",IFERROR(tblSales[[#This Row],[ต้นทุนต่อแก้ว]]*tblSales[[#This Row],[จำนวนแก้ว]],""))</f>
        <v/>
      </c>
      <c r="O254" s="8" t="str">
        <f>IF(tblSales[[#This Row],[Key]]="","",IFERROR(tblSales[[#This Row],[ยอดขาย (บาท)]]-tblSales[[#This Row],[ต้นทุนรวม (บาท)]],""))</f>
        <v/>
      </c>
      <c r="P254" s="21" t="str">
        <f>IF(tblSales[[#This Row],[Key]]="","",IFERROR(tblSales[[#This Row],[กำไร (บาท)]]/tblSales[[#This Row],[ยอดขาย (บาท)]],""))</f>
        <v/>
      </c>
      <c r="Q254" s="10" t="str">
        <f>IF(tblSales[[#This Row],[Key]]="","",IFERROR(INDEX(ตารางรวม!$D:$D,MATCH(tblSales[[#This Row],[Key]],ตารางรวม!$Z:$Z,0))*tblSales[[#This Row],[จำนวนแก้ว]],0))</f>
        <v/>
      </c>
      <c r="R254" s="10" t="str">
        <f>IF(tblSales[[#This Row],[Key]]="","",IFERROR(INDEX(ตารางรวม!$E:$E,MATCH(tblSales[[#This Row],[Key]],ตารางรวม!$Z:$Z,0))*tblSales[[#This Row],[จำนวนแก้ว]],0))</f>
        <v/>
      </c>
      <c r="S254" s="10" t="str">
        <f>IF(tblSales[[#This Row],[Key]]="","",IFERROR(INDEX(ตารางรวม!$F:$F,MATCH(tblSales[[#This Row],[Key]],ตารางรวม!$Z:$Z,0))*tblSales[[#This Row],[จำนวนแก้ว]],0))</f>
        <v/>
      </c>
      <c r="T254" s="10" t="str">
        <f>IF(tblSales[[#This Row],[Key]]="","",IFERROR(INDEX(ตารางรวม!$G:$G,MATCH(tblSales[[#This Row],[Key]],ตารางรวม!$Z:$Z,0))*tblSales[[#This Row],[จำนวนแก้ว]],0))</f>
        <v/>
      </c>
      <c r="U254" s="10" t="str">
        <f>IF(tblSales[[#This Row],[Key]]="","",IFERROR(INDEX(ตารางรวม!$H:$H,MATCH(tblSales[[#This Row],[Key]],ตารางรวม!$Z:$Z,0))*tblSales[[#This Row],[จำนวนแก้ว]],0))</f>
        <v/>
      </c>
      <c r="V254" s="10" t="str">
        <f>IF(tblSales[[#This Row],[Key]]="","",IFERROR(INDEX(ตารางรวม!$I:$I,MATCH(tblSales[[#This Row],[Key]],ตารางรวม!$Z:$Z,0))*tblSales[[#This Row],[จำนวนแก้ว]],0))</f>
        <v/>
      </c>
      <c r="W254" s="10" t="str">
        <f>IF(tblSales[[#This Row],[Key]]="","",IFERROR(INDEX(ตารางรวม!$J:$J,MATCH(tblSales[[#This Row],[Key]],ตารางรวม!$Z:$Z,0))*tblSales[[#This Row],[จำนวนแก้ว]],0))</f>
        <v/>
      </c>
      <c r="X254" s="10" t="str">
        <f>IF(tblSales[[#This Row],[Key]]="","",IFERROR(INDEX(ตารางรวม!$K:$K,MATCH(tblSales[[#This Row],[Key]],ตารางรวม!$Z:$Z,0))*tblSales[[#This Row],[จำนวนแก้ว]],0))</f>
        <v/>
      </c>
      <c r="Y254" s="10" t="str">
        <f>IF(tblSales[[#This Row],[Key]]="","",IFERROR(INDEX(ตารางรวม!$L:$L,MATCH(tblSales[[#This Row],[Key]],ตารางรวม!$Z:$Z,0))*tblSales[[#This Row],[จำนวนแก้ว]],0))</f>
        <v/>
      </c>
      <c r="Z25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4" s="10" t="str">
        <f>IF(tblSales[[#This Row],[Key]]="","",IF(tblSales[[#This Row],[ขนาด]]="16 oz",tblSales[[#This Row],[จำนวนแก้ว]],0))</f>
        <v/>
      </c>
      <c r="AI254" s="10" t="str">
        <f>IF(tblSales[[#This Row],[Key]]="","",IF(tblSales[[#This Row],[ขนาด]]="20 oz",tblSales[[#This Row],[จำนวนแก้ว]],0))</f>
        <v/>
      </c>
      <c r="AJ254" s="10" t="str">
        <f>IF(tblSales[[#This Row],[Key]]="","",IF(tblSales[[#This Row],[ขนาด]]="22 oz",tblSales[[#This Row],[จำนวนแก้ว]],0))</f>
        <v/>
      </c>
    </row>
    <row r="255" spans="1:36" x14ac:dyDescent="0.25">
      <c r="A255" s="4" t="str">
        <f>IF(tblSales[[#This Row],[วันที่]]="","","S"&amp;TEXT(tblSales[[#This Row],[วันที่]],"yymmdd")&amp;"-"&amp;TEXT(ROW()-5,"000"))</f>
        <v/>
      </c>
      <c r="B255" s="16"/>
      <c r="C255" s="6"/>
      <c r="D255" s="6"/>
      <c r="E255" s="20"/>
      <c r="F255" s="6"/>
      <c r="G255" s="6"/>
      <c r="H255" s="6"/>
      <c r="I255" s="6"/>
      <c r="J25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5" s="8" t="str">
        <f>IF(tblSales[[#This Row],[Key]]="","",IFERROR(INDEX(ตารางรวม!$W:$W,MATCH(tblSales[[#This Row],[Key]],ตารางรวม!$Z:$Z,0)),"ไม่พบสูตร"))</f>
        <v/>
      </c>
      <c r="L255" s="8" t="str">
        <f>IF(tblSales[[#This Row],[Key]]="","",IFERROR(INDEX(ตารางรวม!$V:$V,MATCH(tblSales[[#This Row],[Key]],ตารางรวม!$Z:$Z,0)),"ไม่พบสูตร"))</f>
        <v/>
      </c>
      <c r="M255" s="8" t="str">
        <f>IF(tblSales[[#This Row],[Key]]="","",IFERROR(tblSales[[#This Row],[ราคาต่อแก้ว]]*tblSales[[#This Row],[จำนวนแก้ว]],""))</f>
        <v/>
      </c>
      <c r="N255" s="8" t="str">
        <f>IF(tblSales[[#This Row],[Key]]="","",IFERROR(tblSales[[#This Row],[ต้นทุนต่อแก้ว]]*tblSales[[#This Row],[จำนวนแก้ว]],""))</f>
        <v/>
      </c>
      <c r="O255" s="8" t="str">
        <f>IF(tblSales[[#This Row],[Key]]="","",IFERROR(tblSales[[#This Row],[ยอดขาย (บาท)]]-tblSales[[#This Row],[ต้นทุนรวม (บาท)]],""))</f>
        <v/>
      </c>
      <c r="P255" s="21" t="str">
        <f>IF(tblSales[[#This Row],[Key]]="","",IFERROR(tblSales[[#This Row],[กำไร (บาท)]]/tblSales[[#This Row],[ยอดขาย (บาท)]],""))</f>
        <v/>
      </c>
      <c r="Q255" s="10" t="str">
        <f>IF(tblSales[[#This Row],[Key]]="","",IFERROR(INDEX(ตารางรวม!$D:$D,MATCH(tblSales[[#This Row],[Key]],ตารางรวม!$Z:$Z,0))*tblSales[[#This Row],[จำนวนแก้ว]],0))</f>
        <v/>
      </c>
      <c r="R255" s="10" t="str">
        <f>IF(tblSales[[#This Row],[Key]]="","",IFERROR(INDEX(ตารางรวม!$E:$E,MATCH(tblSales[[#This Row],[Key]],ตารางรวม!$Z:$Z,0))*tblSales[[#This Row],[จำนวนแก้ว]],0))</f>
        <v/>
      </c>
      <c r="S255" s="10" t="str">
        <f>IF(tblSales[[#This Row],[Key]]="","",IFERROR(INDEX(ตารางรวม!$F:$F,MATCH(tblSales[[#This Row],[Key]],ตารางรวม!$Z:$Z,0))*tblSales[[#This Row],[จำนวนแก้ว]],0))</f>
        <v/>
      </c>
      <c r="T255" s="10" t="str">
        <f>IF(tblSales[[#This Row],[Key]]="","",IFERROR(INDEX(ตารางรวม!$G:$G,MATCH(tblSales[[#This Row],[Key]],ตารางรวม!$Z:$Z,0))*tblSales[[#This Row],[จำนวนแก้ว]],0))</f>
        <v/>
      </c>
      <c r="U255" s="10" t="str">
        <f>IF(tblSales[[#This Row],[Key]]="","",IFERROR(INDEX(ตารางรวม!$H:$H,MATCH(tblSales[[#This Row],[Key]],ตารางรวม!$Z:$Z,0))*tblSales[[#This Row],[จำนวนแก้ว]],0))</f>
        <v/>
      </c>
      <c r="V255" s="10" t="str">
        <f>IF(tblSales[[#This Row],[Key]]="","",IFERROR(INDEX(ตารางรวม!$I:$I,MATCH(tblSales[[#This Row],[Key]],ตารางรวม!$Z:$Z,0))*tblSales[[#This Row],[จำนวนแก้ว]],0))</f>
        <v/>
      </c>
      <c r="W255" s="10" t="str">
        <f>IF(tblSales[[#This Row],[Key]]="","",IFERROR(INDEX(ตารางรวม!$J:$J,MATCH(tblSales[[#This Row],[Key]],ตารางรวม!$Z:$Z,0))*tblSales[[#This Row],[จำนวนแก้ว]],0))</f>
        <v/>
      </c>
      <c r="X255" s="10" t="str">
        <f>IF(tblSales[[#This Row],[Key]]="","",IFERROR(INDEX(ตารางรวม!$K:$K,MATCH(tblSales[[#This Row],[Key]],ตารางรวม!$Z:$Z,0))*tblSales[[#This Row],[จำนวนแก้ว]],0))</f>
        <v/>
      </c>
      <c r="Y255" s="10" t="str">
        <f>IF(tblSales[[#This Row],[Key]]="","",IFERROR(INDEX(ตารางรวม!$L:$L,MATCH(tblSales[[#This Row],[Key]],ตารางรวม!$Z:$Z,0))*tblSales[[#This Row],[จำนวนแก้ว]],0))</f>
        <v/>
      </c>
      <c r="Z25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5" s="10" t="str">
        <f>IF(tblSales[[#This Row],[Key]]="","",IF(tblSales[[#This Row],[ขนาด]]="16 oz",tblSales[[#This Row],[จำนวนแก้ว]],0))</f>
        <v/>
      </c>
      <c r="AI255" s="10" t="str">
        <f>IF(tblSales[[#This Row],[Key]]="","",IF(tblSales[[#This Row],[ขนาด]]="20 oz",tblSales[[#This Row],[จำนวนแก้ว]],0))</f>
        <v/>
      </c>
      <c r="AJ255" s="10" t="str">
        <f>IF(tblSales[[#This Row],[Key]]="","",IF(tblSales[[#This Row],[ขนาด]]="22 oz",tblSales[[#This Row],[จำนวนแก้ว]],0))</f>
        <v/>
      </c>
    </row>
    <row r="256" spans="1:36" x14ac:dyDescent="0.25">
      <c r="A256" s="4" t="str">
        <f>IF(tblSales[[#This Row],[วันที่]]="","","S"&amp;TEXT(tblSales[[#This Row],[วันที่]],"yymmdd")&amp;"-"&amp;TEXT(ROW()-5,"000"))</f>
        <v/>
      </c>
      <c r="B256" s="16"/>
      <c r="C256" s="6"/>
      <c r="D256" s="6"/>
      <c r="E256" s="20"/>
      <c r="F256" s="6"/>
      <c r="G256" s="6"/>
      <c r="H256" s="6"/>
      <c r="I256" s="6"/>
      <c r="J25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6" s="8" t="str">
        <f>IF(tblSales[[#This Row],[Key]]="","",IFERROR(INDEX(ตารางรวม!$W:$W,MATCH(tblSales[[#This Row],[Key]],ตารางรวม!$Z:$Z,0)),"ไม่พบสูตร"))</f>
        <v/>
      </c>
      <c r="L256" s="8" t="str">
        <f>IF(tblSales[[#This Row],[Key]]="","",IFERROR(INDEX(ตารางรวม!$V:$V,MATCH(tblSales[[#This Row],[Key]],ตารางรวม!$Z:$Z,0)),"ไม่พบสูตร"))</f>
        <v/>
      </c>
      <c r="M256" s="8" t="str">
        <f>IF(tblSales[[#This Row],[Key]]="","",IFERROR(tblSales[[#This Row],[ราคาต่อแก้ว]]*tblSales[[#This Row],[จำนวนแก้ว]],""))</f>
        <v/>
      </c>
      <c r="N256" s="8" t="str">
        <f>IF(tblSales[[#This Row],[Key]]="","",IFERROR(tblSales[[#This Row],[ต้นทุนต่อแก้ว]]*tblSales[[#This Row],[จำนวนแก้ว]],""))</f>
        <v/>
      </c>
      <c r="O256" s="8" t="str">
        <f>IF(tblSales[[#This Row],[Key]]="","",IFERROR(tblSales[[#This Row],[ยอดขาย (บาท)]]-tblSales[[#This Row],[ต้นทุนรวม (บาท)]],""))</f>
        <v/>
      </c>
      <c r="P256" s="21" t="str">
        <f>IF(tblSales[[#This Row],[Key]]="","",IFERROR(tblSales[[#This Row],[กำไร (บาท)]]/tblSales[[#This Row],[ยอดขาย (บาท)]],""))</f>
        <v/>
      </c>
      <c r="Q256" s="10" t="str">
        <f>IF(tblSales[[#This Row],[Key]]="","",IFERROR(INDEX(ตารางรวม!$D:$D,MATCH(tblSales[[#This Row],[Key]],ตารางรวม!$Z:$Z,0))*tblSales[[#This Row],[จำนวนแก้ว]],0))</f>
        <v/>
      </c>
      <c r="R256" s="10" t="str">
        <f>IF(tblSales[[#This Row],[Key]]="","",IFERROR(INDEX(ตารางรวม!$E:$E,MATCH(tblSales[[#This Row],[Key]],ตารางรวม!$Z:$Z,0))*tblSales[[#This Row],[จำนวนแก้ว]],0))</f>
        <v/>
      </c>
      <c r="S256" s="10" t="str">
        <f>IF(tblSales[[#This Row],[Key]]="","",IFERROR(INDEX(ตารางรวม!$F:$F,MATCH(tblSales[[#This Row],[Key]],ตารางรวม!$Z:$Z,0))*tblSales[[#This Row],[จำนวนแก้ว]],0))</f>
        <v/>
      </c>
      <c r="T256" s="10" t="str">
        <f>IF(tblSales[[#This Row],[Key]]="","",IFERROR(INDEX(ตารางรวม!$G:$G,MATCH(tblSales[[#This Row],[Key]],ตารางรวม!$Z:$Z,0))*tblSales[[#This Row],[จำนวนแก้ว]],0))</f>
        <v/>
      </c>
      <c r="U256" s="10" t="str">
        <f>IF(tblSales[[#This Row],[Key]]="","",IFERROR(INDEX(ตารางรวม!$H:$H,MATCH(tblSales[[#This Row],[Key]],ตารางรวม!$Z:$Z,0))*tblSales[[#This Row],[จำนวนแก้ว]],0))</f>
        <v/>
      </c>
      <c r="V256" s="10" t="str">
        <f>IF(tblSales[[#This Row],[Key]]="","",IFERROR(INDEX(ตารางรวม!$I:$I,MATCH(tblSales[[#This Row],[Key]],ตารางรวม!$Z:$Z,0))*tblSales[[#This Row],[จำนวนแก้ว]],0))</f>
        <v/>
      </c>
      <c r="W256" s="10" t="str">
        <f>IF(tblSales[[#This Row],[Key]]="","",IFERROR(INDEX(ตารางรวม!$J:$J,MATCH(tblSales[[#This Row],[Key]],ตารางรวม!$Z:$Z,0))*tblSales[[#This Row],[จำนวนแก้ว]],0))</f>
        <v/>
      </c>
      <c r="X256" s="10" t="str">
        <f>IF(tblSales[[#This Row],[Key]]="","",IFERROR(INDEX(ตารางรวม!$K:$K,MATCH(tblSales[[#This Row],[Key]],ตารางรวม!$Z:$Z,0))*tblSales[[#This Row],[จำนวนแก้ว]],0))</f>
        <v/>
      </c>
      <c r="Y256" s="10" t="str">
        <f>IF(tblSales[[#This Row],[Key]]="","",IFERROR(INDEX(ตารางรวม!$L:$L,MATCH(tblSales[[#This Row],[Key]],ตารางรวม!$Z:$Z,0))*tblSales[[#This Row],[จำนวนแก้ว]],0))</f>
        <v/>
      </c>
      <c r="Z25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6" s="10" t="str">
        <f>IF(tblSales[[#This Row],[Key]]="","",IF(tblSales[[#This Row],[ขนาด]]="16 oz",tblSales[[#This Row],[จำนวนแก้ว]],0))</f>
        <v/>
      </c>
      <c r="AI256" s="10" t="str">
        <f>IF(tblSales[[#This Row],[Key]]="","",IF(tblSales[[#This Row],[ขนาด]]="20 oz",tblSales[[#This Row],[จำนวนแก้ว]],0))</f>
        <v/>
      </c>
      <c r="AJ256" s="10" t="str">
        <f>IF(tblSales[[#This Row],[Key]]="","",IF(tblSales[[#This Row],[ขนาด]]="22 oz",tblSales[[#This Row],[จำนวนแก้ว]],0))</f>
        <v/>
      </c>
    </row>
    <row r="257" spans="1:36" x14ac:dyDescent="0.25">
      <c r="A257" s="4" t="str">
        <f>IF(tblSales[[#This Row],[วันที่]]="","","S"&amp;TEXT(tblSales[[#This Row],[วันที่]],"yymmdd")&amp;"-"&amp;TEXT(ROW()-5,"000"))</f>
        <v/>
      </c>
      <c r="B257" s="16"/>
      <c r="C257" s="6"/>
      <c r="D257" s="6"/>
      <c r="E257" s="20"/>
      <c r="F257" s="6"/>
      <c r="G257" s="6"/>
      <c r="H257" s="6"/>
      <c r="I257" s="6"/>
      <c r="J25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7" s="8" t="str">
        <f>IF(tblSales[[#This Row],[Key]]="","",IFERROR(INDEX(ตารางรวม!$W:$W,MATCH(tblSales[[#This Row],[Key]],ตารางรวม!$Z:$Z,0)),"ไม่พบสูตร"))</f>
        <v/>
      </c>
      <c r="L257" s="8" t="str">
        <f>IF(tblSales[[#This Row],[Key]]="","",IFERROR(INDEX(ตารางรวม!$V:$V,MATCH(tblSales[[#This Row],[Key]],ตารางรวม!$Z:$Z,0)),"ไม่พบสูตร"))</f>
        <v/>
      </c>
      <c r="M257" s="8" t="str">
        <f>IF(tblSales[[#This Row],[Key]]="","",IFERROR(tblSales[[#This Row],[ราคาต่อแก้ว]]*tblSales[[#This Row],[จำนวนแก้ว]],""))</f>
        <v/>
      </c>
      <c r="N257" s="8" t="str">
        <f>IF(tblSales[[#This Row],[Key]]="","",IFERROR(tblSales[[#This Row],[ต้นทุนต่อแก้ว]]*tblSales[[#This Row],[จำนวนแก้ว]],""))</f>
        <v/>
      </c>
      <c r="O257" s="8" t="str">
        <f>IF(tblSales[[#This Row],[Key]]="","",IFERROR(tblSales[[#This Row],[ยอดขาย (บาท)]]-tblSales[[#This Row],[ต้นทุนรวม (บาท)]],""))</f>
        <v/>
      </c>
      <c r="P257" s="21" t="str">
        <f>IF(tblSales[[#This Row],[Key]]="","",IFERROR(tblSales[[#This Row],[กำไร (บาท)]]/tblSales[[#This Row],[ยอดขาย (บาท)]],""))</f>
        <v/>
      </c>
      <c r="Q257" s="10" t="str">
        <f>IF(tblSales[[#This Row],[Key]]="","",IFERROR(INDEX(ตารางรวม!$D:$D,MATCH(tblSales[[#This Row],[Key]],ตารางรวม!$Z:$Z,0))*tblSales[[#This Row],[จำนวนแก้ว]],0))</f>
        <v/>
      </c>
      <c r="R257" s="10" t="str">
        <f>IF(tblSales[[#This Row],[Key]]="","",IFERROR(INDEX(ตารางรวม!$E:$E,MATCH(tblSales[[#This Row],[Key]],ตารางรวม!$Z:$Z,0))*tblSales[[#This Row],[จำนวนแก้ว]],0))</f>
        <v/>
      </c>
      <c r="S257" s="10" t="str">
        <f>IF(tblSales[[#This Row],[Key]]="","",IFERROR(INDEX(ตารางรวม!$F:$F,MATCH(tblSales[[#This Row],[Key]],ตารางรวม!$Z:$Z,0))*tblSales[[#This Row],[จำนวนแก้ว]],0))</f>
        <v/>
      </c>
      <c r="T257" s="10" t="str">
        <f>IF(tblSales[[#This Row],[Key]]="","",IFERROR(INDEX(ตารางรวม!$G:$G,MATCH(tblSales[[#This Row],[Key]],ตารางรวม!$Z:$Z,0))*tblSales[[#This Row],[จำนวนแก้ว]],0))</f>
        <v/>
      </c>
      <c r="U257" s="10" t="str">
        <f>IF(tblSales[[#This Row],[Key]]="","",IFERROR(INDEX(ตารางรวม!$H:$H,MATCH(tblSales[[#This Row],[Key]],ตารางรวม!$Z:$Z,0))*tblSales[[#This Row],[จำนวนแก้ว]],0))</f>
        <v/>
      </c>
      <c r="V257" s="10" t="str">
        <f>IF(tblSales[[#This Row],[Key]]="","",IFERROR(INDEX(ตารางรวม!$I:$I,MATCH(tblSales[[#This Row],[Key]],ตารางรวม!$Z:$Z,0))*tblSales[[#This Row],[จำนวนแก้ว]],0))</f>
        <v/>
      </c>
      <c r="W257" s="10" t="str">
        <f>IF(tblSales[[#This Row],[Key]]="","",IFERROR(INDEX(ตารางรวม!$J:$J,MATCH(tblSales[[#This Row],[Key]],ตารางรวม!$Z:$Z,0))*tblSales[[#This Row],[จำนวนแก้ว]],0))</f>
        <v/>
      </c>
      <c r="X257" s="10" t="str">
        <f>IF(tblSales[[#This Row],[Key]]="","",IFERROR(INDEX(ตารางรวม!$K:$K,MATCH(tblSales[[#This Row],[Key]],ตารางรวม!$Z:$Z,0))*tblSales[[#This Row],[จำนวนแก้ว]],0))</f>
        <v/>
      </c>
      <c r="Y257" s="10" t="str">
        <f>IF(tblSales[[#This Row],[Key]]="","",IFERROR(INDEX(ตารางรวม!$L:$L,MATCH(tblSales[[#This Row],[Key]],ตารางรวม!$Z:$Z,0))*tblSales[[#This Row],[จำนวนแก้ว]],0))</f>
        <v/>
      </c>
      <c r="Z25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7" s="10" t="str">
        <f>IF(tblSales[[#This Row],[Key]]="","",IF(tblSales[[#This Row],[ขนาด]]="16 oz",tblSales[[#This Row],[จำนวนแก้ว]],0))</f>
        <v/>
      </c>
      <c r="AI257" s="10" t="str">
        <f>IF(tblSales[[#This Row],[Key]]="","",IF(tblSales[[#This Row],[ขนาด]]="20 oz",tblSales[[#This Row],[จำนวนแก้ว]],0))</f>
        <v/>
      </c>
      <c r="AJ257" s="10" t="str">
        <f>IF(tblSales[[#This Row],[Key]]="","",IF(tblSales[[#This Row],[ขนาด]]="22 oz",tblSales[[#This Row],[จำนวนแก้ว]],0))</f>
        <v/>
      </c>
    </row>
    <row r="258" spans="1:36" x14ac:dyDescent="0.25">
      <c r="A258" s="4" t="str">
        <f>IF(tblSales[[#This Row],[วันที่]]="","","S"&amp;TEXT(tblSales[[#This Row],[วันที่]],"yymmdd")&amp;"-"&amp;TEXT(ROW()-5,"000"))</f>
        <v/>
      </c>
      <c r="B258" s="16"/>
      <c r="C258" s="6"/>
      <c r="D258" s="6"/>
      <c r="E258" s="20"/>
      <c r="F258" s="6"/>
      <c r="G258" s="6"/>
      <c r="H258" s="6"/>
      <c r="I258" s="6"/>
      <c r="J25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8" s="8" t="str">
        <f>IF(tblSales[[#This Row],[Key]]="","",IFERROR(INDEX(ตารางรวม!$W:$W,MATCH(tblSales[[#This Row],[Key]],ตารางรวม!$Z:$Z,0)),"ไม่พบสูตร"))</f>
        <v/>
      </c>
      <c r="L258" s="8" t="str">
        <f>IF(tblSales[[#This Row],[Key]]="","",IFERROR(INDEX(ตารางรวม!$V:$V,MATCH(tblSales[[#This Row],[Key]],ตารางรวม!$Z:$Z,0)),"ไม่พบสูตร"))</f>
        <v/>
      </c>
      <c r="M258" s="8" t="str">
        <f>IF(tblSales[[#This Row],[Key]]="","",IFERROR(tblSales[[#This Row],[ราคาต่อแก้ว]]*tblSales[[#This Row],[จำนวนแก้ว]],""))</f>
        <v/>
      </c>
      <c r="N258" s="8" t="str">
        <f>IF(tblSales[[#This Row],[Key]]="","",IFERROR(tblSales[[#This Row],[ต้นทุนต่อแก้ว]]*tblSales[[#This Row],[จำนวนแก้ว]],""))</f>
        <v/>
      </c>
      <c r="O258" s="8" t="str">
        <f>IF(tblSales[[#This Row],[Key]]="","",IFERROR(tblSales[[#This Row],[ยอดขาย (บาท)]]-tblSales[[#This Row],[ต้นทุนรวม (บาท)]],""))</f>
        <v/>
      </c>
      <c r="P258" s="21" t="str">
        <f>IF(tblSales[[#This Row],[Key]]="","",IFERROR(tblSales[[#This Row],[กำไร (บาท)]]/tblSales[[#This Row],[ยอดขาย (บาท)]],""))</f>
        <v/>
      </c>
      <c r="Q258" s="10" t="str">
        <f>IF(tblSales[[#This Row],[Key]]="","",IFERROR(INDEX(ตารางรวม!$D:$D,MATCH(tblSales[[#This Row],[Key]],ตารางรวม!$Z:$Z,0))*tblSales[[#This Row],[จำนวนแก้ว]],0))</f>
        <v/>
      </c>
      <c r="R258" s="10" t="str">
        <f>IF(tblSales[[#This Row],[Key]]="","",IFERROR(INDEX(ตารางรวม!$E:$E,MATCH(tblSales[[#This Row],[Key]],ตารางรวม!$Z:$Z,0))*tblSales[[#This Row],[จำนวนแก้ว]],0))</f>
        <v/>
      </c>
      <c r="S258" s="10" t="str">
        <f>IF(tblSales[[#This Row],[Key]]="","",IFERROR(INDEX(ตารางรวม!$F:$F,MATCH(tblSales[[#This Row],[Key]],ตารางรวม!$Z:$Z,0))*tblSales[[#This Row],[จำนวนแก้ว]],0))</f>
        <v/>
      </c>
      <c r="T258" s="10" t="str">
        <f>IF(tblSales[[#This Row],[Key]]="","",IFERROR(INDEX(ตารางรวม!$G:$G,MATCH(tblSales[[#This Row],[Key]],ตารางรวม!$Z:$Z,0))*tblSales[[#This Row],[จำนวนแก้ว]],0))</f>
        <v/>
      </c>
      <c r="U258" s="10" t="str">
        <f>IF(tblSales[[#This Row],[Key]]="","",IFERROR(INDEX(ตารางรวม!$H:$H,MATCH(tblSales[[#This Row],[Key]],ตารางรวม!$Z:$Z,0))*tblSales[[#This Row],[จำนวนแก้ว]],0))</f>
        <v/>
      </c>
      <c r="V258" s="10" t="str">
        <f>IF(tblSales[[#This Row],[Key]]="","",IFERROR(INDEX(ตารางรวม!$I:$I,MATCH(tblSales[[#This Row],[Key]],ตารางรวม!$Z:$Z,0))*tblSales[[#This Row],[จำนวนแก้ว]],0))</f>
        <v/>
      </c>
      <c r="W258" s="10" t="str">
        <f>IF(tblSales[[#This Row],[Key]]="","",IFERROR(INDEX(ตารางรวม!$J:$J,MATCH(tblSales[[#This Row],[Key]],ตารางรวม!$Z:$Z,0))*tblSales[[#This Row],[จำนวนแก้ว]],0))</f>
        <v/>
      </c>
      <c r="X258" s="10" t="str">
        <f>IF(tblSales[[#This Row],[Key]]="","",IFERROR(INDEX(ตารางรวม!$K:$K,MATCH(tblSales[[#This Row],[Key]],ตารางรวม!$Z:$Z,0))*tblSales[[#This Row],[จำนวนแก้ว]],0))</f>
        <v/>
      </c>
      <c r="Y258" s="10" t="str">
        <f>IF(tblSales[[#This Row],[Key]]="","",IFERROR(INDEX(ตารางรวม!$L:$L,MATCH(tblSales[[#This Row],[Key]],ตารางรวม!$Z:$Z,0))*tblSales[[#This Row],[จำนวนแก้ว]],0))</f>
        <v/>
      </c>
      <c r="Z25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8" s="10" t="str">
        <f>IF(tblSales[[#This Row],[Key]]="","",IF(tblSales[[#This Row],[ขนาด]]="16 oz",tblSales[[#This Row],[จำนวนแก้ว]],0))</f>
        <v/>
      </c>
      <c r="AI258" s="10" t="str">
        <f>IF(tblSales[[#This Row],[Key]]="","",IF(tblSales[[#This Row],[ขนาด]]="20 oz",tblSales[[#This Row],[จำนวนแก้ว]],0))</f>
        <v/>
      </c>
      <c r="AJ258" s="10" t="str">
        <f>IF(tblSales[[#This Row],[Key]]="","",IF(tblSales[[#This Row],[ขนาด]]="22 oz",tblSales[[#This Row],[จำนวนแก้ว]],0))</f>
        <v/>
      </c>
    </row>
    <row r="259" spans="1:36" x14ac:dyDescent="0.25">
      <c r="A259" s="4" t="str">
        <f>IF(tblSales[[#This Row],[วันที่]]="","","S"&amp;TEXT(tblSales[[#This Row],[วันที่]],"yymmdd")&amp;"-"&amp;TEXT(ROW()-5,"000"))</f>
        <v/>
      </c>
      <c r="B259" s="16"/>
      <c r="C259" s="6"/>
      <c r="D259" s="6"/>
      <c r="E259" s="20"/>
      <c r="F259" s="6"/>
      <c r="G259" s="6"/>
      <c r="H259" s="6"/>
      <c r="I259" s="6"/>
      <c r="J25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59" s="8" t="str">
        <f>IF(tblSales[[#This Row],[Key]]="","",IFERROR(INDEX(ตารางรวม!$W:$W,MATCH(tblSales[[#This Row],[Key]],ตารางรวม!$Z:$Z,0)),"ไม่พบสูตร"))</f>
        <v/>
      </c>
      <c r="L259" s="8" t="str">
        <f>IF(tblSales[[#This Row],[Key]]="","",IFERROR(INDEX(ตารางรวม!$V:$V,MATCH(tblSales[[#This Row],[Key]],ตารางรวม!$Z:$Z,0)),"ไม่พบสูตร"))</f>
        <v/>
      </c>
      <c r="M259" s="8" t="str">
        <f>IF(tblSales[[#This Row],[Key]]="","",IFERROR(tblSales[[#This Row],[ราคาต่อแก้ว]]*tblSales[[#This Row],[จำนวนแก้ว]],""))</f>
        <v/>
      </c>
      <c r="N259" s="8" t="str">
        <f>IF(tblSales[[#This Row],[Key]]="","",IFERROR(tblSales[[#This Row],[ต้นทุนต่อแก้ว]]*tblSales[[#This Row],[จำนวนแก้ว]],""))</f>
        <v/>
      </c>
      <c r="O259" s="8" t="str">
        <f>IF(tblSales[[#This Row],[Key]]="","",IFERROR(tblSales[[#This Row],[ยอดขาย (บาท)]]-tblSales[[#This Row],[ต้นทุนรวม (บาท)]],""))</f>
        <v/>
      </c>
      <c r="P259" s="21" t="str">
        <f>IF(tblSales[[#This Row],[Key]]="","",IFERROR(tblSales[[#This Row],[กำไร (บาท)]]/tblSales[[#This Row],[ยอดขาย (บาท)]],""))</f>
        <v/>
      </c>
      <c r="Q259" s="10" t="str">
        <f>IF(tblSales[[#This Row],[Key]]="","",IFERROR(INDEX(ตารางรวม!$D:$D,MATCH(tblSales[[#This Row],[Key]],ตารางรวม!$Z:$Z,0))*tblSales[[#This Row],[จำนวนแก้ว]],0))</f>
        <v/>
      </c>
      <c r="R259" s="10" t="str">
        <f>IF(tblSales[[#This Row],[Key]]="","",IFERROR(INDEX(ตารางรวม!$E:$E,MATCH(tblSales[[#This Row],[Key]],ตารางรวม!$Z:$Z,0))*tblSales[[#This Row],[จำนวนแก้ว]],0))</f>
        <v/>
      </c>
      <c r="S259" s="10" t="str">
        <f>IF(tblSales[[#This Row],[Key]]="","",IFERROR(INDEX(ตารางรวม!$F:$F,MATCH(tblSales[[#This Row],[Key]],ตารางรวม!$Z:$Z,0))*tblSales[[#This Row],[จำนวนแก้ว]],0))</f>
        <v/>
      </c>
      <c r="T259" s="10" t="str">
        <f>IF(tblSales[[#This Row],[Key]]="","",IFERROR(INDEX(ตารางรวม!$G:$G,MATCH(tblSales[[#This Row],[Key]],ตารางรวม!$Z:$Z,0))*tblSales[[#This Row],[จำนวนแก้ว]],0))</f>
        <v/>
      </c>
      <c r="U259" s="10" t="str">
        <f>IF(tblSales[[#This Row],[Key]]="","",IFERROR(INDEX(ตารางรวม!$H:$H,MATCH(tblSales[[#This Row],[Key]],ตารางรวม!$Z:$Z,0))*tblSales[[#This Row],[จำนวนแก้ว]],0))</f>
        <v/>
      </c>
      <c r="V259" s="10" t="str">
        <f>IF(tblSales[[#This Row],[Key]]="","",IFERROR(INDEX(ตารางรวม!$I:$I,MATCH(tblSales[[#This Row],[Key]],ตารางรวม!$Z:$Z,0))*tblSales[[#This Row],[จำนวนแก้ว]],0))</f>
        <v/>
      </c>
      <c r="W259" s="10" t="str">
        <f>IF(tblSales[[#This Row],[Key]]="","",IFERROR(INDEX(ตารางรวม!$J:$J,MATCH(tblSales[[#This Row],[Key]],ตารางรวม!$Z:$Z,0))*tblSales[[#This Row],[จำนวนแก้ว]],0))</f>
        <v/>
      </c>
      <c r="X259" s="10" t="str">
        <f>IF(tblSales[[#This Row],[Key]]="","",IFERROR(INDEX(ตารางรวม!$K:$K,MATCH(tblSales[[#This Row],[Key]],ตารางรวม!$Z:$Z,0))*tblSales[[#This Row],[จำนวนแก้ว]],0))</f>
        <v/>
      </c>
      <c r="Y259" s="10" t="str">
        <f>IF(tblSales[[#This Row],[Key]]="","",IFERROR(INDEX(ตารางรวม!$L:$L,MATCH(tblSales[[#This Row],[Key]],ตารางรวม!$Z:$Z,0))*tblSales[[#This Row],[จำนวนแก้ว]],0))</f>
        <v/>
      </c>
      <c r="Z25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5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5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5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5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5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5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5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59" s="10" t="str">
        <f>IF(tblSales[[#This Row],[Key]]="","",IF(tblSales[[#This Row],[ขนาด]]="16 oz",tblSales[[#This Row],[จำนวนแก้ว]],0))</f>
        <v/>
      </c>
      <c r="AI259" s="10" t="str">
        <f>IF(tblSales[[#This Row],[Key]]="","",IF(tblSales[[#This Row],[ขนาด]]="20 oz",tblSales[[#This Row],[จำนวนแก้ว]],0))</f>
        <v/>
      </c>
      <c r="AJ259" s="10" t="str">
        <f>IF(tblSales[[#This Row],[Key]]="","",IF(tblSales[[#This Row],[ขนาด]]="22 oz",tblSales[[#This Row],[จำนวนแก้ว]],0))</f>
        <v/>
      </c>
    </row>
    <row r="260" spans="1:36" x14ac:dyDescent="0.25">
      <c r="A260" s="4" t="str">
        <f>IF(tblSales[[#This Row],[วันที่]]="","","S"&amp;TEXT(tblSales[[#This Row],[วันที่]],"yymmdd")&amp;"-"&amp;TEXT(ROW()-5,"000"))</f>
        <v/>
      </c>
      <c r="B260" s="16"/>
      <c r="C260" s="6"/>
      <c r="D260" s="6"/>
      <c r="E260" s="20"/>
      <c r="F260" s="6"/>
      <c r="G260" s="6"/>
      <c r="H260" s="6"/>
      <c r="I260" s="6"/>
      <c r="J26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0" s="8" t="str">
        <f>IF(tblSales[[#This Row],[Key]]="","",IFERROR(INDEX(ตารางรวม!$W:$W,MATCH(tblSales[[#This Row],[Key]],ตารางรวม!$Z:$Z,0)),"ไม่พบสูตร"))</f>
        <v/>
      </c>
      <c r="L260" s="8" t="str">
        <f>IF(tblSales[[#This Row],[Key]]="","",IFERROR(INDEX(ตารางรวม!$V:$V,MATCH(tblSales[[#This Row],[Key]],ตารางรวม!$Z:$Z,0)),"ไม่พบสูตร"))</f>
        <v/>
      </c>
      <c r="M260" s="8" t="str">
        <f>IF(tblSales[[#This Row],[Key]]="","",IFERROR(tblSales[[#This Row],[ราคาต่อแก้ว]]*tblSales[[#This Row],[จำนวนแก้ว]],""))</f>
        <v/>
      </c>
      <c r="N260" s="8" t="str">
        <f>IF(tblSales[[#This Row],[Key]]="","",IFERROR(tblSales[[#This Row],[ต้นทุนต่อแก้ว]]*tblSales[[#This Row],[จำนวนแก้ว]],""))</f>
        <v/>
      </c>
      <c r="O260" s="8" t="str">
        <f>IF(tblSales[[#This Row],[Key]]="","",IFERROR(tblSales[[#This Row],[ยอดขาย (บาท)]]-tblSales[[#This Row],[ต้นทุนรวม (บาท)]],""))</f>
        <v/>
      </c>
      <c r="P260" s="21" t="str">
        <f>IF(tblSales[[#This Row],[Key]]="","",IFERROR(tblSales[[#This Row],[กำไร (บาท)]]/tblSales[[#This Row],[ยอดขาย (บาท)]],""))</f>
        <v/>
      </c>
      <c r="Q260" s="10" t="str">
        <f>IF(tblSales[[#This Row],[Key]]="","",IFERROR(INDEX(ตารางรวม!$D:$D,MATCH(tblSales[[#This Row],[Key]],ตารางรวม!$Z:$Z,0))*tblSales[[#This Row],[จำนวนแก้ว]],0))</f>
        <v/>
      </c>
      <c r="R260" s="10" t="str">
        <f>IF(tblSales[[#This Row],[Key]]="","",IFERROR(INDEX(ตารางรวม!$E:$E,MATCH(tblSales[[#This Row],[Key]],ตารางรวม!$Z:$Z,0))*tblSales[[#This Row],[จำนวนแก้ว]],0))</f>
        <v/>
      </c>
      <c r="S260" s="10" t="str">
        <f>IF(tblSales[[#This Row],[Key]]="","",IFERROR(INDEX(ตารางรวม!$F:$F,MATCH(tblSales[[#This Row],[Key]],ตารางรวม!$Z:$Z,0))*tblSales[[#This Row],[จำนวนแก้ว]],0))</f>
        <v/>
      </c>
      <c r="T260" s="10" t="str">
        <f>IF(tblSales[[#This Row],[Key]]="","",IFERROR(INDEX(ตารางรวม!$G:$G,MATCH(tblSales[[#This Row],[Key]],ตารางรวม!$Z:$Z,0))*tblSales[[#This Row],[จำนวนแก้ว]],0))</f>
        <v/>
      </c>
      <c r="U260" s="10" t="str">
        <f>IF(tblSales[[#This Row],[Key]]="","",IFERROR(INDEX(ตารางรวม!$H:$H,MATCH(tblSales[[#This Row],[Key]],ตารางรวม!$Z:$Z,0))*tblSales[[#This Row],[จำนวนแก้ว]],0))</f>
        <v/>
      </c>
      <c r="V260" s="10" t="str">
        <f>IF(tblSales[[#This Row],[Key]]="","",IFERROR(INDEX(ตารางรวม!$I:$I,MATCH(tblSales[[#This Row],[Key]],ตารางรวม!$Z:$Z,0))*tblSales[[#This Row],[จำนวนแก้ว]],0))</f>
        <v/>
      </c>
      <c r="W260" s="10" t="str">
        <f>IF(tblSales[[#This Row],[Key]]="","",IFERROR(INDEX(ตารางรวม!$J:$J,MATCH(tblSales[[#This Row],[Key]],ตารางรวม!$Z:$Z,0))*tblSales[[#This Row],[จำนวนแก้ว]],0))</f>
        <v/>
      </c>
      <c r="X260" s="10" t="str">
        <f>IF(tblSales[[#This Row],[Key]]="","",IFERROR(INDEX(ตารางรวม!$K:$K,MATCH(tblSales[[#This Row],[Key]],ตารางรวม!$Z:$Z,0))*tblSales[[#This Row],[จำนวนแก้ว]],0))</f>
        <v/>
      </c>
      <c r="Y260" s="10" t="str">
        <f>IF(tblSales[[#This Row],[Key]]="","",IFERROR(INDEX(ตารางรวม!$L:$L,MATCH(tblSales[[#This Row],[Key]],ตารางรวม!$Z:$Z,0))*tblSales[[#This Row],[จำนวนแก้ว]],0))</f>
        <v/>
      </c>
      <c r="Z26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0" s="10" t="str">
        <f>IF(tblSales[[#This Row],[Key]]="","",IF(tblSales[[#This Row],[ขนาด]]="16 oz",tblSales[[#This Row],[จำนวนแก้ว]],0))</f>
        <v/>
      </c>
      <c r="AI260" s="10" t="str">
        <f>IF(tblSales[[#This Row],[Key]]="","",IF(tblSales[[#This Row],[ขนาด]]="20 oz",tblSales[[#This Row],[จำนวนแก้ว]],0))</f>
        <v/>
      </c>
      <c r="AJ260" s="10" t="str">
        <f>IF(tblSales[[#This Row],[Key]]="","",IF(tblSales[[#This Row],[ขนาด]]="22 oz",tblSales[[#This Row],[จำนวนแก้ว]],0))</f>
        <v/>
      </c>
    </row>
    <row r="261" spans="1:36" x14ac:dyDescent="0.25">
      <c r="A261" s="4" t="str">
        <f>IF(tblSales[[#This Row],[วันที่]]="","","S"&amp;TEXT(tblSales[[#This Row],[วันที่]],"yymmdd")&amp;"-"&amp;TEXT(ROW()-5,"000"))</f>
        <v/>
      </c>
      <c r="B261" s="16"/>
      <c r="C261" s="6"/>
      <c r="D261" s="6"/>
      <c r="E261" s="20"/>
      <c r="F261" s="6"/>
      <c r="G261" s="6"/>
      <c r="H261" s="6"/>
      <c r="I261" s="6"/>
      <c r="J26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1" s="8" t="str">
        <f>IF(tblSales[[#This Row],[Key]]="","",IFERROR(INDEX(ตารางรวม!$W:$W,MATCH(tblSales[[#This Row],[Key]],ตารางรวม!$Z:$Z,0)),"ไม่พบสูตร"))</f>
        <v/>
      </c>
      <c r="L261" s="8" t="str">
        <f>IF(tblSales[[#This Row],[Key]]="","",IFERROR(INDEX(ตารางรวม!$V:$V,MATCH(tblSales[[#This Row],[Key]],ตารางรวม!$Z:$Z,0)),"ไม่พบสูตร"))</f>
        <v/>
      </c>
      <c r="M261" s="8" t="str">
        <f>IF(tblSales[[#This Row],[Key]]="","",IFERROR(tblSales[[#This Row],[ราคาต่อแก้ว]]*tblSales[[#This Row],[จำนวนแก้ว]],""))</f>
        <v/>
      </c>
      <c r="N261" s="8" t="str">
        <f>IF(tblSales[[#This Row],[Key]]="","",IFERROR(tblSales[[#This Row],[ต้นทุนต่อแก้ว]]*tblSales[[#This Row],[จำนวนแก้ว]],""))</f>
        <v/>
      </c>
      <c r="O261" s="8" t="str">
        <f>IF(tblSales[[#This Row],[Key]]="","",IFERROR(tblSales[[#This Row],[ยอดขาย (บาท)]]-tblSales[[#This Row],[ต้นทุนรวม (บาท)]],""))</f>
        <v/>
      </c>
      <c r="P261" s="21" t="str">
        <f>IF(tblSales[[#This Row],[Key]]="","",IFERROR(tblSales[[#This Row],[กำไร (บาท)]]/tblSales[[#This Row],[ยอดขาย (บาท)]],""))</f>
        <v/>
      </c>
      <c r="Q261" s="10" t="str">
        <f>IF(tblSales[[#This Row],[Key]]="","",IFERROR(INDEX(ตารางรวม!$D:$D,MATCH(tblSales[[#This Row],[Key]],ตารางรวม!$Z:$Z,0))*tblSales[[#This Row],[จำนวนแก้ว]],0))</f>
        <v/>
      </c>
      <c r="R261" s="10" t="str">
        <f>IF(tblSales[[#This Row],[Key]]="","",IFERROR(INDEX(ตารางรวม!$E:$E,MATCH(tblSales[[#This Row],[Key]],ตารางรวม!$Z:$Z,0))*tblSales[[#This Row],[จำนวนแก้ว]],0))</f>
        <v/>
      </c>
      <c r="S261" s="10" t="str">
        <f>IF(tblSales[[#This Row],[Key]]="","",IFERROR(INDEX(ตารางรวม!$F:$F,MATCH(tblSales[[#This Row],[Key]],ตารางรวม!$Z:$Z,0))*tblSales[[#This Row],[จำนวนแก้ว]],0))</f>
        <v/>
      </c>
      <c r="T261" s="10" t="str">
        <f>IF(tblSales[[#This Row],[Key]]="","",IFERROR(INDEX(ตารางรวม!$G:$G,MATCH(tblSales[[#This Row],[Key]],ตารางรวม!$Z:$Z,0))*tblSales[[#This Row],[จำนวนแก้ว]],0))</f>
        <v/>
      </c>
      <c r="U261" s="10" t="str">
        <f>IF(tblSales[[#This Row],[Key]]="","",IFERROR(INDEX(ตารางรวม!$H:$H,MATCH(tblSales[[#This Row],[Key]],ตารางรวม!$Z:$Z,0))*tblSales[[#This Row],[จำนวนแก้ว]],0))</f>
        <v/>
      </c>
      <c r="V261" s="10" t="str">
        <f>IF(tblSales[[#This Row],[Key]]="","",IFERROR(INDEX(ตารางรวม!$I:$I,MATCH(tblSales[[#This Row],[Key]],ตารางรวม!$Z:$Z,0))*tblSales[[#This Row],[จำนวนแก้ว]],0))</f>
        <v/>
      </c>
      <c r="W261" s="10" t="str">
        <f>IF(tblSales[[#This Row],[Key]]="","",IFERROR(INDEX(ตารางรวม!$J:$J,MATCH(tblSales[[#This Row],[Key]],ตารางรวม!$Z:$Z,0))*tblSales[[#This Row],[จำนวนแก้ว]],0))</f>
        <v/>
      </c>
      <c r="X261" s="10" t="str">
        <f>IF(tblSales[[#This Row],[Key]]="","",IFERROR(INDEX(ตารางรวม!$K:$K,MATCH(tblSales[[#This Row],[Key]],ตารางรวม!$Z:$Z,0))*tblSales[[#This Row],[จำนวนแก้ว]],0))</f>
        <v/>
      </c>
      <c r="Y261" s="10" t="str">
        <f>IF(tblSales[[#This Row],[Key]]="","",IFERROR(INDEX(ตารางรวม!$L:$L,MATCH(tblSales[[#This Row],[Key]],ตารางรวม!$Z:$Z,0))*tblSales[[#This Row],[จำนวนแก้ว]],0))</f>
        <v/>
      </c>
      <c r="Z26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1" s="10" t="str">
        <f>IF(tblSales[[#This Row],[Key]]="","",IF(tblSales[[#This Row],[ขนาด]]="16 oz",tblSales[[#This Row],[จำนวนแก้ว]],0))</f>
        <v/>
      </c>
      <c r="AI261" s="10" t="str">
        <f>IF(tblSales[[#This Row],[Key]]="","",IF(tblSales[[#This Row],[ขนาด]]="20 oz",tblSales[[#This Row],[จำนวนแก้ว]],0))</f>
        <v/>
      </c>
      <c r="AJ261" s="10" t="str">
        <f>IF(tblSales[[#This Row],[Key]]="","",IF(tblSales[[#This Row],[ขนาด]]="22 oz",tblSales[[#This Row],[จำนวนแก้ว]],0))</f>
        <v/>
      </c>
    </row>
    <row r="262" spans="1:36" x14ac:dyDescent="0.25">
      <c r="A262" s="4" t="str">
        <f>IF(tblSales[[#This Row],[วันที่]]="","","S"&amp;TEXT(tblSales[[#This Row],[วันที่]],"yymmdd")&amp;"-"&amp;TEXT(ROW()-5,"000"))</f>
        <v/>
      </c>
      <c r="B262" s="16"/>
      <c r="C262" s="6"/>
      <c r="D262" s="6"/>
      <c r="E262" s="20"/>
      <c r="F262" s="6"/>
      <c r="G262" s="6"/>
      <c r="H262" s="6"/>
      <c r="I262" s="6"/>
      <c r="J26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2" s="8" t="str">
        <f>IF(tblSales[[#This Row],[Key]]="","",IFERROR(INDEX(ตารางรวม!$W:$W,MATCH(tblSales[[#This Row],[Key]],ตารางรวม!$Z:$Z,0)),"ไม่พบสูตร"))</f>
        <v/>
      </c>
      <c r="L262" s="8" t="str">
        <f>IF(tblSales[[#This Row],[Key]]="","",IFERROR(INDEX(ตารางรวม!$V:$V,MATCH(tblSales[[#This Row],[Key]],ตารางรวม!$Z:$Z,0)),"ไม่พบสูตร"))</f>
        <v/>
      </c>
      <c r="M262" s="8" t="str">
        <f>IF(tblSales[[#This Row],[Key]]="","",IFERROR(tblSales[[#This Row],[ราคาต่อแก้ว]]*tblSales[[#This Row],[จำนวนแก้ว]],""))</f>
        <v/>
      </c>
      <c r="N262" s="8" t="str">
        <f>IF(tblSales[[#This Row],[Key]]="","",IFERROR(tblSales[[#This Row],[ต้นทุนต่อแก้ว]]*tblSales[[#This Row],[จำนวนแก้ว]],""))</f>
        <v/>
      </c>
      <c r="O262" s="8" t="str">
        <f>IF(tblSales[[#This Row],[Key]]="","",IFERROR(tblSales[[#This Row],[ยอดขาย (บาท)]]-tblSales[[#This Row],[ต้นทุนรวม (บาท)]],""))</f>
        <v/>
      </c>
      <c r="P262" s="21" t="str">
        <f>IF(tblSales[[#This Row],[Key]]="","",IFERROR(tblSales[[#This Row],[กำไร (บาท)]]/tblSales[[#This Row],[ยอดขาย (บาท)]],""))</f>
        <v/>
      </c>
      <c r="Q262" s="10" t="str">
        <f>IF(tblSales[[#This Row],[Key]]="","",IFERROR(INDEX(ตารางรวม!$D:$D,MATCH(tblSales[[#This Row],[Key]],ตารางรวม!$Z:$Z,0))*tblSales[[#This Row],[จำนวนแก้ว]],0))</f>
        <v/>
      </c>
      <c r="R262" s="10" t="str">
        <f>IF(tblSales[[#This Row],[Key]]="","",IFERROR(INDEX(ตารางรวม!$E:$E,MATCH(tblSales[[#This Row],[Key]],ตารางรวม!$Z:$Z,0))*tblSales[[#This Row],[จำนวนแก้ว]],0))</f>
        <v/>
      </c>
      <c r="S262" s="10" t="str">
        <f>IF(tblSales[[#This Row],[Key]]="","",IFERROR(INDEX(ตารางรวม!$F:$F,MATCH(tblSales[[#This Row],[Key]],ตารางรวม!$Z:$Z,0))*tblSales[[#This Row],[จำนวนแก้ว]],0))</f>
        <v/>
      </c>
      <c r="T262" s="10" t="str">
        <f>IF(tblSales[[#This Row],[Key]]="","",IFERROR(INDEX(ตารางรวม!$G:$G,MATCH(tblSales[[#This Row],[Key]],ตารางรวม!$Z:$Z,0))*tblSales[[#This Row],[จำนวนแก้ว]],0))</f>
        <v/>
      </c>
      <c r="U262" s="10" t="str">
        <f>IF(tblSales[[#This Row],[Key]]="","",IFERROR(INDEX(ตารางรวม!$H:$H,MATCH(tblSales[[#This Row],[Key]],ตารางรวม!$Z:$Z,0))*tblSales[[#This Row],[จำนวนแก้ว]],0))</f>
        <v/>
      </c>
      <c r="V262" s="10" t="str">
        <f>IF(tblSales[[#This Row],[Key]]="","",IFERROR(INDEX(ตารางรวม!$I:$I,MATCH(tblSales[[#This Row],[Key]],ตารางรวม!$Z:$Z,0))*tblSales[[#This Row],[จำนวนแก้ว]],0))</f>
        <v/>
      </c>
      <c r="W262" s="10" t="str">
        <f>IF(tblSales[[#This Row],[Key]]="","",IFERROR(INDEX(ตารางรวม!$J:$J,MATCH(tblSales[[#This Row],[Key]],ตารางรวม!$Z:$Z,0))*tblSales[[#This Row],[จำนวนแก้ว]],0))</f>
        <v/>
      </c>
      <c r="X262" s="10" t="str">
        <f>IF(tblSales[[#This Row],[Key]]="","",IFERROR(INDEX(ตารางรวม!$K:$K,MATCH(tblSales[[#This Row],[Key]],ตารางรวม!$Z:$Z,0))*tblSales[[#This Row],[จำนวนแก้ว]],0))</f>
        <v/>
      </c>
      <c r="Y262" s="10" t="str">
        <f>IF(tblSales[[#This Row],[Key]]="","",IFERROR(INDEX(ตารางรวม!$L:$L,MATCH(tblSales[[#This Row],[Key]],ตารางรวม!$Z:$Z,0))*tblSales[[#This Row],[จำนวนแก้ว]],0))</f>
        <v/>
      </c>
      <c r="Z26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2" s="10" t="str">
        <f>IF(tblSales[[#This Row],[Key]]="","",IF(tblSales[[#This Row],[ขนาด]]="16 oz",tblSales[[#This Row],[จำนวนแก้ว]],0))</f>
        <v/>
      </c>
      <c r="AI262" s="10" t="str">
        <f>IF(tblSales[[#This Row],[Key]]="","",IF(tblSales[[#This Row],[ขนาด]]="20 oz",tblSales[[#This Row],[จำนวนแก้ว]],0))</f>
        <v/>
      </c>
      <c r="AJ262" s="10" t="str">
        <f>IF(tblSales[[#This Row],[Key]]="","",IF(tblSales[[#This Row],[ขนาด]]="22 oz",tblSales[[#This Row],[จำนวนแก้ว]],0))</f>
        <v/>
      </c>
    </row>
    <row r="263" spans="1:36" x14ac:dyDescent="0.25">
      <c r="A263" s="4" t="str">
        <f>IF(tblSales[[#This Row],[วันที่]]="","","S"&amp;TEXT(tblSales[[#This Row],[วันที่]],"yymmdd")&amp;"-"&amp;TEXT(ROW()-5,"000"))</f>
        <v/>
      </c>
      <c r="B263" s="16"/>
      <c r="C263" s="6"/>
      <c r="D263" s="6"/>
      <c r="E263" s="20"/>
      <c r="F263" s="6"/>
      <c r="G263" s="6"/>
      <c r="H263" s="6"/>
      <c r="I263" s="6"/>
      <c r="J26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3" s="8" t="str">
        <f>IF(tblSales[[#This Row],[Key]]="","",IFERROR(INDEX(ตารางรวม!$W:$W,MATCH(tblSales[[#This Row],[Key]],ตารางรวม!$Z:$Z,0)),"ไม่พบสูตร"))</f>
        <v/>
      </c>
      <c r="L263" s="8" t="str">
        <f>IF(tblSales[[#This Row],[Key]]="","",IFERROR(INDEX(ตารางรวม!$V:$V,MATCH(tblSales[[#This Row],[Key]],ตารางรวม!$Z:$Z,0)),"ไม่พบสูตร"))</f>
        <v/>
      </c>
      <c r="M263" s="8" t="str">
        <f>IF(tblSales[[#This Row],[Key]]="","",IFERROR(tblSales[[#This Row],[ราคาต่อแก้ว]]*tblSales[[#This Row],[จำนวนแก้ว]],""))</f>
        <v/>
      </c>
      <c r="N263" s="8" t="str">
        <f>IF(tblSales[[#This Row],[Key]]="","",IFERROR(tblSales[[#This Row],[ต้นทุนต่อแก้ว]]*tblSales[[#This Row],[จำนวนแก้ว]],""))</f>
        <v/>
      </c>
      <c r="O263" s="8" t="str">
        <f>IF(tblSales[[#This Row],[Key]]="","",IFERROR(tblSales[[#This Row],[ยอดขาย (บาท)]]-tblSales[[#This Row],[ต้นทุนรวม (บาท)]],""))</f>
        <v/>
      </c>
      <c r="P263" s="21" t="str">
        <f>IF(tblSales[[#This Row],[Key]]="","",IFERROR(tblSales[[#This Row],[กำไร (บาท)]]/tblSales[[#This Row],[ยอดขาย (บาท)]],""))</f>
        <v/>
      </c>
      <c r="Q263" s="10" t="str">
        <f>IF(tblSales[[#This Row],[Key]]="","",IFERROR(INDEX(ตารางรวม!$D:$D,MATCH(tblSales[[#This Row],[Key]],ตารางรวม!$Z:$Z,0))*tblSales[[#This Row],[จำนวนแก้ว]],0))</f>
        <v/>
      </c>
      <c r="R263" s="10" t="str">
        <f>IF(tblSales[[#This Row],[Key]]="","",IFERROR(INDEX(ตารางรวม!$E:$E,MATCH(tblSales[[#This Row],[Key]],ตารางรวม!$Z:$Z,0))*tblSales[[#This Row],[จำนวนแก้ว]],0))</f>
        <v/>
      </c>
      <c r="S263" s="10" t="str">
        <f>IF(tblSales[[#This Row],[Key]]="","",IFERROR(INDEX(ตารางรวม!$F:$F,MATCH(tblSales[[#This Row],[Key]],ตารางรวม!$Z:$Z,0))*tblSales[[#This Row],[จำนวนแก้ว]],0))</f>
        <v/>
      </c>
      <c r="T263" s="10" t="str">
        <f>IF(tblSales[[#This Row],[Key]]="","",IFERROR(INDEX(ตารางรวม!$G:$G,MATCH(tblSales[[#This Row],[Key]],ตารางรวม!$Z:$Z,0))*tblSales[[#This Row],[จำนวนแก้ว]],0))</f>
        <v/>
      </c>
      <c r="U263" s="10" t="str">
        <f>IF(tblSales[[#This Row],[Key]]="","",IFERROR(INDEX(ตารางรวม!$H:$H,MATCH(tblSales[[#This Row],[Key]],ตารางรวม!$Z:$Z,0))*tblSales[[#This Row],[จำนวนแก้ว]],0))</f>
        <v/>
      </c>
      <c r="V263" s="10" t="str">
        <f>IF(tblSales[[#This Row],[Key]]="","",IFERROR(INDEX(ตารางรวม!$I:$I,MATCH(tblSales[[#This Row],[Key]],ตารางรวม!$Z:$Z,0))*tblSales[[#This Row],[จำนวนแก้ว]],0))</f>
        <v/>
      </c>
      <c r="W263" s="10" t="str">
        <f>IF(tblSales[[#This Row],[Key]]="","",IFERROR(INDEX(ตารางรวม!$J:$J,MATCH(tblSales[[#This Row],[Key]],ตารางรวม!$Z:$Z,0))*tblSales[[#This Row],[จำนวนแก้ว]],0))</f>
        <v/>
      </c>
      <c r="X263" s="10" t="str">
        <f>IF(tblSales[[#This Row],[Key]]="","",IFERROR(INDEX(ตารางรวม!$K:$K,MATCH(tblSales[[#This Row],[Key]],ตารางรวม!$Z:$Z,0))*tblSales[[#This Row],[จำนวนแก้ว]],0))</f>
        <v/>
      </c>
      <c r="Y263" s="10" t="str">
        <f>IF(tblSales[[#This Row],[Key]]="","",IFERROR(INDEX(ตารางรวม!$L:$L,MATCH(tblSales[[#This Row],[Key]],ตารางรวม!$Z:$Z,0))*tblSales[[#This Row],[จำนวนแก้ว]],0))</f>
        <v/>
      </c>
      <c r="Z26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3" s="10" t="str">
        <f>IF(tblSales[[#This Row],[Key]]="","",IF(tblSales[[#This Row],[ขนาด]]="16 oz",tblSales[[#This Row],[จำนวนแก้ว]],0))</f>
        <v/>
      </c>
      <c r="AI263" s="10" t="str">
        <f>IF(tblSales[[#This Row],[Key]]="","",IF(tblSales[[#This Row],[ขนาด]]="20 oz",tblSales[[#This Row],[จำนวนแก้ว]],0))</f>
        <v/>
      </c>
      <c r="AJ263" s="10" t="str">
        <f>IF(tblSales[[#This Row],[Key]]="","",IF(tblSales[[#This Row],[ขนาด]]="22 oz",tblSales[[#This Row],[จำนวนแก้ว]],0))</f>
        <v/>
      </c>
    </row>
    <row r="264" spans="1:36" x14ac:dyDescent="0.25">
      <c r="A264" s="4" t="str">
        <f>IF(tblSales[[#This Row],[วันที่]]="","","S"&amp;TEXT(tblSales[[#This Row],[วันที่]],"yymmdd")&amp;"-"&amp;TEXT(ROW()-5,"000"))</f>
        <v/>
      </c>
      <c r="B264" s="16"/>
      <c r="C264" s="6"/>
      <c r="D264" s="6"/>
      <c r="E264" s="20"/>
      <c r="F264" s="6"/>
      <c r="G264" s="6"/>
      <c r="H264" s="6"/>
      <c r="I264" s="6"/>
      <c r="J26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4" s="8" t="str">
        <f>IF(tblSales[[#This Row],[Key]]="","",IFERROR(INDEX(ตารางรวม!$W:$W,MATCH(tblSales[[#This Row],[Key]],ตารางรวม!$Z:$Z,0)),"ไม่พบสูตร"))</f>
        <v/>
      </c>
      <c r="L264" s="8" t="str">
        <f>IF(tblSales[[#This Row],[Key]]="","",IFERROR(INDEX(ตารางรวม!$V:$V,MATCH(tblSales[[#This Row],[Key]],ตารางรวม!$Z:$Z,0)),"ไม่พบสูตร"))</f>
        <v/>
      </c>
      <c r="M264" s="8" t="str">
        <f>IF(tblSales[[#This Row],[Key]]="","",IFERROR(tblSales[[#This Row],[ราคาต่อแก้ว]]*tblSales[[#This Row],[จำนวนแก้ว]],""))</f>
        <v/>
      </c>
      <c r="N264" s="8" t="str">
        <f>IF(tblSales[[#This Row],[Key]]="","",IFERROR(tblSales[[#This Row],[ต้นทุนต่อแก้ว]]*tblSales[[#This Row],[จำนวนแก้ว]],""))</f>
        <v/>
      </c>
      <c r="O264" s="8" t="str">
        <f>IF(tblSales[[#This Row],[Key]]="","",IFERROR(tblSales[[#This Row],[ยอดขาย (บาท)]]-tblSales[[#This Row],[ต้นทุนรวม (บาท)]],""))</f>
        <v/>
      </c>
      <c r="P264" s="21" t="str">
        <f>IF(tblSales[[#This Row],[Key]]="","",IFERROR(tblSales[[#This Row],[กำไร (บาท)]]/tblSales[[#This Row],[ยอดขาย (บาท)]],""))</f>
        <v/>
      </c>
      <c r="Q264" s="10" t="str">
        <f>IF(tblSales[[#This Row],[Key]]="","",IFERROR(INDEX(ตารางรวม!$D:$D,MATCH(tblSales[[#This Row],[Key]],ตารางรวม!$Z:$Z,0))*tblSales[[#This Row],[จำนวนแก้ว]],0))</f>
        <v/>
      </c>
      <c r="R264" s="10" t="str">
        <f>IF(tblSales[[#This Row],[Key]]="","",IFERROR(INDEX(ตารางรวม!$E:$E,MATCH(tblSales[[#This Row],[Key]],ตารางรวม!$Z:$Z,0))*tblSales[[#This Row],[จำนวนแก้ว]],0))</f>
        <v/>
      </c>
      <c r="S264" s="10" t="str">
        <f>IF(tblSales[[#This Row],[Key]]="","",IFERROR(INDEX(ตารางรวม!$F:$F,MATCH(tblSales[[#This Row],[Key]],ตารางรวม!$Z:$Z,0))*tblSales[[#This Row],[จำนวนแก้ว]],0))</f>
        <v/>
      </c>
      <c r="T264" s="10" t="str">
        <f>IF(tblSales[[#This Row],[Key]]="","",IFERROR(INDEX(ตารางรวม!$G:$G,MATCH(tblSales[[#This Row],[Key]],ตารางรวม!$Z:$Z,0))*tblSales[[#This Row],[จำนวนแก้ว]],0))</f>
        <v/>
      </c>
      <c r="U264" s="10" t="str">
        <f>IF(tblSales[[#This Row],[Key]]="","",IFERROR(INDEX(ตารางรวม!$H:$H,MATCH(tblSales[[#This Row],[Key]],ตารางรวม!$Z:$Z,0))*tblSales[[#This Row],[จำนวนแก้ว]],0))</f>
        <v/>
      </c>
      <c r="V264" s="10" t="str">
        <f>IF(tblSales[[#This Row],[Key]]="","",IFERROR(INDEX(ตารางรวม!$I:$I,MATCH(tblSales[[#This Row],[Key]],ตารางรวม!$Z:$Z,0))*tblSales[[#This Row],[จำนวนแก้ว]],0))</f>
        <v/>
      </c>
      <c r="W264" s="10" t="str">
        <f>IF(tblSales[[#This Row],[Key]]="","",IFERROR(INDEX(ตารางรวม!$J:$J,MATCH(tblSales[[#This Row],[Key]],ตารางรวม!$Z:$Z,0))*tblSales[[#This Row],[จำนวนแก้ว]],0))</f>
        <v/>
      </c>
      <c r="X264" s="10" t="str">
        <f>IF(tblSales[[#This Row],[Key]]="","",IFERROR(INDEX(ตารางรวม!$K:$K,MATCH(tblSales[[#This Row],[Key]],ตารางรวม!$Z:$Z,0))*tblSales[[#This Row],[จำนวนแก้ว]],0))</f>
        <v/>
      </c>
      <c r="Y264" s="10" t="str">
        <f>IF(tblSales[[#This Row],[Key]]="","",IFERROR(INDEX(ตารางรวม!$L:$L,MATCH(tblSales[[#This Row],[Key]],ตารางรวม!$Z:$Z,0))*tblSales[[#This Row],[จำนวนแก้ว]],0))</f>
        <v/>
      </c>
      <c r="Z26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4" s="10" t="str">
        <f>IF(tblSales[[#This Row],[Key]]="","",IF(tblSales[[#This Row],[ขนาด]]="16 oz",tblSales[[#This Row],[จำนวนแก้ว]],0))</f>
        <v/>
      </c>
      <c r="AI264" s="10" t="str">
        <f>IF(tblSales[[#This Row],[Key]]="","",IF(tblSales[[#This Row],[ขนาด]]="20 oz",tblSales[[#This Row],[จำนวนแก้ว]],0))</f>
        <v/>
      </c>
      <c r="AJ264" s="10" t="str">
        <f>IF(tblSales[[#This Row],[Key]]="","",IF(tblSales[[#This Row],[ขนาด]]="22 oz",tblSales[[#This Row],[จำนวนแก้ว]],0))</f>
        <v/>
      </c>
    </row>
    <row r="265" spans="1:36" x14ac:dyDescent="0.25">
      <c r="A265" s="4" t="str">
        <f>IF(tblSales[[#This Row],[วันที่]]="","","S"&amp;TEXT(tblSales[[#This Row],[วันที่]],"yymmdd")&amp;"-"&amp;TEXT(ROW()-5,"000"))</f>
        <v/>
      </c>
      <c r="B265" s="16"/>
      <c r="C265" s="6"/>
      <c r="D265" s="6"/>
      <c r="E265" s="20"/>
      <c r="F265" s="6"/>
      <c r="G265" s="6"/>
      <c r="H265" s="6"/>
      <c r="I265" s="6"/>
      <c r="J26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5" s="8" t="str">
        <f>IF(tblSales[[#This Row],[Key]]="","",IFERROR(INDEX(ตารางรวม!$W:$W,MATCH(tblSales[[#This Row],[Key]],ตารางรวม!$Z:$Z,0)),"ไม่พบสูตร"))</f>
        <v/>
      </c>
      <c r="L265" s="8" t="str">
        <f>IF(tblSales[[#This Row],[Key]]="","",IFERROR(INDEX(ตารางรวม!$V:$V,MATCH(tblSales[[#This Row],[Key]],ตารางรวม!$Z:$Z,0)),"ไม่พบสูตร"))</f>
        <v/>
      </c>
      <c r="M265" s="8" t="str">
        <f>IF(tblSales[[#This Row],[Key]]="","",IFERROR(tblSales[[#This Row],[ราคาต่อแก้ว]]*tblSales[[#This Row],[จำนวนแก้ว]],""))</f>
        <v/>
      </c>
      <c r="N265" s="8" t="str">
        <f>IF(tblSales[[#This Row],[Key]]="","",IFERROR(tblSales[[#This Row],[ต้นทุนต่อแก้ว]]*tblSales[[#This Row],[จำนวนแก้ว]],""))</f>
        <v/>
      </c>
      <c r="O265" s="8" t="str">
        <f>IF(tblSales[[#This Row],[Key]]="","",IFERROR(tblSales[[#This Row],[ยอดขาย (บาท)]]-tblSales[[#This Row],[ต้นทุนรวม (บาท)]],""))</f>
        <v/>
      </c>
      <c r="P265" s="21" t="str">
        <f>IF(tblSales[[#This Row],[Key]]="","",IFERROR(tblSales[[#This Row],[กำไร (บาท)]]/tblSales[[#This Row],[ยอดขาย (บาท)]],""))</f>
        <v/>
      </c>
      <c r="Q265" s="10" t="str">
        <f>IF(tblSales[[#This Row],[Key]]="","",IFERROR(INDEX(ตารางรวม!$D:$D,MATCH(tblSales[[#This Row],[Key]],ตารางรวม!$Z:$Z,0))*tblSales[[#This Row],[จำนวนแก้ว]],0))</f>
        <v/>
      </c>
      <c r="R265" s="10" t="str">
        <f>IF(tblSales[[#This Row],[Key]]="","",IFERROR(INDEX(ตารางรวม!$E:$E,MATCH(tblSales[[#This Row],[Key]],ตารางรวม!$Z:$Z,0))*tblSales[[#This Row],[จำนวนแก้ว]],0))</f>
        <v/>
      </c>
      <c r="S265" s="10" t="str">
        <f>IF(tblSales[[#This Row],[Key]]="","",IFERROR(INDEX(ตารางรวม!$F:$F,MATCH(tblSales[[#This Row],[Key]],ตารางรวม!$Z:$Z,0))*tblSales[[#This Row],[จำนวนแก้ว]],0))</f>
        <v/>
      </c>
      <c r="T265" s="10" t="str">
        <f>IF(tblSales[[#This Row],[Key]]="","",IFERROR(INDEX(ตารางรวม!$G:$G,MATCH(tblSales[[#This Row],[Key]],ตารางรวม!$Z:$Z,0))*tblSales[[#This Row],[จำนวนแก้ว]],0))</f>
        <v/>
      </c>
      <c r="U265" s="10" t="str">
        <f>IF(tblSales[[#This Row],[Key]]="","",IFERROR(INDEX(ตารางรวม!$H:$H,MATCH(tblSales[[#This Row],[Key]],ตารางรวม!$Z:$Z,0))*tblSales[[#This Row],[จำนวนแก้ว]],0))</f>
        <v/>
      </c>
      <c r="V265" s="10" t="str">
        <f>IF(tblSales[[#This Row],[Key]]="","",IFERROR(INDEX(ตารางรวม!$I:$I,MATCH(tblSales[[#This Row],[Key]],ตารางรวม!$Z:$Z,0))*tblSales[[#This Row],[จำนวนแก้ว]],0))</f>
        <v/>
      </c>
      <c r="W265" s="10" t="str">
        <f>IF(tblSales[[#This Row],[Key]]="","",IFERROR(INDEX(ตารางรวม!$J:$J,MATCH(tblSales[[#This Row],[Key]],ตารางรวม!$Z:$Z,0))*tblSales[[#This Row],[จำนวนแก้ว]],0))</f>
        <v/>
      </c>
      <c r="X265" s="10" t="str">
        <f>IF(tblSales[[#This Row],[Key]]="","",IFERROR(INDEX(ตารางรวม!$K:$K,MATCH(tblSales[[#This Row],[Key]],ตารางรวม!$Z:$Z,0))*tblSales[[#This Row],[จำนวนแก้ว]],0))</f>
        <v/>
      </c>
      <c r="Y265" s="10" t="str">
        <f>IF(tblSales[[#This Row],[Key]]="","",IFERROR(INDEX(ตารางรวม!$L:$L,MATCH(tblSales[[#This Row],[Key]],ตารางรวม!$Z:$Z,0))*tblSales[[#This Row],[จำนวนแก้ว]],0))</f>
        <v/>
      </c>
      <c r="Z26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5" s="10" t="str">
        <f>IF(tblSales[[#This Row],[Key]]="","",IF(tblSales[[#This Row],[ขนาด]]="16 oz",tblSales[[#This Row],[จำนวนแก้ว]],0))</f>
        <v/>
      </c>
      <c r="AI265" s="10" t="str">
        <f>IF(tblSales[[#This Row],[Key]]="","",IF(tblSales[[#This Row],[ขนาด]]="20 oz",tblSales[[#This Row],[จำนวนแก้ว]],0))</f>
        <v/>
      </c>
      <c r="AJ265" s="10" t="str">
        <f>IF(tblSales[[#This Row],[Key]]="","",IF(tblSales[[#This Row],[ขนาด]]="22 oz",tblSales[[#This Row],[จำนวนแก้ว]],0))</f>
        <v/>
      </c>
    </row>
    <row r="266" spans="1:36" x14ac:dyDescent="0.25">
      <c r="A266" s="4" t="str">
        <f>IF(tblSales[[#This Row],[วันที่]]="","","S"&amp;TEXT(tblSales[[#This Row],[วันที่]],"yymmdd")&amp;"-"&amp;TEXT(ROW()-5,"000"))</f>
        <v/>
      </c>
      <c r="B266" s="16"/>
      <c r="C266" s="6"/>
      <c r="D266" s="6"/>
      <c r="E266" s="20"/>
      <c r="F266" s="6"/>
      <c r="G266" s="6"/>
      <c r="H266" s="6"/>
      <c r="I266" s="6"/>
      <c r="J26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6" s="8" t="str">
        <f>IF(tblSales[[#This Row],[Key]]="","",IFERROR(INDEX(ตารางรวม!$W:$W,MATCH(tblSales[[#This Row],[Key]],ตารางรวม!$Z:$Z,0)),"ไม่พบสูตร"))</f>
        <v/>
      </c>
      <c r="L266" s="8" t="str">
        <f>IF(tblSales[[#This Row],[Key]]="","",IFERROR(INDEX(ตารางรวม!$V:$V,MATCH(tblSales[[#This Row],[Key]],ตารางรวม!$Z:$Z,0)),"ไม่พบสูตร"))</f>
        <v/>
      </c>
      <c r="M266" s="8" t="str">
        <f>IF(tblSales[[#This Row],[Key]]="","",IFERROR(tblSales[[#This Row],[ราคาต่อแก้ว]]*tblSales[[#This Row],[จำนวนแก้ว]],""))</f>
        <v/>
      </c>
      <c r="N266" s="8" t="str">
        <f>IF(tblSales[[#This Row],[Key]]="","",IFERROR(tblSales[[#This Row],[ต้นทุนต่อแก้ว]]*tblSales[[#This Row],[จำนวนแก้ว]],""))</f>
        <v/>
      </c>
      <c r="O266" s="8" t="str">
        <f>IF(tblSales[[#This Row],[Key]]="","",IFERROR(tblSales[[#This Row],[ยอดขาย (บาท)]]-tblSales[[#This Row],[ต้นทุนรวม (บาท)]],""))</f>
        <v/>
      </c>
      <c r="P266" s="21" t="str">
        <f>IF(tblSales[[#This Row],[Key]]="","",IFERROR(tblSales[[#This Row],[กำไร (บาท)]]/tblSales[[#This Row],[ยอดขาย (บาท)]],""))</f>
        <v/>
      </c>
      <c r="Q266" s="10" t="str">
        <f>IF(tblSales[[#This Row],[Key]]="","",IFERROR(INDEX(ตารางรวม!$D:$D,MATCH(tblSales[[#This Row],[Key]],ตารางรวม!$Z:$Z,0))*tblSales[[#This Row],[จำนวนแก้ว]],0))</f>
        <v/>
      </c>
      <c r="R266" s="10" t="str">
        <f>IF(tblSales[[#This Row],[Key]]="","",IFERROR(INDEX(ตารางรวม!$E:$E,MATCH(tblSales[[#This Row],[Key]],ตารางรวม!$Z:$Z,0))*tblSales[[#This Row],[จำนวนแก้ว]],0))</f>
        <v/>
      </c>
      <c r="S266" s="10" t="str">
        <f>IF(tblSales[[#This Row],[Key]]="","",IFERROR(INDEX(ตารางรวม!$F:$F,MATCH(tblSales[[#This Row],[Key]],ตารางรวม!$Z:$Z,0))*tblSales[[#This Row],[จำนวนแก้ว]],0))</f>
        <v/>
      </c>
      <c r="T266" s="10" t="str">
        <f>IF(tblSales[[#This Row],[Key]]="","",IFERROR(INDEX(ตารางรวม!$G:$G,MATCH(tblSales[[#This Row],[Key]],ตารางรวม!$Z:$Z,0))*tblSales[[#This Row],[จำนวนแก้ว]],0))</f>
        <v/>
      </c>
      <c r="U266" s="10" t="str">
        <f>IF(tblSales[[#This Row],[Key]]="","",IFERROR(INDEX(ตารางรวม!$H:$H,MATCH(tblSales[[#This Row],[Key]],ตารางรวม!$Z:$Z,0))*tblSales[[#This Row],[จำนวนแก้ว]],0))</f>
        <v/>
      </c>
      <c r="V266" s="10" t="str">
        <f>IF(tblSales[[#This Row],[Key]]="","",IFERROR(INDEX(ตารางรวม!$I:$I,MATCH(tblSales[[#This Row],[Key]],ตารางรวม!$Z:$Z,0))*tblSales[[#This Row],[จำนวนแก้ว]],0))</f>
        <v/>
      </c>
      <c r="W266" s="10" t="str">
        <f>IF(tblSales[[#This Row],[Key]]="","",IFERROR(INDEX(ตารางรวม!$J:$J,MATCH(tblSales[[#This Row],[Key]],ตารางรวม!$Z:$Z,0))*tblSales[[#This Row],[จำนวนแก้ว]],0))</f>
        <v/>
      </c>
      <c r="X266" s="10" t="str">
        <f>IF(tblSales[[#This Row],[Key]]="","",IFERROR(INDEX(ตารางรวม!$K:$K,MATCH(tblSales[[#This Row],[Key]],ตารางรวม!$Z:$Z,0))*tblSales[[#This Row],[จำนวนแก้ว]],0))</f>
        <v/>
      </c>
      <c r="Y266" s="10" t="str">
        <f>IF(tblSales[[#This Row],[Key]]="","",IFERROR(INDEX(ตารางรวม!$L:$L,MATCH(tblSales[[#This Row],[Key]],ตารางรวม!$Z:$Z,0))*tblSales[[#This Row],[จำนวนแก้ว]],0))</f>
        <v/>
      </c>
      <c r="Z26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6" s="10" t="str">
        <f>IF(tblSales[[#This Row],[Key]]="","",IF(tblSales[[#This Row],[ขนาด]]="16 oz",tblSales[[#This Row],[จำนวนแก้ว]],0))</f>
        <v/>
      </c>
      <c r="AI266" s="10" t="str">
        <f>IF(tblSales[[#This Row],[Key]]="","",IF(tblSales[[#This Row],[ขนาด]]="20 oz",tblSales[[#This Row],[จำนวนแก้ว]],0))</f>
        <v/>
      </c>
      <c r="AJ266" s="10" t="str">
        <f>IF(tblSales[[#This Row],[Key]]="","",IF(tblSales[[#This Row],[ขนาด]]="22 oz",tblSales[[#This Row],[จำนวนแก้ว]],0))</f>
        <v/>
      </c>
    </row>
    <row r="267" spans="1:36" x14ac:dyDescent="0.25">
      <c r="A267" s="4" t="str">
        <f>IF(tblSales[[#This Row],[วันที่]]="","","S"&amp;TEXT(tblSales[[#This Row],[วันที่]],"yymmdd")&amp;"-"&amp;TEXT(ROW()-5,"000"))</f>
        <v/>
      </c>
      <c r="B267" s="16"/>
      <c r="C267" s="6"/>
      <c r="D267" s="6"/>
      <c r="E267" s="20"/>
      <c r="F267" s="6"/>
      <c r="G267" s="6"/>
      <c r="H267" s="6"/>
      <c r="I267" s="6"/>
      <c r="J26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7" s="8" t="str">
        <f>IF(tblSales[[#This Row],[Key]]="","",IFERROR(INDEX(ตารางรวม!$W:$W,MATCH(tblSales[[#This Row],[Key]],ตารางรวม!$Z:$Z,0)),"ไม่พบสูตร"))</f>
        <v/>
      </c>
      <c r="L267" s="8" t="str">
        <f>IF(tblSales[[#This Row],[Key]]="","",IFERROR(INDEX(ตารางรวม!$V:$V,MATCH(tblSales[[#This Row],[Key]],ตารางรวม!$Z:$Z,0)),"ไม่พบสูตร"))</f>
        <v/>
      </c>
      <c r="M267" s="8" t="str">
        <f>IF(tblSales[[#This Row],[Key]]="","",IFERROR(tblSales[[#This Row],[ราคาต่อแก้ว]]*tblSales[[#This Row],[จำนวนแก้ว]],""))</f>
        <v/>
      </c>
      <c r="N267" s="8" t="str">
        <f>IF(tblSales[[#This Row],[Key]]="","",IFERROR(tblSales[[#This Row],[ต้นทุนต่อแก้ว]]*tblSales[[#This Row],[จำนวนแก้ว]],""))</f>
        <v/>
      </c>
      <c r="O267" s="8" t="str">
        <f>IF(tblSales[[#This Row],[Key]]="","",IFERROR(tblSales[[#This Row],[ยอดขาย (บาท)]]-tblSales[[#This Row],[ต้นทุนรวม (บาท)]],""))</f>
        <v/>
      </c>
      <c r="P267" s="21" t="str">
        <f>IF(tblSales[[#This Row],[Key]]="","",IFERROR(tblSales[[#This Row],[กำไร (บาท)]]/tblSales[[#This Row],[ยอดขาย (บาท)]],""))</f>
        <v/>
      </c>
      <c r="Q267" s="10" t="str">
        <f>IF(tblSales[[#This Row],[Key]]="","",IFERROR(INDEX(ตารางรวม!$D:$D,MATCH(tblSales[[#This Row],[Key]],ตารางรวม!$Z:$Z,0))*tblSales[[#This Row],[จำนวนแก้ว]],0))</f>
        <v/>
      </c>
      <c r="R267" s="10" t="str">
        <f>IF(tblSales[[#This Row],[Key]]="","",IFERROR(INDEX(ตารางรวม!$E:$E,MATCH(tblSales[[#This Row],[Key]],ตารางรวม!$Z:$Z,0))*tblSales[[#This Row],[จำนวนแก้ว]],0))</f>
        <v/>
      </c>
      <c r="S267" s="10" t="str">
        <f>IF(tblSales[[#This Row],[Key]]="","",IFERROR(INDEX(ตารางรวม!$F:$F,MATCH(tblSales[[#This Row],[Key]],ตารางรวม!$Z:$Z,0))*tblSales[[#This Row],[จำนวนแก้ว]],0))</f>
        <v/>
      </c>
      <c r="T267" s="10" t="str">
        <f>IF(tblSales[[#This Row],[Key]]="","",IFERROR(INDEX(ตารางรวม!$G:$G,MATCH(tblSales[[#This Row],[Key]],ตารางรวม!$Z:$Z,0))*tblSales[[#This Row],[จำนวนแก้ว]],0))</f>
        <v/>
      </c>
      <c r="U267" s="10" t="str">
        <f>IF(tblSales[[#This Row],[Key]]="","",IFERROR(INDEX(ตารางรวม!$H:$H,MATCH(tblSales[[#This Row],[Key]],ตารางรวม!$Z:$Z,0))*tblSales[[#This Row],[จำนวนแก้ว]],0))</f>
        <v/>
      </c>
      <c r="V267" s="10" t="str">
        <f>IF(tblSales[[#This Row],[Key]]="","",IFERROR(INDEX(ตารางรวม!$I:$I,MATCH(tblSales[[#This Row],[Key]],ตารางรวม!$Z:$Z,0))*tblSales[[#This Row],[จำนวนแก้ว]],0))</f>
        <v/>
      </c>
      <c r="W267" s="10" t="str">
        <f>IF(tblSales[[#This Row],[Key]]="","",IFERROR(INDEX(ตารางรวม!$J:$J,MATCH(tblSales[[#This Row],[Key]],ตารางรวม!$Z:$Z,0))*tblSales[[#This Row],[จำนวนแก้ว]],0))</f>
        <v/>
      </c>
      <c r="X267" s="10" t="str">
        <f>IF(tblSales[[#This Row],[Key]]="","",IFERROR(INDEX(ตารางรวม!$K:$K,MATCH(tblSales[[#This Row],[Key]],ตารางรวม!$Z:$Z,0))*tblSales[[#This Row],[จำนวนแก้ว]],0))</f>
        <v/>
      </c>
      <c r="Y267" s="10" t="str">
        <f>IF(tblSales[[#This Row],[Key]]="","",IFERROR(INDEX(ตารางรวม!$L:$L,MATCH(tblSales[[#This Row],[Key]],ตารางรวม!$Z:$Z,0))*tblSales[[#This Row],[จำนวนแก้ว]],0))</f>
        <v/>
      </c>
      <c r="Z26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7" s="10" t="str">
        <f>IF(tblSales[[#This Row],[Key]]="","",IF(tblSales[[#This Row],[ขนาด]]="16 oz",tblSales[[#This Row],[จำนวนแก้ว]],0))</f>
        <v/>
      </c>
      <c r="AI267" s="10" t="str">
        <f>IF(tblSales[[#This Row],[Key]]="","",IF(tblSales[[#This Row],[ขนาด]]="20 oz",tblSales[[#This Row],[จำนวนแก้ว]],0))</f>
        <v/>
      </c>
      <c r="AJ267" s="10" t="str">
        <f>IF(tblSales[[#This Row],[Key]]="","",IF(tblSales[[#This Row],[ขนาด]]="22 oz",tblSales[[#This Row],[จำนวนแก้ว]],0))</f>
        <v/>
      </c>
    </row>
    <row r="268" spans="1:36" x14ac:dyDescent="0.25">
      <c r="A268" s="4" t="str">
        <f>IF(tblSales[[#This Row],[วันที่]]="","","S"&amp;TEXT(tblSales[[#This Row],[วันที่]],"yymmdd")&amp;"-"&amp;TEXT(ROW()-5,"000"))</f>
        <v/>
      </c>
      <c r="B268" s="16"/>
      <c r="C268" s="6"/>
      <c r="D268" s="6"/>
      <c r="E268" s="20"/>
      <c r="F268" s="6"/>
      <c r="G268" s="6"/>
      <c r="H268" s="6"/>
      <c r="I268" s="6"/>
      <c r="J26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8" s="8" t="str">
        <f>IF(tblSales[[#This Row],[Key]]="","",IFERROR(INDEX(ตารางรวม!$W:$W,MATCH(tblSales[[#This Row],[Key]],ตารางรวม!$Z:$Z,0)),"ไม่พบสูตร"))</f>
        <v/>
      </c>
      <c r="L268" s="8" t="str">
        <f>IF(tblSales[[#This Row],[Key]]="","",IFERROR(INDEX(ตารางรวม!$V:$V,MATCH(tblSales[[#This Row],[Key]],ตารางรวม!$Z:$Z,0)),"ไม่พบสูตร"))</f>
        <v/>
      </c>
      <c r="M268" s="8" t="str">
        <f>IF(tblSales[[#This Row],[Key]]="","",IFERROR(tblSales[[#This Row],[ราคาต่อแก้ว]]*tblSales[[#This Row],[จำนวนแก้ว]],""))</f>
        <v/>
      </c>
      <c r="N268" s="8" t="str">
        <f>IF(tblSales[[#This Row],[Key]]="","",IFERROR(tblSales[[#This Row],[ต้นทุนต่อแก้ว]]*tblSales[[#This Row],[จำนวนแก้ว]],""))</f>
        <v/>
      </c>
      <c r="O268" s="8" t="str">
        <f>IF(tblSales[[#This Row],[Key]]="","",IFERROR(tblSales[[#This Row],[ยอดขาย (บาท)]]-tblSales[[#This Row],[ต้นทุนรวม (บาท)]],""))</f>
        <v/>
      </c>
      <c r="P268" s="21" t="str">
        <f>IF(tblSales[[#This Row],[Key]]="","",IFERROR(tblSales[[#This Row],[กำไร (บาท)]]/tblSales[[#This Row],[ยอดขาย (บาท)]],""))</f>
        <v/>
      </c>
      <c r="Q268" s="10" t="str">
        <f>IF(tblSales[[#This Row],[Key]]="","",IFERROR(INDEX(ตารางรวม!$D:$D,MATCH(tblSales[[#This Row],[Key]],ตารางรวม!$Z:$Z,0))*tblSales[[#This Row],[จำนวนแก้ว]],0))</f>
        <v/>
      </c>
      <c r="R268" s="10" t="str">
        <f>IF(tblSales[[#This Row],[Key]]="","",IFERROR(INDEX(ตารางรวม!$E:$E,MATCH(tblSales[[#This Row],[Key]],ตารางรวม!$Z:$Z,0))*tblSales[[#This Row],[จำนวนแก้ว]],0))</f>
        <v/>
      </c>
      <c r="S268" s="10" t="str">
        <f>IF(tblSales[[#This Row],[Key]]="","",IFERROR(INDEX(ตารางรวม!$F:$F,MATCH(tblSales[[#This Row],[Key]],ตารางรวม!$Z:$Z,0))*tblSales[[#This Row],[จำนวนแก้ว]],0))</f>
        <v/>
      </c>
      <c r="T268" s="10" t="str">
        <f>IF(tblSales[[#This Row],[Key]]="","",IFERROR(INDEX(ตารางรวม!$G:$G,MATCH(tblSales[[#This Row],[Key]],ตารางรวม!$Z:$Z,0))*tblSales[[#This Row],[จำนวนแก้ว]],0))</f>
        <v/>
      </c>
      <c r="U268" s="10" t="str">
        <f>IF(tblSales[[#This Row],[Key]]="","",IFERROR(INDEX(ตารางรวม!$H:$H,MATCH(tblSales[[#This Row],[Key]],ตารางรวม!$Z:$Z,0))*tblSales[[#This Row],[จำนวนแก้ว]],0))</f>
        <v/>
      </c>
      <c r="V268" s="10" t="str">
        <f>IF(tblSales[[#This Row],[Key]]="","",IFERROR(INDEX(ตารางรวม!$I:$I,MATCH(tblSales[[#This Row],[Key]],ตารางรวม!$Z:$Z,0))*tblSales[[#This Row],[จำนวนแก้ว]],0))</f>
        <v/>
      </c>
      <c r="W268" s="10" t="str">
        <f>IF(tblSales[[#This Row],[Key]]="","",IFERROR(INDEX(ตารางรวม!$J:$J,MATCH(tblSales[[#This Row],[Key]],ตารางรวม!$Z:$Z,0))*tblSales[[#This Row],[จำนวนแก้ว]],0))</f>
        <v/>
      </c>
      <c r="X268" s="10" t="str">
        <f>IF(tblSales[[#This Row],[Key]]="","",IFERROR(INDEX(ตารางรวม!$K:$K,MATCH(tblSales[[#This Row],[Key]],ตารางรวม!$Z:$Z,0))*tblSales[[#This Row],[จำนวนแก้ว]],0))</f>
        <v/>
      </c>
      <c r="Y268" s="10" t="str">
        <f>IF(tblSales[[#This Row],[Key]]="","",IFERROR(INDEX(ตารางรวม!$L:$L,MATCH(tblSales[[#This Row],[Key]],ตารางรวม!$Z:$Z,0))*tblSales[[#This Row],[จำนวนแก้ว]],0))</f>
        <v/>
      </c>
      <c r="Z26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8" s="10" t="str">
        <f>IF(tblSales[[#This Row],[Key]]="","",IF(tblSales[[#This Row],[ขนาด]]="16 oz",tblSales[[#This Row],[จำนวนแก้ว]],0))</f>
        <v/>
      </c>
      <c r="AI268" s="10" t="str">
        <f>IF(tblSales[[#This Row],[Key]]="","",IF(tblSales[[#This Row],[ขนาด]]="20 oz",tblSales[[#This Row],[จำนวนแก้ว]],0))</f>
        <v/>
      </c>
      <c r="AJ268" s="10" t="str">
        <f>IF(tblSales[[#This Row],[Key]]="","",IF(tblSales[[#This Row],[ขนาด]]="22 oz",tblSales[[#This Row],[จำนวนแก้ว]],0))</f>
        <v/>
      </c>
    </row>
    <row r="269" spans="1:36" x14ac:dyDescent="0.25">
      <c r="A269" s="4" t="str">
        <f>IF(tblSales[[#This Row],[วันที่]]="","","S"&amp;TEXT(tblSales[[#This Row],[วันที่]],"yymmdd")&amp;"-"&amp;TEXT(ROW()-5,"000"))</f>
        <v/>
      </c>
      <c r="B269" s="16"/>
      <c r="C269" s="6"/>
      <c r="D269" s="6"/>
      <c r="E269" s="20"/>
      <c r="F269" s="6"/>
      <c r="G269" s="6"/>
      <c r="H269" s="6"/>
      <c r="I269" s="6"/>
      <c r="J26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69" s="8" t="str">
        <f>IF(tblSales[[#This Row],[Key]]="","",IFERROR(INDEX(ตารางรวม!$W:$W,MATCH(tblSales[[#This Row],[Key]],ตารางรวม!$Z:$Z,0)),"ไม่พบสูตร"))</f>
        <v/>
      </c>
      <c r="L269" s="8" t="str">
        <f>IF(tblSales[[#This Row],[Key]]="","",IFERROR(INDEX(ตารางรวม!$V:$V,MATCH(tblSales[[#This Row],[Key]],ตารางรวม!$Z:$Z,0)),"ไม่พบสูตร"))</f>
        <v/>
      </c>
      <c r="M269" s="8" t="str">
        <f>IF(tblSales[[#This Row],[Key]]="","",IFERROR(tblSales[[#This Row],[ราคาต่อแก้ว]]*tblSales[[#This Row],[จำนวนแก้ว]],""))</f>
        <v/>
      </c>
      <c r="N269" s="8" t="str">
        <f>IF(tblSales[[#This Row],[Key]]="","",IFERROR(tblSales[[#This Row],[ต้นทุนต่อแก้ว]]*tblSales[[#This Row],[จำนวนแก้ว]],""))</f>
        <v/>
      </c>
      <c r="O269" s="8" t="str">
        <f>IF(tblSales[[#This Row],[Key]]="","",IFERROR(tblSales[[#This Row],[ยอดขาย (บาท)]]-tblSales[[#This Row],[ต้นทุนรวม (บาท)]],""))</f>
        <v/>
      </c>
      <c r="P269" s="21" t="str">
        <f>IF(tblSales[[#This Row],[Key]]="","",IFERROR(tblSales[[#This Row],[กำไร (บาท)]]/tblSales[[#This Row],[ยอดขาย (บาท)]],""))</f>
        <v/>
      </c>
      <c r="Q269" s="10" t="str">
        <f>IF(tblSales[[#This Row],[Key]]="","",IFERROR(INDEX(ตารางรวม!$D:$D,MATCH(tblSales[[#This Row],[Key]],ตารางรวม!$Z:$Z,0))*tblSales[[#This Row],[จำนวนแก้ว]],0))</f>
        <v/>
      </c>
      <c r="R269" s="10" t="str">
        <f>IF(tblSales[[#This Row],[Key]]="","",IFERROR(INDEX(ตารางรวม!$E:$E,MATCH(tblSales[[#This Row],[Key]],ตารางรวม!$Z:$Z,0))*tblSales[[#This Row],[จำนวนแก้ว]],0))</f>
        <v/>
      </c>
      <c r="S269" s="10" t="str">
        <f>IF(tblSales[[#This Row],[Key]]="","",IFERROR(INDEX(ตารางรวม!$F:$F,MATCH(tblSales[[#This Row],[Key]],ตารางรวม!$Z:$Z,0))*tblSales[[#This Row],[จำนวนแก้ว]],0))</f>
        <v/>
      </c>
      <c r="T269" s="10" t="str">
        <f>IF(tblSales[[#This Row],[Key]]="","",IFERROR(INDEX(ตารางรวม!$G:$G,MATCH(tblSales[[#This Row],[Key]],ตารางรวม!$Z:$Z,0))*tblSales[[#This Row],[จำนวนแก้ว]],0))</f>
        <v/>
      </c>
      <c r="U269" s="10" t="str">
        <f>IF(tblSales[[#This Row],[Key]]="","",IFERROR(INDEX(ตารางรวม!$H:$H,MATCH(tblSales[[#This Row],[Key]],ตารางรวม!$Z:$Z,0))*tblSales[[#This Row],[จำนวนแก้ว]],0))</f>
        <v/>
      </c>
      <c r="V269" s="10" t="str">
        <f>IF(tblSales[[#This Row],[Key]]="","",IFERROR(INDEX(ตารางรวม!$I:$I,MATCH(tblSales[[#This Row],[Key]],ตารางรวม!$Z:$Z,0))*tblSales[[#This Row],[จำนวนแก้ว]],0))</f>
        <v/>
      </c>
      <c r="W269" s="10" t="str">
        <f>IF(tblSales[[#This Row],[Key]]="","",IFERROR(INDEX(ตารางรวม!$J:$J,MATCH(tblSales[[#This Row],[Key]],ตารางรวม!$Z:$Z,0))*tblSales[[#This Row],[จำนวนแก้ว]],0))</f>
        <v/>
      </c>
      <c r="X269" s="10" t="str">
        <f>IF(tblSales[[#This Row],[Key]]="","",IFERROR(INDEX(ตารางรวม!$K:$K,MATCH(tblSales[[#This Row],[Key]],ตารางรวม!$Z:$Z,0))*tblSales[[#This Row],[จำนวนแก้ว]],0))</f>
        <v/>
      </c>
      <c r="Y269" s="10" t="str">
        <f>IF(tblSales[[#This Row],[Key]]="","",IFERROR(INDEX(ตารางรวม!$L:$L,MATCH(tblSales[[#This Row],[Key]],ตารางรวม!$Z:$Z,0))*tblSales[[#This Row],[จำนวนแก้ว]],0))</f>
        <v/>
      </c>
      <c r="Z26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6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6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6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6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6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6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6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69" s="10" t="str">
        <f>IF(tblSales[[#This Row],[Key]]="","",IF(tblSales[[#This Row],[ขนาด]]="16 oz",tblSales[[#This Row],[จำนวนแก้ว]],0))</f>
        <v/>
      </c>
      <c r="AI269" s="10" t="str">
        <f>IF(tblSales[[#This Row],[Key]]="","",IF(tblSales[[#This Row],[ขนาด]]="20 oz",tblSales[[#This Row],[จำนวนแก้ว]],0))</f>
        <v/>
      </c>
      <c r="AJ269" s="10" t="str">
        <f>IF(tblSales[[#This Row],[Key]]="","",IF(tblSales[[#This Row],[ขนาด]]="22 oz",tblSales[[#This Row],[จำนวนแก้ว]],0))</f>
        <v/>
      </c>
    </row>
    <row r="270" spans="1:36" x14ac:dyDescent="0.25">
      <c r="A270" s="4" t="str">
        <f>IF(tblSales[[#This Row],[วันที่]]="","","S"&amp;TEXT(tblSales[[#This Row],[วันที่]],"yymmdd")&amp;"-"&amp;TEXT(ROW()-5,"000"))</f>
        <v/>
      </c>
      <c r="B270" s="16"/>
      <c r="C270" s="6"/>
      <c r="D270" s="6"/>
      <c r="E270" s="20"/>
      <c r="F270" s="6"/>
      <c r="G270" s="6"/>
      <c r="H270" s="6"/>
      <c r="I270" s="6"/>
      <c r="J27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0" s="8" t="str">
        <f>IF(tblSales[[#This Row],[Key]]="","",IFERROR(INDEX(ตารางรวม!$W:$W,MATCH(tblSales[[#This Row],[Key]],ตารางรวม!$Z:$Z,0)),"ไม่พบสูตร"))</f>
        <v/>
      </c>
      <c r="L270" s="8" t="str">
        <f>IF(tblSales[[#This Row],[Key]]="","",IFERROR(INDEX(ตารางรวม!$V:$V,MATCH(tblSales[[#This Row],[Key]],ตารางรวม!$Z:$Z,0)),"ไม่พบสูตร"))</f>
        <v/>
      </c>
      <c r="M270" s="8" t="str">
        <f>IF(tblSales[[#This Row],[Key]]="","",IFERROR(tblSales[[#This Row],[ราคาต่อแก้ว]]*tblSales[[#This Row],[จำนวนแก้ว]],""))</f>
        <v/>
      </c>
      <c r="N270" s="8" t="str">
        <f>IF(tblSales[[#This Row],[Key]]="","",IFERROR(tblSales[[#This Row],[ต้นทุนต่อแก้ว]]*tblSales[[#This Row],[จำนวนแก้ว]],""))</f>
        <v/>
      </c>
      <c r="O270" s="8" t="str">
        <f>IF(tblSales[[#This Row],[Key]]="","",IFERROR(tblSales[[#This Row],[ยอดขาย (บาท)]]-tblSales[[#This Row],[ต้นทุนรวม (บาท)]],""))</f>
        <v/>
      </c>
      <c r="P270" s="21" t="str">
        <f>IF(tblSales[[#This Row],[Key]]="","",IFERROR(tblSales[[#This Row],[กำไร (บาท)]]/tblSales[[#This Row],[ยอดขาย (บาท)]],""))</f>
        <v/>
      </c>
      <c r="Q270" s="10" t="str">
        <f>IF(tblSales[[#This Row],[Key]]="","",IFERROR(INDEX(ตารางรวม!$D:$D,MATCH(tblSales[[#This Row],[Key]],ตารางรวม!$Z:$Z,0))*tblSales[[#This Row],[จำนวนแก้ว]],0))</f>
        <v/>
      </c>
      <c r="R270" s="10" t="str">
        <f>IF(tblSales[[#This Row],[Key]]="","",IFERROR(INDEX(ตารางรวม!$E:$E,MATCH(tblSales[[#This Row],[Key]],ตารางรวม!$Z:$Z,0))*tblSales[[#This Row],[จำนวนแก้ว]],0))</f>
        <v/>
      </c>
      <c r="S270" s="10" t="str">
        <f>IF(tblSales[[#This Row],[Key]]="","",IFERROR(INDEX(ตารางรวม!$F:$F,MATCH(tblSales[[#This Row],[Key]],ตารางรวม!$Z:$Z,0))*tblSales[[#This Row],[จำนวนแก้ว]],0))</f>
        <v/>
      </c>
      <c r="T270" s="10" t="str">
        <f>IF(tblSales[[#This Row],[Key]]="","",IFERROR(INDEX(ตารางรวม!$G:$G,MATCH(tblSales[[#This Row],[Key]],ตารางรวม!$Z:$Z,0))*tblSales[[#This Row],[จำนวนแก้ว]],0))</f>
        <v/>
      </c>
      <c r="U270" s="10" t="str">
        <f>IF(tblSales[[#This Row],[Key]]="","",IFERROR(INDEX(ตารางรวม!$H:$H,MATCH(tblSales[[#This Row],[Key]],ตารางรวม!$Z:$Z,0))*tblSales[[#This Row],[จำนวนแก้ว]],0))</f>
        <v/>
      </c>
      <c r="V270" s="10" t="str">
        <f>IF(tblSales[[#This Row],[Key]]="","",IFERROR(INDEX(ตารางรวม!$I:$I,MATCH(tblSales[[#This Row],[Key]],ตารางรวม!$Z:$Z,0))*tblSales[[#This Row],[จำนวนแก้ว]],0))</f>
        <v/>
      </c>
      <c r="W270" s="10" t="str">
        <f>IF(tblSales[[#This Row],[Key]]="","",IFERROR(INDEX(ตารางรวม!$J:$J,MATCH(tblSales[[#This Row],[Key]],ตารางรวม!$Z:$Z,0))*tblSales[[#This Row],[จำนวนแก้ว]],0))</f>
        <v/>
      </c>
      <c r="X270" s="10" t="str">
        <f>IF(tblSales[[#This Row],[Key]]="","",IFERROR(INDEX(ตารางรวม!$K:$K,MATCH(tblSales[[#This Row],[Key]],ตารางรวม!$Z:$Z,0))*tblSales[[#This Row],[จำนวนแก้ว]],0))</f>
        <v/>
      </c>
      <c r="Y270" s="10" t="str">
        <f>IF(tblSales[[#This Row],[Key]]="","",IFERROR(INDEX(ตารางรวม!$L:$L,MATCH(tblSales[[#This Row],[Key]],ตารางรวม!$Z:$Z,0))*tblSales[[#This Row],[จำนวนแก้ว]],0))</f>
        <v/>
      </c>
      <c r="Z27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0" s="10" t="str">
        <f>IF(tblSales[[#This Row],[Key]]="","",IF(tblSales[[#This Row],[ขนาด]]="16 oz",tblSales[[#This Row],[จำนวนแก้ว]],0))</f>
        <v/>
      </c>
      <c r="AI270" s="10" t="str">
        <f>IF(tblSales[[#This Row],[Key]]="","",IF(tblSales[[#This Row],[ขนาด]]="20 oz",tblSales[[#This Row],[จำนวนแก้ว]],0))</f>
        <v/>
      </c>
      <c r="AJ270" s="10" t="str">
        <f>IF(tblSales[[#This Row],[Key]]="","",IF(tblSales[[#This Row],[ขนาด]]="22 oz",tblSales[[#This Row],[จำนวนแก้ว]],0))</f>
        <v/>
      </c>
    </row>
    <row r="271" spans="1:36" x14ac:dyDescent="0.25">
      <c r="A271" s="4" t="str">
        <f>IF(tblSales[[#This Row],[วันที่]]="","","S"&amp;TEXT(tblSales[[#This Row],[วันที่]],"yymmdd")&amp;"-"&amp;TEXT(ROW()-5,"000"))</f>
        <v/>
      </c>
      <c r="B271" s="16"/>
      <c r="C271" s="6"/>
      <c r="D271" s="6"/>
      <c r="E271" s="20"/>
      <c r="F271" s="6"/>
      <c r="G271" s="6"/>
      <c r="H271" s="6"/>
      <c r="I271" s="6"/>
      <c r="J27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1" s="8" t="str">
        <f>IF(tblSales[[#This Row],[Key]]="","",IFERROR(INDEX(ตารางรวม!$W:$W,MATCH(tblSales[[#This Row],[Key]],ตารางรวม!$Z:$Z,0)),"ไม่พบสูตร"))</f>
        <v/>
      </c>
      <c r="L271" s="8" t="str">
        <f>IF(tblSales[[#This Row],[Key]]="","",IFERROR(INDEX(ตารางรวม!$V:$V,MATCH(tblSales[[#This Row],[Key]],ตารางรวม!$Z:$Z,0)),"ไม่พบสูตร"))</f>
        <v/>
      </c>
      <c r="M271" s="8" t="str">
        <f>IF(tblSales[[#This Row],[Key]]="","",IFERROR(tblSales[[#This Row],[ราคาต่อแก้ว]]*tblSales[[#This Row],[จำนวนแก้ว]],""))</f>
        <v/>
      </c>
      <c r="N271" s="8" t="str">
        <f>IF(tblSales[[#This Row],[Key]]="","",IFERROR(tblSales[[#This Row],[ต้นทุนต่อแก้ว]]*tblSales[[#This Row],[จำนวนแก้ว]],""))</f>
        <v/>
      </c>
      <c r="O271" s="8" t="str">
        <f>IF(tblSales[[#This Row],[Key]]="","",IFERROR(tblSales[[#This Row],[ยอดขาย (บาท)]]-tblSales[[#This Row],[ต้นทุนรวม (บาท)]],""))</f>
        <v/>
      </c>
      <c r="P271" s="21" t="str">
        <f>IF(tblSales[[#This Row],[Key]]="","",IFERROR(tblSales[[#This Row],[กำไร (บาท)]]/tblSales[[#This Row],[ยอดขาย (บาท)]],""))</f>
        <v/>
      </c>
      <c r="Q271" s="10" t="str">
        <f>IF(tblSales[[#This Row],[Key]]="","",IFERROR(INDEX(ตารางรวม!$D:$D,MATCH(tblSales[[#This Row],[Key]],ตารางรวม!$Z:$Z,0))*tblSales[[#This Row],[จำนวนแก้ว]],0))</f>
        <v/>
      </c>
      <c r="R271" s="10" t="str">
        <f>IF(tblSales[[#This Row],[Key]]="","",IFERROR(INDEX(ตารางรวม!$E:$E,MATCH(tblSales[[#This Row],[Key]],ตารางรวม!$Z:$Z,0))*tblSales[[#This Row],[จำนวนแก้ว]],0))</f>
        <v/>
      </c>
      <c r="S271" s="10" t="str">
        <f>IF(tblSales[[#This Row],[Key]]="","",IFERROR(INDEX(ตารางรวม!$F:$F,MATCH(tblSales[[#This Row],[Key]],ตารางรวม!$Z:$Z,0))*tblSales[[#This Row],[จำนวนแก้ว]],0))</f>
        <v/>
      </c>
      <c r="T271" s="10" t="str">
        <f>IF(tblSales[[#This Row],[Key]]="","",IFERROR(INDEX(ตารางรวม!$G:$G,MATCH(tblSales[[#This Row],[Key]],ตารางรวม!$Z:$Z,0))*tblSales[[#This Row],[จำนวนแก้ว]],0))</f>
        <v/>
      </c>
      <c r="U271" s="10" t="str">
        <f>IF(tblSales[[#This Row],[Key]]="","",IFERROR(INDEX(ตารางรวม!$H:$H,MATCH(tblSales[[#This Row],[Key]],ตารางรวม!$Z:$Z,0))*tblSales[[#This Row],[จำนวนแก้ว]],0))</f>
        <v/>
      </c>
      <c r="V271" s="10" t="str">
        <f>IF(tblSales[[#This Row],[Key]]="","",IFERROR(INDEX(ตารางรวม!$I:$I,MATCH(tblSales[[#This Row],[Key]],ตารางรวม!$Z:$Z,0))*tblSales[[#This Row],[จำนวนแก้ว]],0))</f>
        <v/>
      </c>
      <c r="W271" s="10" t="str">
        <f>IF(tblSales[[#This Row],[Key]]="","",IFERROR(INDEX(ตารางรวม!$J:$J,MATCH(tblSales[[#This Row],[Key]],ตารางรวม!$Z:$Z,0))*tblSales[[#This Row],[จำนวนแก้ว]],0))</f>
        <v/>
      </c>
      <c r="X271" s="10" t="str">
        <f>IF(tblSales[[#This Row],[Key]]="","",IFERROR(INDEX(ตารางรวม!$K:$K,MATCH(tblSales[[#This Row],[Key]],ตารางรวม!$Z:$Z,0))*tblSales[[#This Row],[จำนวนแก้ว]],0))</f>
        <v/>
      </c>
      <c r="Y271" s="10" t="str">
        <f>IF(tblSales[[#This Row],[Key]]="","",IFERROR(INDEX(ตารางรวม!$L:$L,MATCH(tblSales[[#This Row],[Key]],ตารางรวม!$Z:$Z,0))*tblSales[[#This Row],[จำนวนแก้ว]],0))</f>
        <v/>
      </c>
      <c r="Z27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1" s="10" t="str">
        <f>IF(tblSales[[#This Row],[Key]]="","",IF(tblSales[[#This Row],[ขนาด]]="16 oz",tblSales[[#This Row],[จำนวนแก้ว]],0))</f>
        <v/>
      </c>
      <c r="AI271" s="10" t="str">
        <f>IF(tblSales[[#This Row],[Key]]="","",IF(tblSales[[#This Row],[ขนาด]]="20 oz",tblSales[[#This Row],[จำนวนแก้ว]],0))</f>
        <v/>
      </c>
      <c r="AJ271" s="10" t="str">
        <f>IF(tblSales[[#This Row],[Key]]="","",IF(tblSales[[#This Row],[ขนาด]]="22 oz",tblSales[[#This Row],[จำนวนแก้ว]],0))</f>
        <v/>
      </c>
    </row>
    <row r="272" spans="1:36" x14ac:dyDescent="0.25">
      <c r="A272" s="4" t="str">
        <f>IF(tblSales[[#This Row],[วันที่]]="","","S"&amp;TEXT(tblSales[[#This Row],[วันที่]],"yymmdd")&amp;"-"&amp;TEXT(ROW()-5,"000"))</f>
        <v/>
      </c>
      <c r="B272" s="16"/>
      <c r="C272" s="6"/>
      <c r="D272" s="6"/>
      <c r="E272" s="20"/>
      <c r="F272" s="6"/>
      <c r="G272" s="6"/>
      <c r="H272" s="6"/>
      <c r="I272" s="6"/>
      <c r="J27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2" s="8" t="str">
        <f>IF(tblSales[[#This Row],[Key]]="","",IFERROR(INDEX(ตารางรวม!$W:$W,MATCH(tblSales[[#This Row],[Key]],ตารางรวม!$Z:$Z,0)),"ไม่พบสูตร"))</f>
        <v/>
      </c>
      <c r="L272" s="8" t="str">
        <f>IF(tblSales[[#This Row],[Key]]="","",IFERROR(INDEX(ตารางรวม!$V:$V,MATCH(tblSales[[#This Row],[Key]],ตารางรวม!$Z:$Z,0)),"ไม่พบสูตร"))</f>
        <v/>
      </c>
      <c r="M272" s="8" t="str">
        <f>IF(tblSales[[#This Row],[Key]]="","",IFERROR(tblSales[[#This Row],[ราคาต่อแก้ว]]*tblSales[[#This Row],[จำนวนแก้ว]],""))</f>
        <v/>
      </c>
      <c r="N272" s="8" t="str">
        <f>IF(tblSales[[#This Row],[Key]]="","",IFERROR(tblSales[[#This Row],[ต้นทุนต่อแก้ว]]*tblSales[[#This Row],[จำนวนแก้ว]],""))</f>
        <v/>
      </c>
      <c r="O272" s="8" t="str">
        <f>IF(tblSales[[#This Row],[Key]]="","",IFERROR(tblSales[[#This Row],[ยอดขาย (บาท)]]-tblSales[[#This Row],[ต้นทุนรวม (บาท)]],""))</f>
        <v/>
      </c>
      <c r="P272" s="21" t="str">
        <f>IF(tblSales[[#This Row],[Key]]="","",IFERROR(tblSales[[#This Row],[กำไร (บาท)]]/tblSales[[#This Row],[ยอดขาย (บาท)]],""))</f>
        <v/>
      </c>
      <c r="Q272" s="10" t="str">
        <f>IF(tblSales[[#This Row],[Key]]="","",IFERROR(INDEX(ตารางรวม!$D:$D,MATCH(tblSales[[#This Row],[Key]],ตารางรวม!$Z:$Z,0))*tblSales[[#This Row],[จำนวนแก้ว]],0))</f>
        <v/>
      </c>
      <c r="R272" s="10" t="str">
        <f>IF(tblSales[[#This Row],[Key]]="","",IFERROR(INDEX(ตารางรวม!$E:$E,MATCH(tblSales[[#This Row],[Key]],ตารางรวม!$Z:$Z,0))*tblSales[[#This Row],[จำนวนแก้ว]],0))</f>
        <v/>
      </c>
      <c r="S272" s="10" t="str">
        <f>IF(tblSales[[#This Row],[Key]]="","",IFERROR(INDEX(ตารางรวม!$F:$F,MATCH(tblSales[[#This Row],[Key]],ตารางรวม!$Z:$Z,0))*tblSales[[#This Row],[จำนวนแก้ว]],0))</f>
        <v/>
      </c>
      <c r="T272" s="10" t="str">
        <f>IF(tblSales[[#This Row],[Key]]="","",IFERROR(INDEX(ตารางรวม!$G:$G,MATCH(tblSales[[#This Row],[Key]],ตารางรวม!$Z:$Z,0))*tblSales[[#This Row],[จำนวนแก้ว]],0))</f>
        <v/>
      </c>
      <c r="U272" s="10" t="str">
        <f>IF(tblSales[[#This Row],[Key]]="","",IFERROR(INDEX(ตารางรวม!$H:$H,MATCH(tblSales[[#This Row],[Key]],ตารางรวม!$Z:$Z,0))*tblSales[[#This Row],[จำนวนแก้ว]],0))</f>
        <v/>
      </c>
      <c r="V272" s="10" t="str">
        <f>IF(tblSales[[#This Row],[Key]]="","",IFERROR(INDEX(ตารางรวม!$I:$I,MATCH(tblSales[[#This Row],[Key]],ตารางรวม!$Z:$Z,0))*tblSales[[#This Row],[จำนวนแก้ว]],0))</f>
        <v/>
      </c>
      <c r="W272" s="10" t="str">
        <f>IF(tblSales[[#This Row],[Key]]="","",IFERROR(INDEX(ตารางรวม!$J:$J,MATCH(tblSales[[#This Row],[Key]],ตารางรวม!$Z:$Z,0))*tblSales[[#This Row],[จำนวนแก้ว]],0))</f>
        <v/>
      </c>
      <c r="X272" s="10" t="str">
        <f>IF(tblSales[[#This Row],[Key]]="","",IFERROR(INDEX(ตารางรวม!$K:$K,MATCH(tblSales[[#This Row],[Key]],ตารางรวม!$Z:$Z,0))*tblSales[[#This Row],[จำนวนแก้ว]],0))</f>
        <v/>
      </c>
      <c r="Y272" s="10" t="str">
        <f>IF(tblSales[[#This Row],[Key]]="","",IFERROR(INDEX(ตารางรวม!$L:$L,MATCH(tblSales[[#This Row],[Key]],ตารางรวม!$Z:$Z,0))*tblSales[[#This Row],[จำนวนแก้ว]],0))</f>
        <v/>
      </c>
      <c r="Z27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2" s="10" t="str">
        <f>IF(tblSales[[#This Row],[Key]]="","",IF(tblSales[[#This Row],[ขนาด]]="16 oz",tblSales[[#This Row],[จำนวนแก้ว]],0))</f>
        <v/>
      </c>
      <c r="AI272" s="10" t="str">
        <f>IF(tblSales[[#This Row],[Key]]="","",IF(tblSales[[#This Row],[ขนาด]]="20 oz",tblSales[[#This Row],[จำนวนแก้ว]],0))</f>
        <v/>
      </c>
      <c r="AJ272" s="10" t="str">
        <f>IF(tblSales[[#This Row],[Key]]="","",IF(tblSales[[#This Row],[ขนาด]]="22 oz",tblSales[[#This Row],[จำนวนแก้ว]],0))</f>
        <v/>
      </c>
    </row>
    <row r="273" spans="1:36" x14ac:dyDescent="0.25">
      <c r="A273" s="4" t="str">
        <f>IF(tblSales[[#This Row],[วันที่]]="","","S"&amp;TEXT(tblSales[[#This Row],[วันที่]],"yymmdd")&amp;"-"&amp;TEXT(ROW()-5,"000"))</f>
        <v/>
      </c>
      <c r="B273" s="16"/>
      <c r="C273" s="6"/>
      <c r="D273" s="6"/>
      <c r="E273" s="20"/>
      <c r="F273" s="6"/>
      <c r="G273" s="6"/>
      <c r="H273" s="6"/>
      <c r="I273" s="6"/>
      <c r="J27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3" s="8" t="str">
        <f>IF(tblSales[[#This Row],[Key]]="","",IFERROR(INDEX(ตารางรวม!$W:$W,MATCH(tblSales[[#This Row],[Key]],ตารางรวม!$Z:$Z,0)),"ไม่พบสูตร"))</f>
        <v/>
      </c>
      <c r="L273" s="8" t="str">
        <f>IF(tblSales[[#This Row],[Key]]="","",IFERROR(INDEX(ตารางรวม!$V:$V,MATCH(tblSales[[#This Row],[Key]],ตารางรวม!$Z:$Z,0)),"ไม่พบสูตร"))</f>
        <v/>
      </c>
      <c r="M273" s="8" t="str">
        <f>IF(tblSales[[#This Row],[Key]]="","",IFERROR(tblSales[[#This Row],[ราคาต่อแก้ว]]*tblSales[[#This Row],[จำนวนแก้ว]],""))</f>
        <v/>
      </c>
      <c r="N273" s="8" t="str">
        <f>IF(tblSales[[#This Row],[Key]]="","",IFERROR(tblSales[[#This Row],[ต้นทุนต่อแก้ว]]*tblSales[[#This Row],[จำนวนแก้ว]],""))</f>
        <v/>
      </c>
      <c r="O273" s="8" t="str">
        <f>IF(tblSales[[#This Row],[Key]]="","",IFERROR(tblSales[[#This Row],[ยอดขาย (บาท)]]-tblSales[[#This Row],[ต้นทุนรวม (บาท)]],""))</f>
        <v/>
      </c>
      <c r="P273" s="21" t="str">
        <f>IF(tblSales[[#This Row],[Key]]="","",IFERROR(tblSales[[#This Row],[กำไร (บาท)]]/tblSales[[#This Row],[ยอดขาย (บาท)]],""))</f>
        <v/>
      </c>
      <c r="Q273" s="10" t="str">
        <f>IF(tblSales[[#This Row],[Key]]="","",IFERROR(INDEX(ตารางรวม!$D:$D,MATCH(tblSales[[#This Row],[Key]],ตารางรวม!$Z:$Z,0))*tblSales[[#This Row],[จำนวนแก้ว]],0))</f>
        <v/>
      </c>
      <c r="R273" s="10" t="str">
        <f>IF(tblSales[[#This Row],[Key]]="","",IFERROR(INDEX(ตารางรวม!$E:$E,MATCH(tblSales[[#This Row],[Key]],ตารางรวม!$Z:$Z,0))*tblSales[[#This Row],[จำนวนแก้ว]],0))</f>
        <v/>
      </c>
      <c r="S273" s="10" t="str">
        <f>IF(tblSales[[#This Row],[Key]]="","",IFERROR(INDEX(ตารางรวม!$F:$F,MATCH(tblSales[[#This Row],[Key]],ตารางรวม!$Z:$Z,0))*tblSales[[#This Row],[จำนวนแก้ว]],0))</f>
        <v/>
      </c>
      <c r="T273" s="10" t="str">
        <f>IF(tblSales[[#This Row],[Key]]="","",IFERROR(INDEX(ตารางรวม!$G:$G,MATCH(tblSales[[#This Row],[Key]],ตารางรวม!$Z:$Z,0))*tblSales[[#This Row],[จำนวนแก้ว]],0))</f>
        <v/>
      </c>
      <c r="U273" s="10" t="str">
        <f>IF(tblSales[[#This Row],[Key]]="","",IFERROR(INDEX(ตารางรวม!$H:$H,MATCH(tblSales[[#This Row],[Key]],ตารางรวม!$Z:$Z,0))*tblSales[[#This Row],[จำนวนแก้ว]],0))</f>
        <v/>
      </c>
      <c r="V273" s="10" t="str">
        <f>IF(tblSales[[#This Row],[Key]]="","",IFERROR(INDEX(ตารางรวม!$I:$I,MATCH(tblSales[[#This Row],[Key]],ตารางรวม!$Z:$Z,0))*tblSales[[#This Row],[จำนวนแก้ว]],0))</f>
        <v/>
      </c>
      <c r="W273" s="10" t="str">
        <f>IF(tblSales[[#This Row],[Key]]="","",IFERROR(INDEX(ตารางรวม!$J:$J,MATCH(tblSales[[#This Row],[Key]],ตารางรวม!$Z:$Z,0))*tblSales[[#This Row],[จำนวนแก้ว]],0))</f>
        <v/>
      </c>
      <c r="X273" s="10" t="str">
        <f>IF(tblSales[[#This Row],[Key]]="","",IFERROR(INDEX(ตารางรวม!$K:$K,MATCH(tblSales[[#This Row],[Key]],ตารางรวม!$Z:$Z,0))*tblSales[[#This Row],[จำนวนแก้ว]],0))</f>
        <v/>
      </c>
      <c r="Y273" s="10" t="str">
        <f>IF(tblSales[[#This Row],[Key]]="","",IFERROR(INDEX(ตารางรวม!$L:$L,MATCH(tblSales[[#This Row],[Key]],ตารางรวม!$Z:$Z,0))*tblSales[[#This Row],[จำนวนแก้ว]],0))</f>
        <v/>
      </c>
      <c r="Z27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3" s="10" t="str">
        <f>IF(tblSales[[#This Row],[Key]]="","",IF(tblSales[[#This Row],[ขนาด]]="16 oz",tblSales[[#This Row],[จำนวนแก้ว]],0))</f>
        <v/>
      </c>
      <c r="AI273" s="10" t="str">
        <f>IF(tblSales[[#This Row],[Key]]="","",IF(tblSales[[#This Row],[ขนาด]]="20 oz",tblSales[[#This Row],[จำนวนแก้ว]],0))</f>
        <v/>
      </c>
      <c r="AJ273" s="10" t="str">
        <f>IF(tblSales[[#This Row],[Key]]="","",IF(tblSales[[#This Row],[ขนาด]]="22 oz",tblSales[[#This Row],[จำนวนแก้ว]],0))</f>
        <v/>
      </c>
    </row>
    <row r="274" spans="1:36" x14ac:dyDescent="0.25">
      <c r="A274" s="4" t="str">
        <f>IF(tblSales[[#This Row],[วันที่]]="","","S"&amp;TEXT(tblSales[[#This Row],[วันที่]],"yymmdd")&amp;"-"&amp;TEXT(ROW()-5,"000"))</f>
        <v/>
      </c>
      <c r="B274" s="16"/>
      <c r="C274" s="6"/>
      <c r="D274" s="6"/>
      <c r="E274" s="20"/>
      <c r="F274" s="6"/>
      <c r="G274" s="6"/>
      <c r="H274" s="6"/>
      <c r="I274" s="6"/>
      <c r="J27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4" s="8" t="str">
        <f>IF(tblSales[[#This Row],[Key]]="","",IFERROR(INDEX(ตารางรวม!$W:$W,MATCH(tblSales[[#This Row],[Key]],ตารางรวม!$Z:$Z,0)),"ไม่พบสูตร"))</f>
        <v/>
      </c>
      <c r="L274" s="8" t="str">
        <f>IF(tblSales[[#This Row],[Key]]="","",IFERROR(INDEX(ตารางรวม!$V:$V,MATCH(tblSales[[#This Row],[Key]],ตารางรวม!$Z:$Z,0)),"ไม่พบสูตร"))</f>
        <v/>
      </c>
      <c r="M274" s="8" t="str">
        <f>IF(tblSales[[#This Row],[Key]]="","",IFERROR(tblSales[[#This Row],[ราคาต่อแก้ว]]*tblSales[[#This Row],[จำนวนแก้ว]],""))</f>
        <v/>
      </c>
      <c r="N274" s="8" t="str">
        <f>IF(tblSales[[#This Row],[Key]]="","",IFERROR(tblSales[[#This Row],[ต้นทุนต่อแก้ว]]*tblSales[[#This Row],[จำนวนแก้ว]],""))</f>
        <v/>
      </c>
      <c r="O274" s="8" t="str">
        <f>IF(tblSales[[#This Row],[Key]]="","",IFERROR(tblSales[[#This Row],[ยอดขาย (บาท)]]-tblSales[[#This Row],[ต้นทุนรวม (บาท)]],""))</f>
        <v/>
      </c>
      <c r="P274" s="21" t="str">
        <f>IF(tblSales[[#This Row],[Key]]="","",IFERROR(tblSales[[#This Row],[กำไร (บาท)]]/tblSales[[#This Row],[ยอดขาย (บาท)]],""))</f>
        <v/>
      </c>
      <c r="Q274" s="10" t="str">
        <f>IF(tblSales[[#This Row],[Key]]="","",IFERROR(INDEX(ตารางรวม!$D:$D,MATCH(tblSales[[#This Row],[Key]],ตารางรวม!$Z:$Z,0))*tblSales[[#This Row],[จำนวนแก้ว]],0))</f>
        <v/>
      </c>
      <c r="R274" s="10" t="str">
        <f>IF(tblSales[[#This Row],[Key]]="","",IFERROR(INDEX(ตารางรวม!$E:$E,MATCH(tblSales[[#This Row],[Key]],ตารางรวม!$Z:$Z,0))*tblSales[[#This Row],[จำนวนแก้ว]],0))</f>
        <v/>
      </c>
      <c r="S274" s="10" t="str">
        <f>IF(tblSales[[#This Row],[Key]]="","",IFERROR(INDEX(ตารางรวม!$F:$F,MATCH(tblSales[[#This Row],[Key]],ตารางรวม!$Z:$Z,0))*tblSales[[#This Row],[จำนวนแก้ว]],0))</f>
        <v/>
      </c>
      <c r="T274" s="10" t="str">
        <f>IF(tblSales[[#This Row],[Key]]="","",IFERROR(INDEX(ตารางรวม!$G:$G,MATCH(tblSales[[#This Row],[Key]],ตารางรวม!$Z:$Z,0))*tblSales[[#This Row],[จำนวนแก้ว]],0))</f>
        <v/>
      </c>
      <c r="U274" s="10" t="str">
        <f>IF(tblSales[[#This Row],[Key]]="","",IFERROR(INDEX(ตารางรวม!$H:$H,MATCH(tblSales[[#This Row],[Key]],ตารางรวม!$Z:$Z,0))*tblSales[[#This Row],[จำนวนแก้ว]],0))</f>
        <v/>
      </c>
      <c r="V274" s="10" t="str">
        <f>IF(tblSales[[#This Row],[Key]]="","",IFERROR(INDEX(ตารางรวม!$I:$I,MATCH(tblSales[[#This Row],[Key]],ตารางรวม!$Z:$Z,0))*tblSales[[#This Row],[จำนวนแก้ว]],0))</f>
        <v/>
      </c>
      <c r="W274" s="10" t="str">
        <f>IF(tblSales[[#This Row],[Key]]="","",IFERROR(INDEX(ตารางรวม!$J:$J,MATCH(tblSales[[#This Row],[Key]],ตารางรวม!$Z:$Z,0))*tblSales[[#This Row],[จำนวนแก้ว]],0))</f>
        <v/>
      </c>
      <c r="X274" s="10" t="str">
        <f>IF(tblSales[[#This Row],[Key]]="","",IFERROR(INDEX(ตารางรวม!$K:$K,MATCH(tblSales[[#This Row],[Key]],ตารางรวม!$Z:$Z,0))*tblSales[[#This Row],[จำนวนแก้ว]],0))</f>
        <v/>
      </c>
      <c r="Y274" s="10" t="str">
        <f>IF(tblSales[[#This Row],[Key]]="","",IFERROR(INDEX(ตารางรวม!$L:$L,MATCH(tblSales[[#This Row],[Key]],ตารางรวม!$Z:$Z,0))*tblSales[[#This Row],[จำนวนแก้ว]],0))</f>
        <v/>
      </c>
      <c r="Z27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4" s="10" t="str">
        <f>IF(tblSales[[#This Row],[Key]]="","",IF(tblSales[[#This Row],[ขนาด]]="16 oz",tblSales[[#This Row],[จำนวนแก้ว]],0))</f>
        <v/>
      </c>
      <c r="AI274" s="10" t="str">
        <f>IF(tblSales[[#This Row],[Key]]="","",IF(tblSales[[#This Row],[ขนาด]]="20 oz",tblSales[[#This Row],[จำนวนแก้ว]],0))</f>
        <v/>
      </c>
      <c r="AJ274" s="10" t="str">
        <f>IF(tblSales[[#This Row],[Key]]="","",IF(tblSales[[#This Row],[ขนาด]]="22 oz",tblSales[[#This Row],[จำนวนแก้ว]],0))</f>
        <v/>
      </c>
    </row>
    <row r="275" spans="1:36" x14ac:dyDescent="0.25">
      <c r="A275" s="4" t="str">
        <f>IF(tblSales[[#This Row],[วันที่]]="","","S"&amp;TEXT(tblSales[[#This Row],[วันที่]],"yymmdd")&amp;"-"&amp;TEXT(ROW()-5,"000"))</f>
        <v/>
      </c>
      <c r="B275" s="16"/>
      <c r="C275" s="6"/>
      <c r="D275" s="6"/>
      <c r="E275" s="20"/>
      <c r="F275" s="6"/>
      <c r="G275" s="6"/>
      <c r="H275" s="6"/>
      <c r="I275" s="6"/>
      <c r="J27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5" s="8" t="str">
        <f>IF(tblSales[[#This Row],[Key]]="","",IFERROR(INDEX(ตารางรวม!$W:$W,MATCH(tblSales[[#This Row],[Key]],ตารางรวม!$Z:$Z,0)),"ไม่พบสูตร"))</f>
        <v/>
      </c>
      <c r="L275" s="8" t="str">
        <f>IF(tblSales[[#This Row],[Key]]="","",IFERROR(INDEX(ตารางรวม!$V:$V,MATCH(tblSales[[#This Row],[Key]],ตารางรวม!$Z:$Z,0)),"ไม่พบสูตร"))</f>
        <v/>
      </c>
      <c r="M275" s="8" t="str">
        <f>IF(tblSales[[#This Row],[Key]]="","",IFERROR(tblSales[[#This Row],[ราคาต่อแก้ว]]*tblSales[[#This Row],[จำนวนแก้ว]],""))</f>
        <v/>
      </c>
      <c r="N275" s="8" t="str">
        <f>IF(tblSales[[#This Row],[Key]]="","",IFERROR(tblSales[[#This Row],[ต้นทุนต่อแก้ว]]*tblSales[[#This Row],[จำนวนแก้ว]],""))</f>
        <v/>
      </c>
      <c r="O275" s="8" t="str">
        <f>IF(tblSales[[#This Row],[Key]]="","",IFERROR(tblSales[[#This Row],[ยอดขาย (บาท)]]-tblSales[[#This Row],[ต้นทุนรวม (บาท)]],""))</f>
        <v/>
      </c>
      <c r="P275" s="21" t="str">
        <f>IF(tblSales[[#This Row],[Key]]="","",IFERROR(tblSales[[#This Row],[กำไร (บาท)]]/tblSales[[#This Row],[ยอดขาย (บาท)]],""))</f>
        <v/>
      </c>
      <c r="Q275" s="10" t="str">
        <f>IF(tblSales[[#This Row],[Key]]="","",IFERROR(INDEX(ตารางรวม!$D:$D,MATCH(tblSales[[#This Row],[Key]],ตารางรวม!$Z:$Z,0))*tblSales[[#This Row],[จำนวนแก้ว]],0))</f>
        <v/>
      </c>
      <c r="R275" s="10" t="str">
        <f>IF(tblSales[[#This Row],[Key]]="","",IFERROR(INDEX(ตารางรวม!$E:$E,MATCH(tblSales[[#This Row],[Key]],ตารางรวม!$Z:$Z,0))*tblSales[[#This Row],[จำนวนแก้ว]],0))</f>
        <v/>
      </c>
      <c r="S275" s="10" t="str">
        <f>IF(tblSales[[#This Row],[Key]]="","",IFERROR(INDEX(ตารางรวม!$F:$F,MATCH(tblSales[[#This Row],[Key]],ตารางรวม!$Z:$Z,0))*tblSales[[#This Row],[จำนวนแก้ว]],0))</f>
        <v/>
      </c>
      <c r="T275" s="10" t="str">
        <f>IF(tblSales[[#This Row],[Key]]="","",IFERROR(INDEX(ตารางรวม!$G:$G,MATCH(tblSales[[#This Row],[Key]],ตารางรวม!$Z:$Z,0))*tblSales[[#This Row],[จำนวนแก้ว]],0))</f>
        <v/>
      </c>
      <c r="U275" s="10" t="str">
        <f>IF(tblSales[[#This Row],[Key]]="","",IFERROR(INDEX(ตารางรวม!$H:$H,MATCH(tblSales[[#This Row],[Key]],ตารางรวม!$Z:$Z,0))*tblSales[[#This Row],[จำนวนแก้ว]],0))</f>
        <v/>
      </c>
      <c r="V275" s="10" t="str">
        <f>IF(tblSales[[#This Row],[Key]]="","",IFERROR(INDEX(ตารางรวม!$I:$I,MATCH(tblSales[[#This Row],[Key]],ตารางรวม!$Z:$Z,0))*tblSales[[#This Row],[จำนวนแก้ว]],0))</f>
        <v/>
      </c>
      <c r="W275" s="10" t="str">
        <f>IF(tblSales[[#This Row],[Key]]="","",IFERROR(INDEX(ตารางรวม!$J:$J,MATCH(tblSales[[#This Row],[Key]],ตารางรวม!$Z:$Z,0))*tblSales[[#This Row],[จำนวนแก้ว]],0))</f>
        <v/>
      </c>
      <c r="X275" s="10" t="str">
        <f>IF(tblSales[[#This Row],[Key]]="","",IFERROR(INDEX(ตารางรวม!$K:$K,MATCH(tblSales[[#This Row],[Key]],ตารางรวม!$Z:$Z,0))*tblSales[[#This Row],[จำนวนแก้ว]],0))</f>
        <v/>
      </c>
      <c r="Y275" s="10" t="str">
        <f>IF(tblSales[[#This Row],[Key]]="","",IFERROR(INDEX(ตารางรวม!$L:$L,MATCH(tblSales[[#This Row],[Key]],ตารางรวม!$Z:$Z,0))*tblSales[[#This Row],[จำนวนแก้ว]],0))</f>
        <v/>
      </c>
      <c r="Z27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5" s="10" t="str">
        <f>IF(tblSales[[#This Row],[Key]]="","",IF(tblSales[[#This Row],[ขนาด]]="16 oz",tblSales[[#This Row],[จำนวนแก้ว]],0))</f>
        <v/>
      </c>
      <c r="AI275" s="10" t="str">
        <f>IF(tblSales[[#This Row],[Key]]="","",IF(tblSales[[#This Row],[ขนาด]]="20 oz",tblSales[[#This Row],[จำนวนแก้ว]],0))</f>
        <v/>
      </c>
      <c r="AJ275" s="10" t="str">
        <f>IF(tblSales[[#This Row],[Key]]="","",IF(tblSales[[#This Row],[ขนาด]]="22 oz",tblSales[[#This Row],[จำนวนแก้ว]],0))</f>
        <v/>
      </c>
    </row>
    <row r="276" spans="1:36" x14ac:dyDescent="0.25">
      <c r="A276" s="4" t="str">
        <f>IF(tblSales[[#This Row],[วันที่]]="","","S"&amp;TEXT(tblSales[[#This Row],[วันที่]],"yymmdd")&amp;"-"&amp;TEXT(ROW()-5,"000"))</f>
        <v/>
      </c>
      <c r="B276" s="16"/>
      <c r="C276" s="6"/>
      <c r="D276" s="6"/>
      <c r="E276" s="20"/>
      <c r="F276" s="6"/>
      <c r="G276" s="6"/>
      <c r="H276" s="6"/>
      <c r="I276" s="6"/>
      <c r="J27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6" s="8" t="str">
        <f>IF(tblSales[[#This Row],[Key]]="","",IFERROR(INDEX(ตารางรวม!$W:$W,MATCH(tblSales[[#This Row],[Key]],ตารางรวม!$Z:$Z,0)),"ไม่พบสูตร"))</f>
        <v/>
      </c>
      <c r="L276" s="8" t="str">
        <f>IF(tblSales[[#This Row],[Key]]="","",IFERROR(INDEX(ตารางรวม!$V:$V,MATCH(tblSales[[#This Row],[Key]],ตารางรวม!$Z:$Z,0)),"ไม่พบสูตร"))</f>
        <v/>
      </c>
      <c r="M276" s="8" t="str">
        <f>IF(tblSales[[#This Row],[Key]]="","",IFERROR(tblSales[[#This Row],[ราคาต่อแก้ว]]*tblSales[[#This Row],[จำนวนแก้ว]],""))</f>
        <v/>
      </c>
      <c r="N276" s="8" t="str">
        <f>IF(tblSales[[#This Row],[Key]]="","",IFERROR(tblSales[[#This Row],[ต้นทุนต่อแก้ว]]*tblSales[[#This Row],[จำนวนแก้ว]],""))</f>
        <v/>
      </c>
      <c r="O276" s="8" t="str">
        <f>IF(tblSales[[#This Row],[Key]]="","",IFERROR(tblSales[[#This Row],[ยอดขาย (บาท)]]-tblSales[[#This Row],[ต้นทุนรวม (บาท)]],""))</f>
        <v/>
      </c>
      <c r="P276" s="21" t="str">
        <f>IF(tblSales[[#This Row],[Key]]="","",IFERROR(tblSales[[#This Row],[กำไร (บาท)]]/tblSales[[#This Row],[ยอดขาย (บาท)]],""))</f>
        <v/>
      </c>
      <c r="Q276" s="10" t="str">
        <f>IF(tblSales[[#This Row],[Key]]="","",IFERROR(INDEX(ตารางรวม!$D:$D,MATCH(tblSales[[#This Row],[Key]],ตารางรวม!$Z:$Z,0))*tblSales[[#This Row],[จำนวนแก้ว]],0))</f>
        <v/>
      </c>
      <c r="R276" s="10" t="str">
        <f>IF(tblSales[[#This Row],[Key]]="","",IFERROR(INDEX(ตารางรวม!$E:$E,MATCH(tblSales[[#This Row],[Key]],ตารางรวม!$Z:$Z,0))*tblSales[[#This Row],[จำนวนแก้ว]],0))</f>
        <v/>
      </c>
      <c r="S276" s="10" t="str">
        <f>IF(tblSales[[#This Row],[Key]]="","",IFERROR(INDEX(ตารางรวม!$F:$F,MATCH(tblSales[[#This Row],[Key]],ตารางรวม!$Z:$Z,0))*tblSales[[#This Row],[จำนวนแก้ว]],0))</f>
        <v/>
      </c>
      <c r="T276" s="10" t="str">
        <f>IF(tblSales[[#This Row],[Key]]="","",IFERROR(INDEX(ตารางรวม!$G:$G,MATCH(tblSales[[#This Row],[Key]],ตารางรวม!$Z:$Z,0))*tblSales[[#This Row],[จำนวนแก้ว]],0))</f>
        <v/>
      </c>
      <c r="U276" s="10" t="str">
        <f>IF(tblSales[[#This Row],[Key]]="","",IFERROR(INDEX(ตารางรวม!$H:$H,MATCH(tblSales[[#This Row],[Key]],ตารางรวม!$Z:$Z,0))*tblSales[[#This Row],[จำนวนแก้ว]],0))</f>
        <v/>
      </c>
      <c r="V276" s="10" t="str">
        <f>IF(tblSales[[#This Row],[Key]]="","",IFERROR(INDEX(ตารางรวม!$I:$I,MATCH(tblSales[[#This Row],[Key]],ตารางรวม!$Z:$Z,0))*tblSales[[#This Row],[จำนวนแก้ว]],0))</f>
        <v/>
      </c>
      <c r="W276" s="10" t="str">
        <f>IF(tblSales[[#This Row],[Key]]="","",IFERROR(INDEX(ตารางรวม!$J:$J,MATCH(tblSales[[#This Row],[Key]],ตารางรวม!$Z:$Z,0))*tblSales[[#This Row],[จำนวนแก้ว]],0))</f>
        <v/>
      </c>
      <c r="X276" s="10" t="str">
        <f>IF(tblSales[[#This Row],[Key]]="","",IFERROR(INDEX(ตารางรวม!$K:$K,MATCH(tblSales[[#This Row],[Key]],ตารางรวม!$Z:$Z,0))*tblSales[[#This Row],[จำนวนแก้ว]],0))</f>
        <v/>
      </c>
      <c r="Y276" s="10" t="str">
        <f>IF(tblSales[[#This Row],[Key]]="","",IFERROR(INDEX(ตารางรวม!$L:$L,MATCH(tblSales[[#This Row],[Key]],ตารางรวม!$Z:$Z,0))*tblSales[[#This Row],[จำนวนแก้ว]],0))</f>
        <v/>
      </c>
      <c r="Z27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6" s="10" t="str">
        <f>IF(tblSales[[#This Row],[Key]]="","",IF(tblSales[[#This Row],[ขนาด]]="16 oz",tblSales[[#This Row],[จำนวนแก้ว]],0))</f>
        <v/>
      </c>
      <c r="AI276" s="10" t="str">
        <f>IF(tblSales[[#This Row],[Key]]="","",IF(tblSales[[#This Row],[ขนาด]]="20 oz",tblSales[[#This Row],[จำนวนแก้ว]],0))</f>
        <v/>
      </c>
      <c r="AJ276" s="10" t="str">
        <f>IF(tblSales[[#This Row],[Key]]="","",IF(tblSales[[#This Row],[ขนาด]]="22 oz",tblSales[[#This Row],[จำนวนแก้ว]],0))</f>
        <v/>
      </c>
    </row>
    <row r="277" spans="1:36" x14ac:dyDescent="0.25">
      <c r="A277" s="4" t="str">
        <f>IF(tblSales[[#This Row],[วันที่]]="","","S"&amp;TEXT(tblSales[[#This Row],[วันที่]],"yymmdd")&amp;"-"&amp;TEXT(ROW()-5,"000"))</f>
        <v/>
      </c>
      <c r="B277" s="16"/>
      <c r="C277" s="6"/>
      <c r="D277" s="6"/>
      <c r="E277" s="20"/>
      <c r="F277" s="6"/>
      <c r="G277" s="6"/>
      <c r="H277" s="6"/>
      <c r="I277" s="6"/>
      <c r="J27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7" s="8" t="str">
        <f>IF(tblSales[[#This Row],[Key]]="","",IFERROR(INDEX(ตารางรวม!$W:$W,MATCH(tblSales[[#This Row],[Key]],ตารางรวม!$Z:$Z,0)),"ไม่พบสูตร"))</f>
        <v/>
      </c>
      <c r="L277" s="8" t="str">
        <f>IF(tblSales[[#This Row],[Key]]="","",IFERROR(INDEX(ตารางรวม!$V:$V,MATCH(tblSales[[#This Row],[Key]],ตารางรวม!$Z:$Z,0)),"ไม่พบสูตร"))</f>
        <v/>
      </c>
      <c r="M277" s="8" t="str">
        <f>IF(tblSales[[#This Row],[Key]]="","",IFERROR(tblSales[[#This Row],[ราคาต่อแก้ว]]*tblSales[[#This Row],[จำนวนแก้ว]],""))</f>
        <v/>
      </c>
      <c r="N277" s="8" t="str">
        <f>IF(tblSales[[#This Row],[Key]]="","",IFERROR(tblSales[[#This Row],[ต้นทุนต่อแก้ว]]*tblSales[[#This Row],[จำนวนแก้ว]],""))</f>
        <v/>
      </c>
      <c r="O277" s="8" t="str">
        <f>IF(tblSales[[#This Row],[Key]]="","",IFERROR(tblSales[[#This Row],[ยอดขาย (บาท)]]-tblSales[[#This Row],[ต้นทุนรวม (บาท)]],""))</f>
        <v/>
      </c>
      <c r="P277" s="21" t="str">
        <f>IF(tblSales[[#This Row],[Key]]="","",IFERROR(tblSales[[#This Row],[กำไร (บาท)]]/tblSales[[#This Row],[ยอดขาย (บาท)]],""))</f>
        <v/>
      </c>
      <c r="Q277" s="10" t="str">
        <f>IF(tblSales[[#This Row],[Key]]="","",IFERROR(INDEX(ตารางรวม!$D:$D,MATCH(tblSales[[#This Row],[Key]],ตารางรวม!$Z:$Z,0))*tblSales[[#This Row],[จำนวนแก้ว]],0))</f>
        <v/>
      </c>
      <c r="R277" s="10" t="str">
        <f>IF(tblSales[[#This Row],[Key]]="","",IFERROR(INDEX(ตารางรวม!$E:$E,MATCH(tblSales[[#This Row],[Key]],ตารางรวม!$Z:$Z,0))*tblSales[[#This Row],[จำนวนแก้ว]],0))</f>
        <v/>
      </c>
      <c r="S277" s="10" t="str">
        <f>IF(tblSales[[#This Row],[Key]]="","",IFERROR(INDEX(ตารางรวม!$F:$F,MATCH(tblSales[[#This Row],[Key]],ตารางรวม!$Z:$Z,0))*tblSales[[#This Row],[จำนวนแก้ว]],0))</f>
        <v/>
      </c>
      <c r="T277" s="10" t="str">
        <f>IF(tblSales[[#This Row],[Key]]="","",IFERROR(INDEX(ตารางรวม!$G:$G,MATCH(tblSales[[#This Row],[Key]],ตารางรวม!$Z:$Z,0))*tblSales[[#This Row],[จำนวนแก้ว]],0))</f>
        <v/>
      </c>
      <c r="U277" s="10" t="str">
        <f>IF(tblSales[[#This Row],[Key]]="","",IFERROR(INDEX(ตารางรวม!$H:$H,MATCH(tblSales[[#This Row],[Key]],ตารางรวม!$Z:$Z,0))*tblSales[[#This Row],[จำนวนแก้ว]],0))</f>
        <v/>
      </c>
      <c r="V277" s="10" t="str">
        <f>IF(tblSales[[#This Row],[Key]]="","",IFERROR(INDEX(ตารางรวม!$I:$I,MATCH(tblSales[[#This Row],[Key]],ตารางรวม!$Z:$Z,0))*tblSales[[#This Row],[จำนวนแก้ว]],0))</f>
        <v/>
      </c>
      <c r="W277" s="10" t="str">
        <f>IF(tblSales[[#This Row],[Key]]="","",IFERROR(INDEX(ตารางรวม!$J:$J,MATCH(tblSales[[#This Row],[Key]],ตารางรวม!$Z:$Z,0))*tblSales[[#This Row],[จำนวนแก้ว]],0))</f>
        <v/>
      </c>
      <c r="X277" s="10" t="str">
        <f>IF(tblSales[[#This Row],[Key]]="","",IFERROR(INDEX(ตารางรวม!$K:$K,MATCH(tblSales[[#This Row],[Key]],ตารางรวม!$Z:$Z,0))*tblSales[[#This Row],[จำนวนแก้ว]],0))</f>
        <v/>
      </c>
      <c r="Y277" s="10" t="str">
        <f>IF(tblSales[[#This Row],[Key]]="","",IFERROR(INDEX(ตารางรวม!$L:$L,MATCH(tblSales[[#This Row],[Key]],ตารางรวม!$Z:$Z,0))*tblSales[[#This Row],[จำนวนแก้ว]],0))</f>
        <v/>
      </c>
      <c r="Z27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7" s="10" t="str">
        <f>IF(tblSales[[#This Row],[Key]]="","",IF(tblSales[[#This Row],[ขนาด]]="16 oz",tblSales[[#This Row],[จำนวนแก้ว]],0))</f>
        <v/>
      </c>
      <c r="AI277" s="10" t="str">
        <f>IF(tblSales[[#This Row],[Key]]="","",IF(tblSales[[#This Row],[ขนาด]]="20 oz",tblSales[[#This Row],[จำนวนแก้ว]],0))</f>
        <v/>
      </c>
      <c r="AJ277" s="10" t="str">
        <f>IF(tblSales[[#This Row],[Key]]="","",IF(tblSales[[#This Row],[ขนาด]]="22 oz",tblSales[[#This Row],[จำนวนแก้ว]],0))</f>
        <v/>
      </c>
    </row>
    <row r="278" spans="1:36" x14ac:dyDescent="0.25">
      <c r="A278" s="4" t="str">
        <f>IF(tblSales[[#This Row],[วันที่]]="","","S"&amp;TEXT(tblSales[[#This Row],[วันที่]],"yymmdd")&amp;"-"&amp;TEXT(ROW()-5,"000"))</f>
        <v/>
      </c>
      <c r="B278" s="16"/>
      <c r="C278" s="6"/>
      <c r="D278" s="6"/>
      <c r="E278" s="20"/>
      <c r="F278" s="6"/>
      <c r="G278" s="6"/>
      <c r="H278" s="6"/>
      <c r="I278" s="6"/>
      <c r="J27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8" s="8" t="str">
        <f>IF(tblSales[[#This Row],[Key]]="","",IFERROR(INDEX(ตารางรวม!$W:$W,MATCH(tblSales[[#This Row],[Key]],ตารางรวม!$Z:$Z,0)),"ไม่พบสูตร"))</f>
        <v/>
      </c>
      <c r="L278" s="8" t="str">
        <f>IF(tblSales[[#This Row],[Key]]="","",IFERROR(INDEX(ตารางรวม!$V:$V,MATCH(tblSales[[#This Row],[Key]],ตารางรวม!$Z:$Z,0)),"ไม่พบสูตร"))</f>
        <v/>
      </c>
      <c r="M278" s="8" t="str">
        <f>IF(tblSales[[#This Row],[Key]]="","",IFERROR(tblSales[[#This Row],[ราคาต่อแก้ว]]*tblSales[[#This Row],[จำนวนแก้ว]],""))</f>
        <v/>
      </c>
      <c r="N278" s="8" t="str">
        <f>IF(tblSales[[#This Row],[Key]]="","",IFERROR(tblSales[[#This Row],[ต้นทุนต่อแก้ว]]*tblSales[[#This Row],[จำนวนแก้ว]],""))</f>
        <v/>
      </c>
      <c r="O278" s="8" t="str">
        <f>IF(tblSales[[#This Row],[Key]]="","",IFERROR(tblSales[[#This Row],[ยอดขาย (บาท)]]-tblSales[[#This Row],[ต้นทุนรวม (บาท)]],""))</f>
        <v/>
      </c>
      <c r="P278" s="21" t="str">
        <f>IF(tblSales[[#This Row],[Key]]="","",IFERROR(tblSales[[#This Row],[กำไร (บาท)]]/tblSales[[#This Row],[ยอดขาย (บาท)]],""))</f>
        <v/>
      </c>
      <c r="Q278" s="10" t="str">
        <f>IF(tblSales[[#This Row],[Key]]="","",IFERROR(INDEX(ตารางรวม!$D:$D,MATCH(tblSales[[#This Row],[Key]],ตารางรวม!$Z:$Z,0))*tblSales[[#This Row],[จำนวนแก้ว]],0))</f>
        <v/>
      </c>
      <c r="R278" s="10" t="str">
        <f>IF(tblSales[[#This Row],[Key]]="","",IFERROR(INDEX(ตารางรวม!$E:$E,MATCH(tblSales[[#This Row],[Key]],ตารางรวม!$Z:$Z,0))*tblSales[[#This Row],[จำนวนแก้ว]],0))</f>
        <v/>
      </c>
      <c r="S278" s="10" t="str">
        <f>IF(tblSales[[#This Row],[Key]]="","",IFERROR(INDEX(ตารางรวม!$F:$F,MATCH(tblSales[[#This Row],[Key]],ตารางรวม!$Z:$Z,0))*tblSales[[#This Row],[จำนวนแก้ว]],0))</f>
        <v/>
      </c>
      <c r="T278" s="10" t="str">
        <f>IF(tblSales[[#This Row],[Key]]="","",IFERROR(INDEX(ตารางรวม!$G:$G,MATCH(tblSales[[#This Row],[Key]],ตารางรวม!$Z:$Z,0))*tblSales[[#This Row],[จำนวนแก้ว]],0))</f>
        <v/>
      </c>
      <c r="U278" s="10" t="str">
        <f>IF(tblSales[[#This Row],[Key]]="","",IFERROR(INDEX(ตารางรวม!$H:$H,MATCH(tblSales[[#This Row],[Key]],ตารางรวม!$Z:$Z,0))*tblSales[[#This Row],[จำนวนแก้ว]],0))</f>
        <v/>
      </c>
      <c r="V278" s="10" t="str">
        <f>IF(tblSales[[#This Row],[Key]]="","",IFERROR(INDEX(ตารางรวม!$I:$I,MATCH(tblSales[[#This Row],[Key]],ตารางรวม!$Z:$Z,0))*tblSales[[#This Row],[จำนวนแก้ว]],0))</f>
        <v/>
      </c>
      <c r="W278" s="10" t="str">
        <f>IF(tblSales[[#This Row],[Key]]="","",IFERROR(INDEX(ตารางรวม!$J:$J,MATCH(tblSales[[#This Row],[Key]],ตารางรวม!$Z:$Z,0))*tblSales[[#This Row],[จำนวนแก้ว]],0))</f>
        <v/>
      </c>
      <c r="X278" s="10" t="str">
        <f>IF(tblSales[[#This Row],[Key]]="","",IFERROR(INDEX(ตารางรวม!$K:$K,MATCH(tblSales[[#This Row],[Key]],ตารางรวม!$Z:$Z,0))*tblSales[[#This Row],[จำนวนแก้ว]],0))</f>
        <v/>
      </c>
      <c r="Y278" s="10" t="str">
        <f>IF(tblSales[[#This Row],[Key]]="","",IFERROR(INDEX(ตารางรวม!$L:$L,MATCH(tblSales[[#This Row],[Key]],ตารางรวม!$Z:$Z,0))*tblSales[[#This Row],[จำนวนแก้ว]],0))</f>
        <v/>
      </c>
      <c r="Z27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8" s="10" t="str">
        <f>IF(tblSales[[#This Row],[Key]]="","",IF(tblSales[[#This Row],[ขนาด]]="16 oz",tblSales[[#This Row],[จำนวนแก้ว]],0))</f>
        <v/>
      </c>
      <c r="AI278" s="10" t="str">
        <f>IF(tblSales[[#This Row],[Key]]="","",IF(tblSales[[#This Row],[ขนาด]]="20 oz",tblSales[[#This Row],[จำนวนแก้ว]],0))</f>
        <v/>
      </c>
      <c r="AJ278" s="10" t="str">
        <f>IF(tblSales[[#This Row],[Key]]="","",IF(tblSales[[#This Row],[ขนาด]]="22 oz",tblSales[[#This Row],[จำนวนแก้ว]],0))</f>
        <v/>
      </c>
    </row>
    <row r="279" spans="1:36" x14ac:dyDescent="0.25">
      <c r="A279" s="4" t="str">
        <f>IF(tblSales[[#This Row],[วันที่]]="","","S"&amp;TEXT(tblSales[[#This Row],[วันที่]],"yymmdd")&amp;"-"&amp;TEXT(ROW()-5,"000"))</f>
        <v/>
      </c>
      <c r="B279" s="16"/>
      <c r="C279" s="6"/>
      <c r="D279" s="6"/>
      <c r="E279" s="20"/>
      <c r="F279" s="6"/>
      <c r="G279" s="6"/>
      <c r="H279" s="6"/>
      <c r="I279" s="6"/>
      <c r="J27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79" s="8" t="str">
        <f>IF(tblSales[[#This Row],[Key]]="","",IFERROR(INDEX(ตารางรวม!$W:$W,MATCH(tblSales[[#This Row],[Key]],ตารางรวม!$Z:$Z,0)),"ไม่พบสูตร"))</f>
        <v/>
      </c>
      <c r="L279" s="8" t="str">
        <f>IF(tblSales[[#This Row],[Key]]="","",IFERROR(INDEX(ตารางรวม!$V:$V,MATCH(tblSales[[#This Row],[Key]],ตารางรวม!$Z:$Z,0)),"ไม่พบสูตร"))</f>
        <v/>
      </c>
      <c r="M279" s="8" t="str">
        <f>IF(tblSales[[#This Row],[Key]]="","",IFERROR(tblSales[[#This Row],[ราคาต่อแก้ว]]*tblSales[[#This Row],[จำนวนแก้ว]],""))</f>
        <v/>
      </c>
      <c r="N279" s="8" t="str">
        <f>IF(tblSales[[#This Row],[Key]]="","",IFERROR(tblSales[[#This Row],[ต้นทุนต่อแก้ว]]*tblSales[[#This Row],[จำนวนแก้ว]],""))</f>
        <v/>
      </c>
      <c r="O279" s="8" t="str">
        <f>IF(tblSales[[#This Row],[Key]]="","",IFERROR(tblSales[[#This Row],[ยอดขาย (บาท)]]-tblSales[[#This Row],[ต้นทุนรวม (บาท)]],""))</f>
        <v/>
      </c>
      <c r="P279" s="21" t="str">
        <f>IF(tblSales[[#This Row],[Key]]="","",IFERROR(tblSales[[#This Row],[กำไร (บาท)]]/tblSales[[#This Row],[ยอดขาย (บาท)]],""))</f>
        <v/>
      </c>
      <c r="Q279" s="10" t="str">
        <f>IF(tblSales[[#This Row],[Key]]="","",IFERROR(INDEX(ตารางรวม!$D:$D,MATCH(tblSales[[#This Row],[Key]],ตารางรวม!$Z:$Z,0))*tblSales[[#This Row],[จำนวนแก้ว]],0))</f>
        <v/>
      </c>
      <c r="R279" s="10" t="str">
        <f>IF(tblSales[[#This Row],[Key]]="","",IFERROR(INDEX(ตารางรวม!$E:$E,MATCH(tblSales[[#This Row],[Key]],ตารางรวม!$Z:$Z,0))*tblSales[[#This Row],[จำนวนแก้ว]],0))</f>
        <v/>
      </c>
      <c r="S279" s="10" t="str">
        <f>IF(tblSales[[#This Row],[Key]]="","",IFERROR(INDEX(ตารางรวม!$F:$F,MATCH(tblSales[[#This Row],[Key]],ตารางรวม!$Z:$Z,0))*tblSales[[#This Row],[จำนวนแก้ว]],0))</f>
        <v/>
      </c>
      <c r="T279" s="10" t="str">
        <f>IF(tblSales[[#This Row],[Key]]="","",IFERROR(INDEX(ตารางรวม!$G:$G,MATCH(tblSales[[#This Row],[Key]],ตารางรวม!$Z:$Z,0))*tblSales[[#This Row],[จำนวนแก้ว]],0))</f>
        <v/>
      </c>
      <c r="U279" s="10" t="str">
        <f>IF(tblSales[[#This Row],[Key]]="","",IFERROR(INDEX(ตารางรวม!$H:$H,MATCH(tblSales[[#This Row],[Key]],ตารางรวม!$Z:$Z,0))*tblSales[[#This Row],[จำนวนแก้ว]],0))</f>
        <v/>
      </c>
      <c r="V279" s="10" t="str">
        <f>IF(tblSales[[#This Row],[Key]]="","",IFERROR(INDEX(ตารางรวม!$I:$I,MATCH(tblSales[[#This Row],[Key]],ตารางรวม!$Z:$Z,0))*tblSales[[#This Row],[จำนวนแก้ว]],0))</f>
        <v/>
      </c>
      <c r="W279" s="10" t="str">
        <f>IF(tblSales[[#This Row],[Key]]="","",IFERROR(INDEX(ตารางรวม!$J:$J,MATCH(tblSales[[#This Row],[Key]],ตารางรวม!$Z:$Z,0))*tblSales[[#This Row],[จำนวนแก้ว]],0))</f>
        <v/>
      </c>
      <c r="X279" s="10" t="str">
        <f>IF(tblSales[[#This Row],[Key]]="","",IFERROR(INDEX(ตารางรวม!$K:$K,MATCH(tblSales[[#This Row],[Key]],ตารางรวม!$Z:$Z,0))*tblSales[[#This Row],[จำนวนแก้ว]],0))</f>
        <v/>
      </c>
      <c r="Y279" s="10" t="str">
        <f>IF(tblSales[[#This Row],[Key]]="","",IFERROR(INDEX(ตารางรวม!$L:$L,MATCH(tblSales[[#This Row],[Key]],ตารางรวม!$Z:$Z,0))*tblSales[[#This Row],[จำนวนแก้ว]],0))</f>
        <v/>
      </c>
      <c r="Z27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7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7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7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7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7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7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7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79" s="10" t="str">
        <f>IF(tblSales[[#This Row],[Key]]="","",IF(tblSales[[#This Row],[ขนาด]]="16 oz",tblSales[[#This Row],[จำนวนแก้ว]],0))</f>
        <v/>
      </c>
      <c r="AI279" s="10" t="str">
        <f>IF(tblSales[[#This Row],[Key]]="","",IF(tblSales[[#This Row],[ขนาด]]="20 oz",tblSales[[#This Row],[จำนวนแก้ว]],0))</f>
        <v/>
      </c>
      <c r="AJ279" s="10" t="str">
        <f>IF(tblSales[[#This Row],[Key]]="","",IF(tblSales[[#This Row],[ขนาด]]="22 oz",tblSales[[#This Row],[จำนวนแก้ว]],0))</f>
        <v/>
      </c>
    </row>
    <row r="280" spans="1:36" x14ac:dyDescent="0.25">
      <c r="A280" s="4" t="str">
        <f>IF(tblSales[[#This Row],[วันที่]]="","","S"&amp;TEXT(tblSales[[#This Row],[วันที่]],"yymmdd")&amp;"-"&amp;TEXT(ROW()-5,"000"))</f>
        <v/>
      </c>
      <c r="B280" s="16"/>
      <c r="C280" s="6"/>
      <c r="D280" s="6"/>
      <c r="E280" s="20"/>
      <c r="F280" s="6"/>
      <c r="G280" s="6"/>
      <c r="H280" s="6"/>
      <c r="I280" s="6"/>
      <c r="J28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0" s="8" t="str">
        <f>IF(tblSales[[#This Row],[Key]]="","",IFERROR(INDEX(ตารางรวม!$W:$W,MATCH(tblSales[[#This Row],[Key]],ตารางรวม!$Z:$Z,0)),"ไม่พบสูตร"))</f>
        <v/>
      </c>
      <c r="L280" s="8" t="str">
        <f>IF(tblSales[[#This Row],[Key]]="","",IFERROR(INDEX(ตารางรวม!$V:$V,MATCH(tblSales[[#This Row],[Key]],ตารางรวม!$Z:$Z,0)),"ไม่พบสูตร"))</f>
        <v/>
      </c>
      <c r="M280" s="8" t="str">
        <f>IF(tblSales[[#This Row],[Key]]="","",IFERROR(tblSales[[#This Row],[ราคาต่อแก้ว]]*tblSales[[#This Row],[จำนวนแก้ว]],""))</f>
        <v/>
      </c>
      <c r="N280" s="8" t="str">
        <f>IF(tblSales[[#This Row],[Key]]="","",IFERROR(tblSales[[#This Row],[ต้นทุนต่อแก้ว]]*tblSales[[#This Row],[จำนวนแก้ว]],""))</f>
        <v/>
      </c>
      <c r="O280" s="8" t="str">
        <f>IF(tblSales[[#This Row],[Key]]="","",IFERROR(tblSales[[#This Row],[ยอดขาย (บาท)]]-tblSales[[#This Row],[ต้นทุนรวม (บาท)]],""))</f>
        <v/>
      </c>
      <c r="P280" s="21" t="str">
        <f>IF(tblSales[[#This Row],[Key]]="","",IFERROR(tblSales[[#This Row],[กำไร (บาท)]]/tblSales[[#This Row],[ยอดขาย (บาท)]],""))</f>
        <v/>
      </c>
      <c r="Q280" s="10" t="str">
        <f>IF(tblSales[[#This Row],[Key]]="","",IFERROR(INDEX(ตารางรวม!$D:$D,MATCH(tblSales[[#This Row],[Key]],ตารางรวม!$Z:$Z,0))*tblSales[[#This Row],[จำนวนแก้ว]],0))</f>
        <v/>
      </c>
      <c r="R280" s="10" t="str">
        <f>IF(tblSales[[#This Row],[Key]]="","",IFERROR(INDEX(ตารางรวม!$E:$E,MATCH(tblSales[[#This Row],[Key]],ตารางรวม!$Z:$Z,0))*tblSales[[#This Row],[จำนวนแก้ว]],0))</f>
        <v/>
      </c>
      <c r="S280" s="10" t="str">
        <f>IF(tblSales[[#This Row],[Key]]="","",IFERROR(INDEX(ตารางรวม!$F:$F,MATCH(tblSales[[#This Row],[Key]],ตารางรวม!$Z:$Z,0))*tblSales[[#This Row],[จำนวนแก้ว]],0))</f>
        <v/>
      </c>
      <c r="T280" s="10" t="str">
        <f>IF(tblSales[[#This Row],[Key]]="","",IFERROR(INDEX(ตารางรวม!$G:$G,MATCH(tblSales[[#This Row],[Key]],ตารางรวม!$Z:$Z,0))*tblSales[[#This Row],[จำนวนแก้ว]],0))</f>
        <v/>
      </c>
      <c r="U280" s="10" t="str">
        <f>IF(tblSales[[#This Row],[Key]]="","",IFERROR(INDEX(ตารางรวม!$H:$H,MATCH(tblSales[[#This Row],[Key]],ตารางรวม!$Z:$Z,0))*tblSales[[#This Row],[จำนวนแก้ว]],0))</f>
        <v/>
      </c>
      <c r="V280" s="10" t="str">
        <f>IF(tblSales[[#This Row],[Key]]="","",IFERROR(INDEX(ตารางรวม!$I:$I,MATCH(tblSales[[#This Row],[Key]],ตารางรวม!$Z:$Z,0))*tblSales[[#This Row],[จำนวนแก้ว]],0))</f>
        <v/>
      </c>
      <c r="W280" s="10" t="str">
        <f>IF(tblSales[[#This Row],[Key]]="","",IFERROR(INDEX(ตารางรวม!$J:$J,MATCH(tblSales[[#This Row],[Key]],ตารางรวม!$Z:$Z,0))*tblSales[[#This Row],[จำนวนแก้ว]],0))</f>
        <v/>
      </c>
      <c r="X280" s="10" t="str">
        <f>IF(tblSales[[#This Row],[Key]]="","",IFERROR(INDEX(ตารางรวม!$K:$K,MATCH(tblSales[[#This Row],[Key]],ตารางรวม!$Z:$Z,0))*tblSales[[#This Row],[จำนวนแก้ว]],0))</f>
        <v/>
      </c>
      <c r="Y280" s="10" t="str">
        <f>IF(tblSales[[#This Row],[Key]]="","",IFERROR(INDEX(ตารางรวม!$L:$L,MATCH(tblSales[[#This Row],[Key]],ตารางรวม!$Z:$Z,0))*tblSales[[#This Row],[จำนวนแก้ว]],0))</f>
        <v/>
      </c>
      <c r="Z28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0" s="10" t="str">
        <f>IF(tblSales[[#This Row],[Key]]="","",IF(tblSales[[#This Row],[ขนาด]]="16 oz",tblSales[[#This Row],[จำนวนแก้ว]],0))</f>
        <v/>
      </c>
      <c r="AI280" s="10" t="str">
        <f>IF(tblSales[[#This Row],[Key]]="","",IF(tblSales[[#This Row],[ขนาด]]="20 oz",tblSales[[#This Row],[จำนวนแก้ว]],0))</f>
        <v/>
      </c>
      <c r="AJ280" s="10" t="str">
        <f>IF(tblSales[[#This Row],[Key]]="","",IF(tblSales[[#This Row],[ขนาด]]="22 oz",tblSales[[#This Row],[จำนวนแก้ว]],0))</f>
        <v/>
      </c>
    </row>
    <row r="281" spans="1:36" x14ac:dyDescent="0.25">
      <c r="A281" s="4" t="str">
        <f>IF(tblSales[[#This Row],[วันที่]]="","","S"&amp;TEXT(tblSales[[#This Row],[วันที่]],"yymmdd")&amp;"-"&amp;TEXT(ROW()-5,"000"))</f>
        <v/>
      </c>
      <c r="B281" s="16"/>
      <c r="C281" s="6"/>
      <c r="D281" s="6"/>
      <c r="E281" s="20"/>
      <c r="F281" s="6"/>
      <c r="G281" s="6"/>
      <c r="H281" s="6"/>
      <c r="I281" s="6"/>
      <c r="J28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1" s="8" t="str">
        <f>IF(tblSales[[#This Row],[Key]]="","",IFERROR(INDEX(ตารางรวม!$W:$W,MATCH(tblSales[[#This Row],[Key]],ตารางรวม!$Z:$Z,0)),"ไม่พบสูตร"))</f>
        <v/>
      </c>
      <c r="L281" s="8" t="str">
        <f>IF(tblSales[[#This Row],[Key]]="","",IFERROR(INDEX(ตารางรวม!$V:$V,MATCH(tblSales[[#This Row],[Key]],ตารางรวม!$Z:$Z,0)),"ไม่พบสูตร"))</f>
        <v/>
      </c>
      <c r="M281" s="8" t="str">
        <f>IF(tblSales[[#This Row],[Key]]="","",IFERROR(tblSales[[#This Row],[ราคาต่อแก้ว]]*tblSales[[#This Row],[จำนวนแก้ว]],""))</f>
        <v/>
      </c>
      <c r="N281" s="8" t="str">
        <f>IF(tblSales[[#This Row],[Key]]="","",IFERROR(tblSales[[#This Row],[ต้นทุนต่อแก้ว]]*tblSales[[#This Row],[จำนวนแก้ว]],""))</f>
        <v/>
      </c>
      <c r="O281" s="8" t="str">
        <f>IF(tblSales[[#This Row],[Key]]="","",IFERROR(tblSales[[#This Row],[ยอดขาย (บาท)]]-tblSales[[#This Row],[ต้นทุนรวม (บาท)]],""))</f>
        <v/>
      </c>
      <c r="P281" s="21" t="str">
        <f>IF(tblSales[[#This Row],[Key]]="","",IFERROR(tblSales[[#This Row],[กำไร (บาท)]]/tblSales[[#This Row],[ยอดขาย (บาท)]],""))</f>
        <v/>
      </c>
      <c r="Q281" s="10" t="str">
        <f>IF(tblSales[[#This Row],[Key]]="","",IFERROR(INDEX(ตารางรวม!$D:$D,MATCH(tblSales[[#This Row],[Key]],ตารางรวม!$Z:$Z,0))*tblSales[[#This Row],[จำนวนแก้ว]],0))</f>
        <v/>
      </c>
      <c r="R281" s="10" t="str">
        <f>IF(tblSales[[#This Row],[Key]]="","",IFERROR(INDEX(ตารางรวม!$E:$E,MATCH(tblSales[[#This Row],[Key]],ตารางรวม!$Z:$Z,0))*tblSales[[#This Row],[จำนวนแก้ว]],0))</f>
        <v/>
      </c>
      <c r="S281" s="10" t="str">
        <f>IF(tblSales[[#This Row],[Key]]="","",IFERROR(INDEX(ตารางรวม!$F:$F,MATCH(tblSales[[#This Row],[Key]],ตารางรวม!$Z:$Z,0))*tblSales[[#This Row],[จำนวนแก้ว]],0))</f>
        <v/>
      </c>
      <c r="T281" s="10" t="str">
        <f>IF(tblSales[[#This Row],[Key]]="","",IFERROR(INDEX(ตารางรวม!$G:$G,MATCH(tblSales[[#This Row],[Key]],ตารางรวม!$Z:$Z,0))*tblSales[[#This Row],[จำนวนแก้ว]],0))</f>
        <v/>
      </c>
      <c r="U281" s="10" t="str">
        <f>IF(tblSales[[#This Row],[Key]]="","",IFERROR(INDEX(ตารางรวม!$H:$H,MATCH(tblSales[[#This Row],[Key]],ตารางรวม!$Z:$Z,0))*tblSales[[#This Row],[จำนวนแก้ว]],0))</f>
        <v/>
      </c>
      <c r="V281" s="10" t="str">
        <f>IF(tblSales[[#This Row],[Key]]="","",IFERROR(INDEX(ตารางรวม!$I:$I,MATCH(tblSales[[#This Row],[Key]],ตารางรวม!$Z:$Z,0))*tblSales[[#This Row],[จำนวนแก้ว]],0))</f>
        <v/>
      </c>
      <c r="W281" s="10" t="str">
        <f>IF(tblSales[[#This Row],[Key]]="","",IFERROR(INDEX(ตารางรวม!$J:$J,MATCH(tblSales[[#This Row],[Key]],ตารางรวม!$Z:$Z,0))*tblSales[[#This Row],[จำนวนแก้ว]],0))</f>
        <v/>
      </c>
      <c r="X281" s="10" t="str">
        <f>IF(tblSales[[#This Row],[Key]]="","",IFERROR(INDEX(ตารางรวม!$K:$K,MATCH(tblSales[[#This Row],[Key]],ตารางรวม!$Z:$Z,0))*tblSales[[#This Row],[จำนวนแก้ว]],0))</f>
        <v/>
      </c>
      <c r="Y281" s="10" t="str">
        <f>IF(tblSales[[#This Row],[Key]]="","",IFERROR(INDEX(ตารางรวม!$L:$L,MATCH(tblSales[[#This Row],[Key]],ตารางรวม!$Z:$Z,0))*tblSales[[#This Row],[จำนวนแก้ว]],0))</f>
        <v/>
      </c>
      <c r="Z28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1" s="10" t="str">
        <f>IF(tblSales[[#This Row],[Key]]="","",IF(tblSales[[#This Row],[ขนาด]]="16 oz",tblSales[[#This Row],[จำนวนแก้ว]],0))</f>
        <v/>
      </c>
      <c r="AI281" s="10" t="str">
        <f>IF(tblSales[[#This Row],[Key]]="","",IF(tblSales[[#This Row],[ขนาด]]="20 oz",tblSales[[#This Row],[จำนวนแก้ว]],0))</f>
        <v/>
      </c>
      <c r="AJ281" s="10" t="str">
        <f>IF(tblSales[[#This Row],[Key]]="","",IF(tblSales[[#This Row],[ขนาด]]="22 oz",tblSales[[#This Row],[จำนวนแก้ว]],0))</f>
        <v/>
      </c>
    </row>
    <row r="282" spans="1:36" x14ac:dyDescent="0.25">
      <c r="A282" s="4" t="str">
        <f>IF(tblSales[[#This Row],[วันที่]]="","","S"&amp;TEXT(tblSales[[#This Row],[วันที่]],"yymmdd")&amp;"-"&amp;TEXT(ROW()-5,"000"))</f>
        <v/>
      </c>
      <c r="B282" s="16"/>
      <c r="C282" s="6"/>
      <c r="D282" s="6"/>
      <c r="E282" s="20"/>
      <c r="F282" s="6"/>
      <c r="G282" s="6"/>
      <c r="H282" s="6"/>
      <c r="I282" s="6"/>
      <c r="J28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2" s="8" t="str">
        <f>IF(tblSales[[#This Row],[Key]]="","",IFERROR(INDEX(ตารางรวม!$W:$W,MATCH(tblSales[[#This Row],[Key]],ตารางรวม!$Z:$Z,0)),"ไม่พบสูตร"))</f>
        <v/>
      </c>
      <c r="L282" s="8" t="str">
        <f>IF(tblSales[[#This Row],[Key]]="","",IFERROR(INDEX(ตารางรวม!$V:$V,MATCH(tblSales[[#This Row],[Key]],ตารางรวม!$Z:$Z,0)),"ไม่พบสูตร"))</f>
        <v/>
      </c>
      <c r="M282" s="8" t="str">
        <f>IF(tblSales[[#This Row],[Key]]="","",IFERROR(tblSales[[#This Row],[ราคาต่อแก้ว]]*tblSales[[#This Row],[จำนวนแก้ว]],""))</f>
        <v/>
      </c>
      <c r="N282" s="8" t="str">
        <f>IF(tblSales[[#This Row],[Key]]="","",IFERROR(tblSales[[#This Row],[ต้นทุนต่อแก้ว]]*tblSales[[#This Row],[จำนวนแก้ว]],""))</f>
        <v/>
      </c>
      <c r="O282" s="8" t="str">
        <f>IF(tblSales[[#This Row],[Key]]="","",IFERROR(tblSales[[#This Row],[ยอดขาย (บาท)]]-tblSales[[#This Row],[ต้นทุนรวม (บาท)]],""))</f>
        <v/>
      </c>
      <c r="P282" s="21" t="str">
        <f>IF(tblSales[[#This Row],[Key]]="","",IFERROR(tblSales[[#This Row],[กำไร (บาท)]]/tblSales[[#This Row],[ยอดขาย (บาท)]],""))</f>
        <v/>
      </c>
      <c r="Q282" s="10" t="str">
        <f>IF(tblSales[[#This Row],[Key]]="","",IFERROR(INDEX(ตารางรวม!$D:$D,MATCH(tblSales[[#This Row],[Key]],ตารางรวม!$Z:$Z,0))*tblSales[[#This Row],[จำนวนแก้ว]],0))</f>
        <v/>
      </c>
      <c r="R282" s="10" t="str">
        <f>IF(tblSales[[#This Row],[Key]]="","",IFERROR(INDEX(ตารางรวม!$E:$E,MATCH(tblSales[[#This Row],[Key]],ตารางรวม!$Z:$Z,0))*tblSales[[#This Row],[จำนวนแก้ว]],0))</f>
        <v/>
      </c>
      <c r="S282" s="10" t="str">
        <f>IF(tblSales[[#This Row],[Key]]="","",IFERROR(INDEX(ตารางรวม!$F:$F,MATCH(tblSales[[#This Row],[Key]],ตารางรวม!$Z:$Z,0))*tblSales[[#This Row],[จำนวนแก้ว]],0))</f>
        <v/>
      </c>
      <c r="T282" s="10" t="str">
        <f>IF(tblSales[[#This Row],[Key]]="","",IFERROR(INDEX(ตารางรวม!$G:$G,MATCH(tblSales[[#This Row],[Key]],ตารางรวม!$Z:$Z,0))*tblSales[[#This Row],[จำนวนแก้ว]],0))</f>
        <v/>
      </c>
      <c r="U282" s="10" t="str">
        <f>IF(tblSales[[#This Row],[Key]]="","",IFERROR(INDEX(ตารางรวม!$H:$H,MATCH(tblSales[[#This Row],[Key]],ตารางรวม!$Z:$Z,0))*tblSales[[#This Row],[จำนวนแก้ว]],0))</f>
        <v/>
      </c>
      <c r="V282" s="10" t="str">
        <f>IF(tblSales[[#This Row],[Key]]="","",IFERROR(INDEX(ตารางรวม!$I:$I,MATCH(tblSales[[#This Row],[Key]],ตารางรวม!$Z:$Z,0))*tblSales[[#This Row],[จำนวนแก้ว]],0))</f>
        <v/>
      </c>
      <c r="W282" s="10" t="str">
        <f>IF(tblSales[[#This Row],[Key]]="","",IFERROR(INDEX(ตารางรวม!$J:$J,MATCH(tblSales[[#This Row],[Key]],ตารางรวม!$Z:$Z,0))*tblSales[[#This Row],[จำนวนแก้ว]],0))</f>
        <v/>
      </c>
      <c r="X282" s="10" t="str">
        <f>IF(tblSales[[#This Row],[Key]]="","",IFERROR(INDEX(ตารางรวม!$K:$K,MATCH(tblSales[[#This Row],[Key]],ตารางรวม!$Z:$Z,0))*tblSales[[#This Row],[จำนวนแก้ว]],0))</f>
        <v/>
      </c>
      <c r="Y282" s="10" t="str">
        <f>IF(tblSales[[#This Row],[Key]]="","",IFERROR(INDEX(ตารางรวม!$L:$L,MATCH(tblSales[[#This Row],[Key]],ตารางรวม!$Z:$Z,0))*tblSales[[#This Row],[จำนวนแก้ว]],0))</f>
        <v/>
      </c>
      <c r="Z28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2" s="10" t="str">
        <f>IF(tblSales[[#This Row],[Key]]="","",IF(tblSales[[#This Row],[ขนาด]]="16 oz",tblSales[[#This Row],[จำนวนแก้ว]],0))</f>
        <v/>
      </c>
      <c r="AI282" s="10" t="str">
        <f>IF(tblSales[[#This Row],[Key]]="","",IF(tblSales[[#This Row],[ขนาด]]="20 oz",tblSales[[#This Row],[จำนวนแก้ว]],0))</f>
        <v/>
      </c>
      <c r="AJ282" s="10" t="str">
        <f>IF(tblSales[[#This Row],[Key]]="","",IF(tblSales[[#This Row],[ขนาด]]="22 oz",tblSales[[#This Row],[จำนวนแก้ว]],0))</f>
        <v/>
      </c>
    </row>
    <row r="283" spans="1:36" x14ac:dyDescent="0.25">
      <c r="A283" s="4" t="str">
        <f>IF(tblSales[[#This Row],[วันที่]]="","","S"&amp;TEXT(tblSales[[#This Row],[วันที่]],"yymmdd")&amp;"-"&amp;TEXT(ROW()-5,"000"))</f>
        <v/>
      </c>
      <c r="B283" s="16"/>
      <c r="C283" s="6"/>
      <c r="D283" s="6"/>
      <c r="E283" s="20"/>
      <c r="F283" s="6"/>
      <c r="G283" s="6"/>
      <c r="H283" s="6"/>
      <c r="I283" s="6"/>
      <c r="J28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3" s="8" t="str">
        <f>IF(tblSales[[#This Row],[Key]]="","",IFERROR(INDEX(ตารางรวม!$W:$W,MATCH(tblSales[[#This Row],[Key]],ตารางรวม!$Z:$Z,0)),"ไม่พบสูตร"))</f>
        <v/>
      </c>
      <c r="L283" s="8" t="str">
        <f>IF(tblSales[[#This Row],[Key]]="","",IFERROR(INDEX(ตารางรวม!$V:$V,MATCH(tblSales[[#This Row],[Key]],ตารางรวม!$Z:$Z,0)),"ไม่พบสูตร"))</f>
        <v/>
      </c>
      <c r="M283" s="8" t="str">
        <f>IF(tblSales[[#This Row],[Key]]="","",IFERROR(tblSales[[#This Row],[ราคาต่อแก้ว]]*tblSales[[#This Row],[จำนวนแก้ว]],""))</f>
        <v/>
      </c>
      <c r="N283" s="8" t="str">
        <f>IF(tblSales[[#This Row],[Key]]="","",IFERROR(tblSales[[#This Row],[ต้นทุนต่อแก้ว]]*tblSales[[#This Row],[จำนวนแก้ว]],""))</f>
        <v/>
      </c>
      <c r="O283" s="8" t="str">
        <f>IF(tblSales[[#This Row],[Key]]="","",IFERROR(tblSales[[#This Row],[ยอดขาย (บาท)]]-tblSales[[#This Row],[ต้นทุนรวม (บาท)]],""))</f>
        <v/>
      </c>
      <c r="P283" s="21" t="str">
        <f>IF(tblSales[[#This Row],[Key]]="","",IFERROR(tblSales[[#This Row],[กำไร (บาท)]]/tblSales[[#This Row],[ยอดขาย (บาท)]],""))</f>
        <v/>
      </c>
      <c r="Q283" s="10" t="str">
        <f>IF(tblSales[[#This Row],[Key]]="","",IFERROR(INDEX(ตารางรวม!$D:$D,MATCH(tblSales[[#This Row],[Key]],ตารางรวม!$Z:$Z,0))*tblSales[[#This Row],[จำนวนแก้ว]],0))</f>
        <v/>
      </c>
      <c r="R283" s="10" t="str">
        <f>IF(tblSales[[#This Row],[Key]]="","",IFERROR(INDEX(ตารางรวม!$E:$E,MATCH(tblSales[[#This Row],[Key]],ตารางรวม!$Z:$Z,0))*tblSales[[#This Row],[จำนวนแก้ว]],0))</f>
        <v/>
      </c>
      <c r="S283" s="10" t="str">
        <f>IF(tblSales[[#This Row],[Key]]="","",IFERROR(INDEX(ตารางรวม!$F:$F,MATCH(tblSales[[#This Row],[Key]],ตารางรวม!$Z:$Z,0))*tblSales[[#This Row],[จำนวนแก้ว]],0))</f>
        <v/>
      </c>
      <c r="T283" s="10" t="str">
        <f>IF(tblSales[[#This Row],[Key]]="","",IFERROR(INDEX(ตารางรวม!$G:$G,MATCH(tblSales[[#This Row],[Key]],ตารางรวม!$Z:$Z,0))*tblSales[[#This Row],[จำนวนแก้ว]],0))</f>
        <v/>
      </c>
      <c r="U283" s="10" t="str">
        <f>IF(tblSales[[#This Row],[Key]]="","",IFERROR(INDEX(ตารางรวม!$H:$H,MATCH(tblSales[[#This Row],[Key]],ตารางรวม!$Z:$Z,0))*tblSales[[#This Row],[จำนวนแก้ว]],0))</f>
        <v/>
      </c>
      <c r="V283" s="10" t="str">
        <f>IF(tblSales[[#This Row],[Key]]="","",IFERROR(INDEX(ตารางรวม!$I:$I,MATCH(tblSales[[#This Row],[Key]],ตารางรวม!$Z:$Z,0))*tblSales[[#This Row],[จำนวนแก้ว]],0))</f>
        <v/>
      </c>
      <c r="W283" s="10" t="str">
        <f>IF(tblSales[[#This Row],[Key]]="","",IFERROR(INDEX(ตารางรวม!$J:$J,MATCH(tblSales[[#This Row],[Key]],ตารางรวม!$Z:$Z,0))*tblSales[[#This Row],[จำนวนแก้ว]],0))</f>
        <v/>
      </c>
      <c r="X283" s="10" t="str">
        <f>IF(tblSales[[#This Row],[Key]]="","",IFERROR(INDEX(ตารางรวม!$K:$K,MATCH(tblSales[[#This Row],[Key]],ตารางรวม!$Z:$Z,0))*tblSales[[#This Row],[จำนวนแก้ว]],0))</f>
        <v/>
      </c>
      <c r="Y283" s="10" t="str">
        <f>IF(tblSales[[#This Row],[Key]]="","",IFERROR(INDEX(ตารางรวม!$L:$L,MATCH(tblSales[[#This Row],[Key]],ตารางรวม!$Z:$Z,0))*tblSales[[#This Row],[จำนวนแก้ว]],0))</f>
        <v/>
      </c>
      <c r="Z28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3" s="10" t="str">
        <f>IF(tblSales[[#This Row],[Key]]="","",IF(tblSales[[#This Row],[ขนาด]]="16 oz",tblSales[[#This Row],[จำนวนแก้ว]],0))</f>
        <v/>
      </c>
      <c r="AI283" s="10" t="str">
        <f>IF(tblSales[[#This Row],[Key]]="","",IF(tblSales[[#This Row],[ขนาด]]="20 oz",tblSales[[#This Row],[จำนวนแก้ว]],0))</f>
        <v/>
      </c>
      <c r="AJ283" s="10" t="str">
        <f>IF(tblSales[[#This Row],[Key]]="","",IF(tblSales[[#This Row],[ขนาด]]="22 oz",tblSales[[#This Row],[จำนวนแก้ว]],0))</f>
        <v/>
      </c>
    </row>
    <row r="284" spans="1:36" x14ac:dyDescent="0.25">
      <c r="A284" s="4" t="str">
        <f>IF(tblSales[[#This Row],[วันที่]]="","","S"&amp;TEXT(tblSales[[#This Row],[วันที่]],"yymmdd")&amp;"-"&amp;TEXT(ROW()-5,"000"))</f>
        <v/>
      </c>
      <c r="B284" s="16"/>
      <c r="C284" s="6"/>
      <c r="D284" s="6"/>
      <c r="E284" s="20"/>
      <c r="F284" s="6"/>
      <c r="G284" s="6"/>
      <c r="H284" s="6"/>
      <c r="I284" s="6"/>
      <c r="J28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4" s="8" t="str">
        <f>IF(tblSales[[#This Row],[Key]]="","",IFERROR(INDEX(ตารางรวม!$W:$W,MATCH(tblSales[[#This Row],[Key]],ตารางรวม!$Z:$Z,0)),"ไม่พบสูตร"))</f>
        <v/>
      </c>
      <c r="L284" s="8" t="str">
        <f>IF(tblSales[[#This Row],[Key]]="","",IFERROR(INDEX(ตารางรวม!$V:$V,MATCH(tblSales[[#This Row],[Key]],ตารางรวม!$Z:$Z,0)),"ไม่พบสูตร"))</f>
        <v/>
      </c>
      <c r="M284" s="8" t="str">
        <f>IF(tblSales[[#This Row],[Key]]="","",IFERROR(tblSales[[#This Row],[ราคาต่อแก้ว]]*tblSales[[#This Row],[จำนวนแก้ว]],""))</f>
        <v/>
      </c>
      <c r="N284" s="8" t="str">
        <f>IF(tblSales[[#This Row],[Key]]="","",IFERROR(tblSales[[#This Row],[ต้นทุนต่อแก้ว]]*tblSales[[#This Row],[จำนวนแก้ว]],""))</f>
        <v/>
      </c>
      <c r="O284" s="8" t="str">
        <f>IF(tblSales[[#This Row],[Key]]="","",IFERROR(tblSales[[#This Row],[ยอดขาย (บาท)]]-tblSales[[#This Row],[ต้นทุนรวม (บาท)]],""))</f>
        <v/>
      </c>
      <c r="P284" s="21" t="str">
        <f>IF(tblSales[[#This Row],[Key]]="","",IFERROR(tblSales[[#This Row],[กำไร (บาท)]]/tblSales[[#This Row],[ยอดขาย (บาท)]],""))</f>
        <v/>
      </c>
      <c r="Q284" s="10" t="str">
        <f>IF(tblSales[[#This Row],[Key]]="","",IFERROR(INDEX(ตารางรวม!$D:$D,MATCH(tblSales[[#This Row],[Key]],ตารางรวม!$Z:$Z,0))*tblSales[[#This Row],[จำนวนแก้ว]],0))</f>
        <v/>
      </c>
      <c r="R284" s="10" t="str">
        <f>IF(tblSales[[#This Row],[Key]]="","",IFERROR(INDEX(ตารางรวม!$E:$E,MATCH(tblSales[[#This Row],[Key]],ตารางรวม!$Z:$Z,0))*tblSales[[#This Row],[จำนวนแก้ว]],0))</f>
        <v/>
      </c>
      <c r="S284" s="10" t="str">
        <f>IF(tblSales[[#This Row],[Key]]="","",IFERROR(INDEX(ตารางรวม!$F:$F,MATCH(tblSales[[#This Row],[Key]],ตารางรวม!$Z:$Z,0))*tblSales[[#This Row],[จำนวนแก้ว]],0))</f>
        <v/>
      </c>
      <c r="T284" s="10" t="str">
        <f>IF(tblSales[[#This Row],[Key]]="","",IFERROR(INDEX(ตารางรวม!$G:$G,MATCH(tblSales[[#This Row],[Key]],ตารางรวม!$Z:$Z,0))*tblSales[[#This Row],[จำนวนแก้ว]],0))</f>
        <v/>
      </c>
      <c r="U284" s="10" t="str">
        <f>IF(tblSales[[#This Row],[Key]]="","",IFERROR(INDEX(ตารางรวม!$H:$H,MATCH(tblSales[[#This Row],[Key]],ตารางรวม!$Z:$Z,0))*tblSales[[#This Row],[จำนวนแก้ว]],0))</f>
        <v/>
      </c>
      <c r="V284" s="10" t="str">
        <f>IF(tblSales[[#This Row],[Key]]="","",IFERROR(INDEX(ตารางรวม!$I:$I,MATCH(tblSales[[#This Row],[Key]],ตารางรวม!$Z:$Z,0))*tblSales[[#This Row],[จำนวนแก้ว]],0))</f>
        <v/>
      </c>
      <c r="W284" s="10" t="str">
        <f>IF(tblSales[[#This Row],[Key]]="","",IFERROR(INDEX(ตารางรวม!$J:$J,MATCH(tblSales[[#This Row],[Key]],ตารางรวม!$Z:$Z,0))*tblSales[[#This Row],[จำนวนแก้ว]],0))</f>
        <v/>
      </c>
      <c r="X284" s="10" t="str">
        <f>IF(tblSales[[#This Row],[Key]]="","",IFERROR(INDEX(ตารางรวม!$K:$K,MATCH(tblSales[[#This Row],[Key]],ตารางรวม!$Z:$Z,0))*tblSales[[#This Row],[จำนวนแก้ว]],0))</f>
        <v/>
      </c>
      <c r="Y284" s="10" t="str">
        <f>IF(tblSales[[#This Row],[Key]]="","",IFERROR(INDEX(ตารางรวม!$L:$L,MATCH(tblSales[[#This Row],[Key]],ตารางรวม!$Z:$Z,0))*tblSales[[#This Row],[จำนวนแก้ว]],0))</f>
        <v/>
      </c>
      <c r="Z28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4" s="10" t="str">
        <f>IF(tblSales[[#This Row],[Key]]="","",IF(tblSales[[#This Row],[ขนาด]]="16 oz",tblSales[[#This Row],[จำนวนแก้ว]],0))</f>
        <v/>
      </c>
      <c r="AI284" s="10" t="str">
        <f>IF(tblSales[[#This Row],[Key]]="","",IF(tblSales[[#This Row],[ขนาด]]="20 oz",tblSales[[#This Row],[จำนวนแก้ว]],0))</f>
        <v/>
      </c>
      <c r="AJ284" s="10" t="str">
        <f>IF(tblSales[[#This Row],[Key]]="","",IF(tblSales[[#This Row],[ขนาด]]="22 oz",tblSales[[#This Row],[จำนวนแก้ว]],0))</f>
        <v/>
      </c>
    </row>
    <row r="285" spans="1:36" x14ac:dyDescent="0.25">
      <c r="A285" s="4" t="str">
        <f>IF(tblSales[[#This Row],[วันที่]]="","","S"&amp;TEXT(tblSales[[#This Row],[วันที่]],"yymmdd")&amp;"-"&amp;TEXT(ROW()-5,"000"))</f>
        <v/>
      </c>
      <c r="B285" s="16"/>
      <c r="C285" s="6"/>
      <c r="D285" s="6"/>
      <c r="E285" s="20"/>
      <c r="F285" s="6"/>
      <c r="G285" s="6"/>
      <c r="H285" s="6"/>
      <c r="I285" s="6"/>
      <c r="J28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5" s="8" t="str">
        <f>IF(tblSales[[#This Row],[Key]]="","",IFERROR(INDEX(ตารางรวม!$W:$W,MATCH(tblSales[[#This Row],[Key]],ตารางรวม!$Z:$Z,0)),"ไม่พบสูตร"))</f>
        <v/>
      </c>
      <c r="L285" s="8" t="str">
        <f>IF(tblSales[[#This Row],[Key]]="","",IFERROR(INDEX(ตารางรวม!$V:$V,MATCH(tblSales[[#This Row],[Key]],ตารางรวม!$Z:$Z,0)),"ไม่พบสูตร"))</f>
        <v/>
      </c>
      <c r="M285" s="8" t="str">
        <f>IF(tblSales[[#This Row],[Key]]="","",IFERROR(tblSales[[#This Row],[ราคาต่อแก้ว]]*tblSales[[#This Row],[จำนวนแก้ว]],""))</f>
        <v/>
      </c>
      <c r="N285" s="8" t="str">
        <f>IF(tblSales[[#This Row],[Key]]="","",IFERROR(tblSales[[#This Row],[ต้นทุนต่อแก้ว]]*tblSales[[#This Row],[จำนวนแก้ว]],""))</f>
        <v/>
      </c>
      <c r="O285" s="8" t="str">
        <f>IF(tblSales[[#This Row],[Key]]="","",IFERROR(tblSales[[#This Row],[ยอดขาย (บาท)]]-tblSales[[#This Row],[ต้นทุนรวม (บาท)]],""))</f>
        <v/>
      </c>
      <c r="P285" s="21" t="str">
        <f>IF(tblSales[[#This Row],[Key]]="","",IFERROR(tblSales[[#This Row],[กำไร (บาท)]]/tblSales[[#This Row],[ยอดขาย (บาท)]],""))</f>
        <v/>
      </c>
      <c r="Q285" s="10" t="str">
        <f>IF(tblSales[[#This Row],[Key]]="","",IFERROR(INDEX(ตารางรวม!$D:$D,MATCH(tblSales[[#This Row],[Key]],ตารางรวม!$Z:$Z,0))*tblSales[[#This Row],[จำนวนแก้ว]],0))</f>
        <v/>
      </c>
      <c r="R285" s="10" t="str">
        <f>IF(tblSales[[#This Row],[Key]]="","",IFERROR(INDEX(ตารางรวม!$E:$E,MATCH(tblSales[[#This Row],[Key]],ตารางรวม!$Z:$Z,0))*tblSales[[#This Row],[จำนวนแก้ว]],0))</f>
        <v/>
      </c>
      <c r="S285" s="10" t="str">
        <f>IF(tblSales[[#This Row],[Key]]="","",IFERROR(INDEX(ตารางรวม!$F:$F,MATCH(tblSales[[#This Row],[Key]],ตารางรวม!$Z:$Z,0))*tblSales[[#This Row],[จำนวนแก้ว]],0))</f>
        <v/>
      </c>
      <c r="T285" s="10" t="str">
        <f>IF(tblSales[[#This Row],[Key]]="","",IFERROR(INDEX(ตารางรวม!$G:$G,MATCH(tblSales[[#This Row],[Key]],ตารางรวม!$Z:$Z,0))*tblSales[[#This Row],[จำนวนแก้ว]],0))</f>
        <v/>
      </c>
      <c r="U285" s="10" t="str">
        <f>IF(tblSales[[#This Row],[Key]]="","",IFERROR(INDEX(ตารางรวม!$H:$H,MATCH(tblSales[[#This Row],[Key]],ตารางรวม!$Z:$Z,0))*tblSales[[#This Row],[จำนวนแก้ว]],0))</f>
        <v/>
      </c>
      <c r="V285" s="10" t="str">
        <f>IF(tblSales[[#This Row],[Key]]="","",IFERROR(INDEX(ตารางรวม!$I:$I,MATCH(tblSales[[#This Row],[Key]],ตารางรวม!$Z:$Z,0))*tblSales[[#This Row],[จำนวนแก้ว]],0))</f>
        <v/>
      </c>
      <c r="W285" s="10" t="str">
        <f>IF(tblSales[[#This Row],[Key]]="","",IFERROR(INDEX(ตารางรวม!$J:$J,MATCH(tblSales[[#This Row],[Key]],ตารางรวม!$Z:$Z,0))*tblSales[[#This Row],[จำนวนแก้ว]],0))</f>
        <v/>
      </c>
      <c r="X285" s="10" t="str">
        <f>IF(tblSales[[#This Row],[Key]]="","",IFERROR(INDEX(ตารางรวม!$K:$K,MATCH(tblSales[[#This Row],[Key]],ตารางรวม!$Z:$Z,0))*tblSales[[#This Row],[จำนวนแก้ว]],0))</f>
        <v/>
      </c>
      <c r="Y285" s="10" t="str">
        <f>IF(tblSales[[#This Row],[Key]]="","",IFERROR(INDEX(ตารางรวม!$L:$L,MATCH(tblSales[[#This Row],[Key]],ตารางรวม!$Z:$Z,0))*tblSales[[#This Row],[จำนวนแก้ว]],0))</f>
        <v/>
      </c>
      <c r="Z28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5" s="10" t="str">
        <f>IF(tblSales[[#This Row],[Key]]="","",IF(tblSales[[#This Row],[ขนาด]]="16 oz",tblSales[[#This Row],[จำนวนแก้ว]],0))</f>
        <v/>
      </c>
      <c r="AI285" s="10" t="str">
        <f>IF(tblSales[[#This Row],[Key]]="","",IF(tblSales[[#This Row],[ขนาด]]="20 oz",tblSales[[#This Row],[จำนวนแก้ว]],0))</f>
        <v/>
      </c>
      <c r="AJ285" s="10" t="str">
        <f>IF(tblSales[[#This Row],[Key]]="","",IF(tblSales[[#This Row],[ขนาด]]="22 oz",tblSales[[#This Row],[จำนวนแก้ว]],0))</f>
        <v/>
      </c>
    </row>
    <row r="286" spans="1:36" x14ac:dyDescent="0.25">
      <c r="A286" s="4" t="str">
        <f>IF(tblSales[[#This Row],[วันที่]]="","","S"&amp;TEXT(tblSales[[#This Row],[วันที่]],"yymmdd")&amp;"-"&amp;TEXT(ROW()-5,"000"))</f>
        <v/>
      </c>
      <c r="B286" s="16"/>
      <c r="C286" s="6"/>
      <c r="D286" s="6"/>
      <c r="E286" s="20"/>
      <c r="F286" s="6"/>
      <c r="G286" s="6"/>
      <c r="H286" s="6"/>
      <c r="I286" s="6"/>
      <c r="J28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6" s="8" t="str">
        <f>IF(tblSales[[#This Row],[Key]]="","",IFERROR(INDEX(ตารางรวม!$W:$W,MATCH(tblSales[[#This Row],[Key]],ตารางรวม!$Z:$Z,0)),"ไม่พบสูตร"))</f>
        <v/>
      </c>
      <c r="L286" s="8" t="str">
        <f>IF(tblSales[[#This Row],[Key]]="","",IFERROR(INDEX(ตารางรวม!$V:$V,MATCH(tblSales[[#This Row],[Key]],ตารางรวม!$Z:$Z,0)),"ไม่พบสูตร"))</f>
        <v/>
      </c>
      <c r="M286" s="8" t="str">
        <f>IF(tblSales[[#This Row],[Key]]="","",IFERROR(tblSales[[#This Row],[ราคาต่อแก้ว]]*tblSales[[#This Row],[จำนวนแก้ว]],""))</f>
        <v/>
      </c>
      <c r="N286" s="8" t="str">
        <f>IF(tblSales[[#This Row],[Key]]="","",IFERROR(tblSales[[#This Row],[ต้นทุนต่อแก้ว]]*tblSales[[#This Row],[จำนวนแก้ว]],""))</f>
        <v/>
      </c>
      <c r="O286" s="8" t="str">
        <f>IF(tblSales[[#This Row],[Key]]="","",IFERROR(tblSales[[#This Row],[ยอดขาย (บาท)]]-tblSales[[#This Row],[ต้นทุนรวม (บาท)]],""))</f>
        <v/>
      </c>
      <c r="P286" s="21" t="str">
        <f>IF(tblSales[[#This Row],[Key]]="","",IFERROR(tblSales[[#This Row],[กำไร (บาท)]]/tblSales[[#This Row],[ยอดขาย (บาท)]],""))</f>
        <v/>
      </c>
      <c r="Q286" s="10" t="str">
        <f>IF(tblSales[[#This Row],[Key]]="","",IFERROR(INDEX(ตารางรวม!$D:$D,MATCH(tblSales[[#This Row],[Key]],ตารางรวม!$Z:$Z,0))*tblSales[[#This Row],[จำนวนแก้ว]],0))</f>
        <v/>
      </c>
      <c r="R286" s="10" t="str">
        <f>IF(tblSales[[#This Row],[Key]]="","",IFERROR(INDEX(ตารางรวม!$E:$E,MATCH(tblSales[[#This Row],[Key]],ตารางรวม!$Z:$Z,0))*tblSales[[#This Row],[จำนวนแก้ว]],0))</f>
        <v/>
      </c>
      <c r="S286" s="10" t="str">
        <f>IF(tblSales[[#This Row],[Key]]="","",IFERROR(INDEX(ตารางรวม!$F:$F,MATCH(tblSales[[#This Row],[Key]],ตารางรวม!$Z:$Z,0))*tblSales[[#This Row],[จำนวนแก้ว]],0))</f>
        <v/>
      </c>
      <c r="T286" s="10" t="str">
        <f>IF(tblSales[[#This Row],[Key]]="","",IFERROR(INDEX(ตารางรวม!$G:$G,MATCH(tblSales[[#This Row],[Key]],ตารางรวม!$Z:$Z,0))*tblSales[[#This Row],[จำนวนแก้ว]],0))</f>
        <v/>
      </c>
      <c r="U286" s="10" t="str">
        <f>IF(tblSales[[#This Row],[Key]]="","",IFERROR(INDEX(ตารางรวม!$H:$H,MATCH(tblSales[[#This Row],[Key]],ตารางรวม!$Z:$Z,0))*tblSales[[#This Row],[จำนวนแก้ว]],0))</f>
        <v/>
      </c>
      <c r="V286" s="10" t="str">
        <f>IF(tblSales[[#This Row],[Key]]="","",IFERROR(INDEX(ตารางรวม!$I:$I,MATCH(tblSales[[#This Row],[Key]],ตารางรวม!$Z:$Z,0))*tblSales[[#This Row],[จำนวนแก้ว]],0))</f>
        <v/>
      </c>
      <c r="W286" s="10" t="str">
        <f>IF(tblSales[[#This Row],[Key]]="","",IFERROR(INDEX(ตารางรวม!$J:$J,MATCH(tblSales[[#This Row],[Key]],ตารางรวม!$Z:$Z,0))*tblSales[[#This Row],[จำนวนแก้ว]],0))</f>
        <v/>
      </c>
      <c r="X286" s="10" t="str">
        <f>IF(tblSales[[#This Row],[Key]]="","",IFERROR(INDEX(ตารางรวม!$K:$K,MATCH(tblSales[[#This Row],[Key]],ตารางรวม!$Z:$Z,0))*tblSales[[#This Row],[จำนวนแก้ว]],0))</f>
        <v/>
      </c>
      <c r="Y286" s="10" t="str">
        <f>IF(tblSales[[#This Row],[Key]]="","",IFERROR(INDEX(ตารางรวม!$L:$L,MATCH(tblSales[[#This Row],[Key]],ตารางรวม!$Z:$Z,0))*tblSales[[#This Row],[จำนวนแก้ว]],0))</f>
        <v/>
      </c>
      <c r="Z28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6" s="10" t="str">
        <f>IF(tblSales[[#This Row],[Key]]="","",IF(tblSales[[#This Row],[ขนาด]]="16 oz",tblSales[[#This Row],[จำนวนแก้ว]],0))</f>
        <v/>
      </c>
      <c r="AI286" s="10" t="str">
        <f>IF(tblSales[[#This Row],[Key]]="","",IF(tblSales[[#This Row],[ขนาด]]="20 oz",tblSales[[#This Row],[จำนวนแก้ว]],0))</f>
        <v/>
      </c>
      <c r="AJ286" s="10" t="str">
        <f>IF(tblSales[[#This Row],[Key]]="","",IF(tblSales[[#This Row],[ขนาด]]="22 oz",tblSales[[#This Row],[จำนวนแก้ว]],0))</f>
        <v/>
      </c>
    </row>
    <row r="287" spans="1:36" x14ac:dyDescent="0.25">
      <c r="A287" s="4" t="str">
        <f>IF(tblSales[[#This Row],[วันที่]]="","","S"&amp;TEXT(tblSales[[#This Row],[วันที่]],"yymmdd")&amp;"-"&amp;TEXT(ROW()-5,"000"))</f>
        <v/>
      </c>
      <c r="B287" s="16"/>
      <c r="C287" s="6"/>
      <c r="D287" s="6"/>
      <c r="E287" s="20"/>
      <c r="F287" s="6"/>
      <c r="G287" s="6"/>
      <c r="H287" s="6"/>
      <c r="I287" s="6"/>
      <c r="J28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7" s="8" t="str">
        <f>IF(tblSales[[#This Row],[Key]]="","",IFERROR(INDEX(ตารางรวม!$W:$W,MATCH(tblSales[[#This Row],[Key]],ตารางรวม!$Z:$Z,0)),"ไม่พบสูตร"))</f>
        <v/>
      </c>
      <c r="L287" s="8" t="str">
        <f>IF(tblSales[[#This Row],[Key]]="","",IFERROR(INDEX(ตารางรวม!$V:$V,MATCH(tblSales[[#This Row],[Key]],ตารางรวม!$Z:$Z,0)),"ไม่พบสูตร"))</f>
        <v/>
      </c>
      <c r="M287" s="8" t="str">
        <f>IF(tblSales[[#This Row],[Key]]="","",IFERROR(tblSales[[#This Row],[ราคาต่อแก้ว]]*tblSales[[#This Row],[จำนวนแก้ว]],""))</f>
        <v/>
      </c>
      <c r="N287" s="8" t="str">
        <f>IF(tblSales[[#This Row],[Key]]="","",IFERROR(tblSales[[#This Row],[ต้นทุนต่อแก้ว]]*tblSales[[#This Row],[จำนวนแก้ว]],""))</f>
        <v/>
      </c>
      <c r="O287" s="8" t="str">
        <f>IF(tblSales[[#This Row],[Key]]="","",IFERROR(tblSales[[#This Row],[ยอดขาย (บาท)]]-tblSales[[#This Row],[ต้นทุนรวม (บาท)]],""))</f>
        <v/>
      </c>
      <c r="P287" s="21" t="str">
        <f>IF(tblSales[[#This Row],[Key]]="","",IFERROR(tblSales[[#This Row],[กำไร (บาท)]]/tblSales[[#This Row],[ยอดขาย (บาท)]],""))</f>
        <v/>
      </c>
      <c r="Q287" s="10" t="str">
        <f>IF(tblSales[[#This Row],[Key]]="","",IFERROR(INDEX(ตารางรวม!$D:$D,MATCH(tblSales[[#This Row],[Key]],ตารางรวม!$Z:$Z,0))*tblSales[[#This Row],[จำนวนแก้ว]],0))</f>
        <v/>
      </c>
      <c r="R287" s="10" t="str">
        <f>IF(tblSales[[#This Row],[Key]]="","",IFERROR(INDEX(ตารางรวม!$E:$E,MATCH(tblSales[[#This Row],[Key]],ตารางรวม!$Z:$Z,0))*tblSales[[#This Row],[จำนวนแก้ว]],0))</f>
        <v/>
      </c>
      <c r="S287" s="10" t="str">
        <f>IF(tblSales[[#This Row],[Key]]="","",IFERROR(INDEX(ตารางรวม!$F:$F,MATCH(tblSales[[#This Row],[Key]],ตารางรวม!$Z:$Z,0))*tblSales[[#This Row],[จำนวนแก้ว]],0))</f>
        <v/>
      </c>
      <c r="T287" s="10" t="str">
        <f>IF(tblSales[[#This Row],[Key]]="","",IFERROR(INDEX(ตารางรวม!$G:$G,MATCH(tblSales[[#This Row],[Key]],ตารางรวม!$Z:$Z,0))*tblSales[[#This Row],[จำนวนแก้ว]],0))</f>
        <v/>
      </c>
      <c r="U287" s="10" t="str">
        <f>IF(tblSales[[#This Row],[Key]]="","",IFERROR(INDEX(ตารางรวม!$H:$H,MATCH(tblSales[[#This Row],[Key]],ตารางรวม!$Z:$Z,0))*tblSales[[#This Row],[จำนวนแก้ว]],0))</f>
        <v/>
      </c>
      <c r="V287" s="10" t="str">
        <f>IF(tblSales[[#This Row],[Key]]="","",IFERROR(INDEX(ตารางรวม!$I:$I,MATCH(tblSales[[#This Row],[Key]],ตารางรวม!$Z:$Z,0))*tblSales[[#This Row],[จำนวนแก้ว]],0))</f>
        <v/>
      </c>
      <c r="W287" s="10" t="str">
        <f>IF(tblSales[[#This Row],[Key]]="","",IFERROR(INDEX(ตารางรวม!$J:$J,MATCH(tblSales[[#This Row],[Key]],ตารางรวม!$Z:$Z,0))*tblSales[[#This Row],[จำนวนแก้ว]],0))</f>
        <v/>
      </c>
      <c r="X287" s="10" t="str">
        <f>IF(tblSales[[#This Row],[Key]]="","",IFERROR(INDEX(ตารางรวม!$K:$K,MATCH(tblSales[[#This Row],[Key]],ตารางรวม!$Z:$Z,0))*tblSales[[#This Row],[จำนวนแก้ว]],0))</f>
        <v/>
      </c>
      <c r="Y287" s="10" t="str">
        <f>IF(tblSales[[#This Row],[Key]]="","",IFERROR(INDEX(ตารางรวม!$L:$L,MATCH(tblSales[[#This Row],[Key]],ตารางรวม!$Z:$Z,0))*tblSales[[#This Row],[จำนวนแก้ว]],0))</f>
        <v/>
      </c>
      <c r="Z28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7" s="10" t="str">
        <f>IF(tblSales[[#This Row],[Key]]="","",IF(tblSales[[#This Row],[ขนาด]]="16 oz",tblSales[[#This Row],[จำนวนแก้ว]],0))</f>
        <v/>
      </c>
      <c r="AI287" s="10" t="str">
        <f>IF(tblSales[[#This Row],[Key]]="","",IF(tblSales[[#This Row],[ขนาด]]="20 oz",tblSales[[#This Row],[จำนวนแก้ว]],0))</f>
        <v/>
      </c>
      <c r="AJ287" s="10" t="str">
        <f>IF(tblSales[[#This Row],[Key]]="","",IF(tblSales[[#This Row],[ขนาด]]="22 oz",tblSales[[#This Row],[จำนวนแก้ว]],0))</f>
        <v/>
      </c>
    </row>
    <row r="288" spans="1:36" x14ac:dyDescent="0.25">
      <c r="A288" s="4" t="str">
        <f>IF(tblSales[[#This Row],[วันที่]]="","","S"&amp;TEXT(tblSales[[#This Row],[วันที่]],"yymmdd")&amp;"-"&amp;TEXT(ROW()-5,"000"))</f>
        <v/>
      </c>
      <c r="B288" s="16"/>
      <c r="C288" s="6"/>
      <c r="D288" s="6"/>
      <c r="E288" s="20"/>
      <c r="F288" s="6"/>
      <c r="G288" s="6"/>
      <c r="H288" s="6"/>
      <c r="I288" s="6"/>
      <c r="J28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8" s="8" t="str">
        <f>IF(tblSales[[#This Row],[Key]]="","",IFERROR(INDEX(ตารางรวม!$W:$W,MATCH(tblSales[[#This Row],[Key]],ตารางรวม!$Z:$Z,0)),"ไม่พบสูตร"))</f>
        <v/>
      </c>
      <c r="L288" s="8" t="str">
        <f>IF(tblSales[[#This Row],[Key]]="","",IFERROR(INDEX(ตารางรวม!$V:$V,MATCH(tblSales[[#This Row],[Key]],ตารางรวม!$Z:$Z,0)),"ไม่พบสูตร"))</f>
        <v/>
      </c>
      <c r="M288" s="8" t="str">
        <f>IF(tblSales[[#This Row],[Key]]="","",IFERROR(tblSales[[#This Row],[ราคาต่อแก้ว]]*tblSales[[#This Row],[จำนวนแก้ว]],""))</f>
        <v/>
      </c>
      <c r="N288" s="8" t="str">
        <f>IF(tblSales[[#This Row],[Key]]="","",IFERROR(tblSales[[#This Row],[ต้นทุนต่อแก้ว]]*tblSales[[#This Row],[จำนวนแก้ว]],""))</f>
        <v/>
      </c>
      <c r="O288" s="8" t="str">
        <f>IF(tblSales[[#This Row],[Key]]="","",IFERROR(tblSales[[#This Row],[ยอดขาย (บาท)]]-tblSales[[#This Row],[ต้นทุนรวม (บาท)]],""))</f>
        <v/>
      </c>
      <c r="P288" s="21" t="str">
        <f>IF(tblSales[[#This Row],[Key]]="","",IFERROR(tblSales[[#This Row],[กำไร (บาท)]]/tblSales[[#This Row],[ยอดขาย (บาท)]],""))</f>
        <v/>
      </c>
      <c r="Q288" s="10" t="str">
        <f>IF(tblSales[[#This Row],[Key]]="","",IFERROR(INDEX(ตารางรวม!$D:$D,MATCH(tblSales[[#This Row],[Key]],ตารางรวม!$Z:$Z,0))*tblSales[[#This Row],[จำนวนแก้ว]],0))</f>
        <v/>
      </c>
      <c r="R288" s="10" t="str">
        <f>IF(tblSales[[#This Row],[Key]]="","",IFERROR(INDEX(ตารางรวม!$E:$E,MATCH(tblSales[[#This Row],[Key]],ตารางรวม!$Z:$Z,0))*tblSales[[#This Row],[จำนวนแก้ว]],0))</f>
        <v/>
      </c>
      <c r="S288" s="10" t="str">
        <f>IF(tblSales[[#This Row],[Key]]="","",IFERROR(INDEX(ตารางรวม!$F:$F,MATCH(tblSales[[#This Row],[Key]],ตารางรวม!$Z:$Z,0))*tblSales[[#This Row],[จำนวนแก้ว]],0))</f>
        <v/>
      </c>
      <c r="T288" s="10" t="str">
        <f>IF(tblSales[[#This Row],[Key]]="","",IFERROR(INDEX(ตารางรวม!$G:$G,MATCH(tblSales[[#This Row],[Key]],ตารางรวม!$Z:$Z,0))*tblSales[[#This Row],[จำนวนแก้ว]],0))</f>
        <v/>
      </c>
      <c r="U288" s="10" t="str">
        <f>IF(tblSales[[#This Row],[Key]]="","",IFERROR(INDEX(ตารางรวม!$H:$H,MATCH(tblSales[[#This Row],[Key]],ตารางรวม!$Z:$Z,0))*tblSales[[#This Row],[จำนวนแก้ว]],0))</f>
        <v/>
      </c>
      <c r="V288" s="10" t="str">
        <f>IF(tblSales[[#This Row],[Key]]="","",IFERROR(INDEX(ตารางรวม!$I:$I,MATCH(tblSales[[#This Row],[Key]],ตารางรวม!$Z:$Z,0))*tblSales[[#This Row],[จำนวนแก้ว]],0))</f>
        <v/>
      </c>
      <c r="W288" s="10" t="str">
        <f>IF(tblSales[[#This Row],[Key]]="","",IFERROR(INDEX(ตารางรวม!$J:$J,MATCH(tblSales[[#This Row],[Key]],ตารางรวม!$Z:$Z,0))*tblSales[[#This Row],[จำนวนแก้ว]],0))</f>
        <v/>
      </c>
      <c r="X288" s="10" t="str">
        <f>IF(tblSales[[#This Row],[Key]]="","",IFERROR(INDEX(ตารางรวม!$K:$K,MATCH(tblSales[[#This Row],[Key]],ตารางรวม!$Z:$Z,0))*tblSales[[#This Row],[จำนวนแก้ว]],0))</f>
        <v/>
      </c>
      <c r="Y288" s="10" t="str">
        <f>IF(tblSales[[#This Row],[Key]]="","",IFERROR(INDEX(ตารางรวม!$L:$L,MATCH(tblSales[[#This Row],[Key]],ตารางรวม!$Z:$Z,0))*tblSales[[#This Row],[จำนวนแก้ว]],0))</f>
        <v/>
      </c>
      <c r="Z28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8" s="10" t="str">
        <f>IF(tblSales[[#This Row],[Key]]="","",IF(tblSales[[#This Row],[ขนาด]]="16 oz",tblSales[[#This Row],[จำนวนแก้ว]],0))</f>
        <v/>
      </c>
      <c r="AI288" s="10" t="str">
        <f>IF(tblSales[[#This Row],[Key]]="","",IF(tblSales[[#This Row],[ขนาด]]="20 oz",tblSales[[#This Row],[จำนวนแก้ว]],0))</f>
        <v/>
      </c>
      <c r="AJ288" s="10" t="str">
        <f>IF(tblSales[[#This Row],[Key]]="","",IF(tblSales[[#This Row],[ขนาด]]="22 oz",tblSales[[#This Row],[จำนวนแก้ว]],0))</f>
        <v/>
      </c>
    </row>
    <row r="289" spans="1:36" x14ac:dyDescent="0.25">
      <c r="A289" s="4" t="str">
        <f>IF(tblSales[[#This Row],[วันที่]]="","","S"&amp;TEXT(tblSales[[#This Row],[วันที่]],"yymmdd")&amp;"-"&amp;TEXT(ROW()-5,"000"))</f>
        <v/>
      </c>
      <c r="B289" s="16"/>
      <c r="C289" s="6"/>
      <c r="D289" s="6"/>
      <c r="E289" s="20"/>
      <c r="F289" s="6"/>
      <c r="G289" s="6"/>
      <c r="H289" s="6"/>
      <c r="I289" s="6"/>
      <c r="J28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89" s="8" t="str">
        <f>IF(tblSales[[#This Row],[Key]]="","",IFERROR(INDEX(ตารางรวม!$W:$W,MATCH(tblSales[[#This Row],[Key]],ตารางรวม!$Z:$Z,0)),"ไม่พบสูตร"))</f>
        <v/>
      </c>
      <c r="L289" s="8" t="str">
        <f>IF(tblSales[[#This Row],[Key]]="","",IFERROR(INDEX(ตารางรวม!$V:$V,MATCH(tblSales[[#This Row],[Key]],ตารางรวม!$Z:$Z,0)),"ไม่พบสูตร"))</f>
        <v/>
      </c>
      <c r="M289" s="8" t="str">
        <f>IF(tblSales[[#This Row],[Key]]="","",IFERROR(tblSales[[#This Row],[ราคาต่อแก้ว]]*tblSales[[#This Row],[จำนวนแก้ว]],""))</f>
        <v/>
      </c>
      <c r="N289" s="8" t="str">
        <f>IF(tblSales[[#This Row],[Key]]="","",IFERROR(tblSales[[#This Row],[ต้นทุนต่อแก้ว]]*tblSales[[#This Row],[จำนวนแก้ว]],""))</f>
        <v/>
      </c>
      <c r="O289" s="8" t="str">
        <f>IF(tblSales[[#This Row],[Key]]="","",IFERROR(tblSales[[#This Row],[ยอดขาย (บาท)]]-tblSales[[#This Row],[ต้นทุนรวม (บาท)]],""))</f>
        <v/>
      </c>
      <c r="P289" s="21" t="str">
        <f>IF(tblSales[[#This Row],[Key]]="","",IFERROR(tblSales[[#This Row],[กำไร (บาท)]]/tblSales[[#This Row],[ยอดขาย (บาท)]],""))</f>
        <v/>
      </c>
      <c r="Q289" s="10" t="str">
        <f>IF(tblSales[[#This Row],[Key]]="","",IFERROR(INDEX(ตารางรวม!$D:$D,MATCH(tblSales[[#This Row],[Key]],ตารางรวม!$Z:$Z,0))*tblSales[[#This Row],[จำนวนแก้ว]],0))</f>
        <v/>
      </c>
      <c r="R289" s="10" t="str">
        <f>IF(tblSales[[#This Row],[Key]]="","",IFERROR(INDEX(ตารางรวม!$E:$E,MATCH(tblSales[[#This Row],[Key]],ตารางรวม!$Z:$Z,0))*tblSales[[#This Row],[จำนวนแก้ว]],0))</f>
        <v/>
      </c>
      <c r="S289" s="10" t="str">
        <f>IF(tblSales[[#This Row],[Key]]="","",IFERROR(INDEX(ตารางรวม!$F:$F,MATCH(tblSales[[#This Row],[Key]],ตารางรวม!$Z:$Z,0))*tblSales[[#This Row],[จำนวนแก้ว]],0))</f>
        <v/>
      </c>
      <c r="T289" s="10" t="str">
        <f>IF(tblSales[[#This Row],[Key]]="","",IFERROR(INDEX(ตารางรวม!$G:$G,MATCH(tblSales[[#This Row],[Key]],ตารางรวม!$Z:$Z,0))*tblSales[[#This Row],[จำนวนแก้ว]],0))</f>
        <v/>
      </c>
      <c r="U289" s="10" t="str">
        <f>IF(tblSales[[#This Row],[Key]]="","",IFERROR(INDEX(ตารางรวม!$H:$H,MATCH(tblSales[[#This Row],[Key]],ตารางรวม!$Z:$Z,0))*tblSales[[#This Row],[จำนวนแก้ว]],0))</f>
        <v/>
      </c>
      <c r="V289" s="10" t="str">
        <f>IF(tblSales[[#This Row],[Key]]="","",IFERROR(INDEX(ตารางรวม!$I:$I,MATCH(tblSales[[#This Row],[Key]],ตารางรวม!$Z:$Z,0))*tblSales[[#This Row],[จำนวนแก้ว]],0))</f>
        <v/>
      </c>
      <c r="W289" s="10" t="str">
        <f>IF(tblSales[[#This Row],[Key]]="","",IFERROR(INDEX(ตารางรวม!$J:$J,MATCH(tblSales[[#This Row],[Key]],ตารางรวม!$Z:$Z,0))*tblSales[[#This Row],[จำนวนแก้ว]],0))</f>
        <v/>
      </c>
      <c r="X289" s="10" t="str">
        <f>IF(tblSales[[#This Row],[Key]]="","",IFERROR(INDEX(ตารางรวม!$K:$K,MATCH(tblSales[[#This Row],[Key]],ตารางรวม!$Z:$Z,0))*tblSales[[#This Row],[จำนวนแก้ว]],0))</f>
        <v/>
      </c>
      <c r="Y289" s="10" t="str">
        <f>IF(tblSales[[#This Row],[Key]]="","",IFERROR(INDEX(ตารางรวม!$L:$L,MATCH(tblSales[[#This Row],[Key]],ตารางรวม!$Z:$Z,0))*tblSales[[#This Row],[จำนวนแก้ว]],0))</f>
        <v/>
      </c>
      <c r="Z28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8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8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8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8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8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8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8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89" s="10" t="str">
        <f>IF(tblSales[[#This Row],[Key]]="","",IF(tblSales[[#This Row],[ขนาด]]="16 oz",tblSales[[#This Row],[จำนวนแก้ว]],0))</f>
        <v/>
      </c>
      <c r="AI289" s="10" t="str">
        <f>IF(tblSales[[#This Row],[Key]]="","",IF(tblSales[[#This Row],[ขนาด]]="20 oz",tblSales[[#This Row],[จำนวนแก้ว]],0))</f>
        <v/>
      </c>
      <c r="AJ289" s="10" t="str">
        <f>IF(tblSales[[#This Row],[Key]]="","",IF(tblSales[[#This Row],[ขนาด]]="22 oz",tblSales[[#This Row],[จำนวนแก้ว]],0))</f>
        <v/>
      </c>
    </row>
    <row r="290" spans="1:36" x14ac:dyDescent="0.25">
      <c r="A290" s="4" t="str">
        <f>IF(tblSales[[#This Row],[วันที่]]="","","S"&amp;TEXT(tblSales[[#This Row],[วันที่]],"yymmdd")&amp;"-"&amp;TEXT(ROW()-5,"000"))</f>
        <v/>
      </c>
      <c r="B290" s="16"/>
      <c r="C290" s="6"/>
      <c r="D290" s="6"/>
      <c r="E290" s="20"/>
      <c r="F290" s="6"/>
      <c r="G290" s="6"/>
      <c r="H290" s="6"/>
      <c r="I290" s="6"/>
      <c r="J29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0" s="8" t="str">
        <f>IF(tblSales[[#This Row],[Key]]="","",IFERROR(INDEX(ตารางรวม!$W:$W,MATCH(tblSales[[#This Row],[Key]],ตารางรวม!$Z:$Z,0)),"ไม่พบสูตร"))</f>
        <v/>
      </c>
      <c r="L290" s="8" t="str">
        <f>IF(tblSales[[#This Row],[Key]]="","",IFERROR(INDEX(ตารางรวม!$V:$V,MATCH(tblSales[[#This Row],[Key]],ตารางรวม!$Z:$Z,0)),"ไม่พบสูตร"))</f>
        <v/>
      </c>
      <c r="M290" s="8" t="str">
        <f>IF(tblSales[[#This Row],[Key]]="","",IFERROR(tblSales[[#This Row],[ราคาต่อแก้ว]]*tblSales[[#This Row],[จำนวนแก้ว]],""))</f>
        <v/>
      </c>
      <c r="N290" s="8" t="str">
        <f>IF(tblSales[[#This Row],[Key]]="","",IFERROR(tblSales[[#This Row],[ต้นทุนต่อแก้ว]]*tblSales[[#This Row],[จำนวนแก้ว]],""))</f>
        <v/>
      </c>
      <c r="O290" s="8" t="str">
        <f>IF(tblSales[[#This Row],[Key]]="","",IFERROR(tblSales[[#This Row],[ยอดขาย (บาท)]]-tblSales[[#This Row],[ต้นทุนรวม (บาท)]],""))</f>
        <v/>
      </c>
      <c r="P290" s="21" t="str">
        <f>IF(tblSales[[#This Row],[Key]]="","",IFERROR(tblSales[[#This Row],[กำไร (บาท)]]/tblSales[[#This Row],[ยอดขาย (บาท)]],""))</f>
        <v/>
      </c>
      <c r="Q290" s="10" t="str">
        <f>IF(tblSales[[#This Row],[Key]]="","",IFERROR(INDEX(ตารางรวม!$D:$D,MATCH(tblSales[[#This Row],[Key]],ตารางรวม!$Z:$Z,0))*tblSales[[#This Row],[จำนวนแก้ว]],0))</f>
        <v/>
      </c>
      <c r="R290" s="10" t="str">
        <f>IF(tblSales[[#This Row],[Key]]="","",IFERROR(INDEX(ตารางรวม!$E:$E,MATCH(tblSales[[#This Row],[Key]],ตารางรวม!$Z:$Z,0))*tblSales[[#This Row],[จำนวนแก้ว]],0))</f>
        <v/>
      </c>
      <c r="S290" s="10" t="str">
        <f>IF(tblSales[[#This Row],[Key]]="","",IFERROR(INDEX(ตารางรวม!$F:$F,MATCH(tblSales[[#This Row],[Key]],ตารางรวม!$Z:$Z,0))*tblSales[[#This Row],[จำนวนแก้ว]],0))</f>
        <v/>
      </c>
      <c r="T290" s="10" t="str">
        <f>IF(tblSales[[#This Row],[Key]]="","",IFERROR(INDEX(ตารางรวม!$G:$G,MATCH(tblSales[[#This Row],[Key]],ตารางรวม!$Z:$Z,0))*tblSales[[#This Row],[จำนวนแก้ว]],0))</f>
        <v/>
      </c>
      <c r="U290" s="10" t="str">
        <f>IF(tblSales[[#This Row],[Key]]="","",IFERROR(INDEX(ตารางรวม!$H:$H,MATCH(tblSales[[#This Row],[Key]],ตารางรวม!$Z:$Z,0))*tblSales[[#This Row],[จำนวนแก้ว]],0))</f>
        <v/>
      </c>
      <c r="V290" s="10" t="str">
        <f>IF(tblSales[[#This Row],[Key]]="","",IFERROR(INDEX(ตารางรวม!$I:$I,MATCH(tblSales[[#This Row],[Key]],ตารางรวม!$Z:$Z,0))*tblSales[[#This Row],[จำนวนแก้ว]],0))</f>
        <v/>
      </c>
      <c r="W290" s="10" t="str">
        <f>IF(tblSales[[#This Row],[Key]]="","",IFERROR(INDEX(ตารางรวม!$J:$J,MATCH(tblSales[[#This Row],[Key]],ตารางรวม!$Z:$Z,0))*tblSales[[#This Row],[จำนวนแก้ว]],0))</f>
        <v/>
      </c>
      <c r="X290" s="10" t="str">
        <f>IF(tblSales[[#This Row],[Key]]="","",IFERROR(INDEX(ตารางรวม!$K:$K,MATCH(tblSales[[#This Row],[Key]],ตารางรวม!$Z:$Z,0))*tblSales[[#This Row],[จำนวนแก้ว]],0))</f>
        <v/>
      </c>
      <c r="Y290" s="10" t="str">
        <f>IF(tblSales[[#This Row],[Key]]="","",IFERROR(INDEX(ตารางรวม!$L:$L,MATCH(tblSales[[#This Row],[Key]],ตารางรวม!$Z:$Z,0))*tblSales[[#This Row],[จำนวนแก้ว]],0))</f>
        <v/>
      </c>
      <c r="Z290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0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0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0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0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0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0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0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0" s="10" t="str">
        <f>IF(tblSales[[#This Row],[Key]]="","",IF(tblSales[[#This Row],[ขนาด]]="16 oz",tblSales[[#This Row],[จำนวนแก้ว]],0))</f>
        <v/>
      </c>
      <c r="AI290" s="10" t="str">
        <f>IF(tblSales[[#This Row],[Key]]="","",IF(tblSales[[#This Row],[ขนาด]]="20 oz",tblSales[[#This Row],[จำนวนแก้ว]],0))</f>
        <v/>
      </c>
      <c r="AJ290" s="10" t="str">
        <f>IF(tblSales[[#This Row],[Key]]="","",IF(tblSales[[#This Row],[ขนาด]]="22 oz",tblSales[[#This Row],[จำนวนแก้ว]],0))</f>
        <v/>
      </c>
    </row>
    <row r="291" spans="1:36" x14ac:dyDescent="0.25">
      <c r="A291" s="4" t="str">
        <f>IF(tblSales[[#This Row],[วันที่]]="","","S"&amp;TEXT(tblSales[[#This Row],[วันที่]],"yymmdd")&amp;"-"&amp;TEXT(ROW()-5,"000"))</f>
        <v/>
      </c>
      <c r="B291" s="16"/>
      <c r="C291" s="6"/>
      <c r="D291" s="6"/>
      <c r="E291" s="20"/>
      <c r="F291" s="6"/>
      <c r="G291" s="6"/>
      <c r="H291" s="6"/>
      <c r="I291" s="6"/>
      <c r="J29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1" s="8" t="str">
        <f>IF(tblSales[[#This Row],[Key]]="","",IFERROR(INDEX(ตารางรวม!$W:$W,MATCH(tblSales[[#This Row],[Key]],ตารางรวม!$Z:$Z,0)),"ไม่พบสูตร"))</f>
        <v/>
      </c>
      <c r="L291" s="8" t="str">
        <f>IF(tblSales[[#This Row],[Key]]="","",IFERROR(INDEX(ตารางรวม!$V:$V,MATCH(tblSales[[#This Row],[Key]],ตารางรวม!$Z:$Z,0)),"ไม่พบสูตร"))</f>
        <v/>
      </c>
      <c r="M291" s="8" t="str">
        <f>IF(tblSales[[#This Row],[Key]]="","",IFERROR(tblSales[[#This Row],[ราคาต่อแก้ว]]*tblSales[[#This Row],[จำนวนแก้ว]],""))</f>
        <v/>
      </c>
      <c r="N291" s="8" t="str">
        <f>IF(tblSales[[#This Row],[Key]]="","",IFERROR(tblSales[[#This Row],[ต้นทุนต่อแก้ว]]*tblSales[[#This Row],[จำนวนแก้ว]],""))</f>
        <v/>
      </c>
      <c r="O291" s="8" t="str">
        <f>IF(tblSales[[#This Row],[Key]]="","",IFERROR(tblSales[[#This Row],[ยอดขาย (บาท)]]-tblSales[[#This Row],[ต้นทุนรวม (บาท)]],""))</f>
        <v/>
      </c>
      <c r="P291" s="21" t="str">
        <f>IF(tblSales[[#This Row],[Key]]="","",IFERROR(tblSales[[#This Row],[กำไร (บาท)]]/tblSales[[#This Row],[ยอดขาย (บาท)]],""))</f>
        <v/>
      </c>
      <c r="Q291" s="10" t="str">
        <f>IF(tblSales[[#This Row],[Key]]="","",IFERROR(INDEX(ตารางรวม!$D:$D,MATCH(tblSales[[#This Row],[Key]],ตารางรวม!$Z:$Z,0))*tblSales[[#This Row],[จำนวนแก้ว]],0))</f>
        <v/>
      </c>
      <c r="R291" s="10" t="str">
        <f>IF(tblSales[[#This Row],[Key]]="","",IFERROR(INDEX(ตารางรวม!$E:$E,MATCH(tblSales[[#This Row],[Key]],ตารางรวม!$Z:$Z,0))*tblSales[[#This Row],[จำนวนแก้ว]],0))</f>
        <v/>
      </c>
      <c r="S291" s="10" t="str">
        <f>IF(tblSales[[#This Row],[Key]]="","",IFERROR(INDEX(ตารางรวม!$F:$F,MATCH(tblSales[[#This Row],[Key]],ตารางรวม!$Z:$Z,0))*tblSales[[#This Row],[จำนวนแก้ว]],0))</f>
        <v/>
      </c>
      <c r="T291" s="10" t="str">
        <f>IF(tblSales[[#This Row],[Key]]="","",IFERROR(INDEX(ตารางรวม!$G:$G,MATCH(tblSales[[#This Row],[Key]],ตารางรวม!$Z:$Z,0))*tblSales[[#This Row],[จำนวนแก้ว]],0))</f>
        <v/>
      </c>
      <c r="U291" s="10" t="str">
        <f>IF(tblSales[[#This Row],[Key]]="","",IFERROR(INDEX(ตารางรวม!$H:$H,MATCH(tblSales[[#This Row],[Key]],ตารางรวม!$Z:$Z,0))*tblSales[[#This Row],[จำนวนแก้ว]],0))</f>
        <v/>
      </c>
      <c r="V291" s="10" t="str">
        <f>IF(tblSales[[#This Row],[Key]]="","",IFERROR(INDEX(ตารางรวม!$I:$I,MATCH(tblSales[[#This Row],[Key]],ตารางรวม!$Z:$Z,0))*tblSales[[#This Row],[จำนวนแก้ว]],0))</f>
        <v/>
      </c>
      <c r="W291" s="10" t="str">
        <f>IF(tblSales[[#This Row],[Key]]="","",IFERROR(INDEX(ตารางรวม!$J:$J,MATCH(tblSales[[#This Row],[Key]],ตารางรวม!$Z:$Z,0))*tblSales[[#This Row],[จำนวนแก้ว]],0))</f>
        <v/>
      </c>
      <c r="X291" s="10" t="str">
        <f>IF(tblSales[[#This Row],[Key]]="","",IFERROR(INDEX(ตารางรวม!$K:$K,MATCH(tblSales[[#This Row],[Key]],ตารางรวม!$Z:$Z,0))*tblSales[[#This Row],[จำนวนแก้ว]],0))</f>
        <v/>
      </c>
      <c r="Y291" s="10" t="str">
        <f>IF(tblSales[[#This Row],[Key]]="","",IFERROR(INDEX(ตารางรวม!$L:$L,MATCH(tblSales[[#This Row],[Key]],ตารางรวม!$Z:$Z,0))*tblSales[[#This Row],[จำนวนแก้ว]],0))</f>
        <v/>
      </c>
      <c r="Z291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1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1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1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1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1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1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1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1" s="10" t="str">
        <f>IF(tblSales[[#This Row],[Key]]="","",IF(tblSales[[#This Row],[ขนาด]]="16 oz",tblSales[[#This Row],[จำนวนแก้ว]],0))</f>
        <v/>
      </c>
      <c r="AI291" s="10" t="str">
        <f>IF(tblSales[[#This Row],[Key]]="","",IF(tblSales[[#This Row],[ขนาด]]="20 oz",tblSales[[#This Row],[จำนวนแก้ว]],0))</f>
        <v/>
      </c>
      <c r="AJ291" s="10" t="str">
        <f>IF(tblSales[[#This Row],[Key]]="","",IF(tblSales[[#This Row],[ขนาด]]="22 oz",tblSales[[#This Row],[จำนวนแก้ว]],0))</f>
        <v/>
      </c>
    </row>
    <row r="292" spans="1:36" x14ac:dyDescent="0.25">
      <c r="A292" s="4" t="str">
        <f>IF(tblSales[[#This Row],[วันที่]]="","","S"&amp;TEXT(tblSales[[#This Row],[วันที่]],"yymmdd")&amp;"-"&amp;TEXT(ROW()-5,"000"))</f>
        <v/>
      </c>
      <c r="B292" s="16"/>
      <c r="C292" s="6"/>
      <c r="D292" s="6"/>
      <c r="E292" s="20"/>
      <c r="F292" s="6"/>
      <c r="G292" s="6"/>
      <c r="H292" s="6"/>
      <c r="I292" s="6"/>
      <c r="J29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2" s="8" t="str">
        <f>IF(tblSales[[#This Row],[Key]]="","",IFERROR(INDEX(ตารางรวม!$W:$W,MATCH(tblSales[[#This Row],[Key]],ตารางรวม!$Z:$Z,0)),"ไม่พบสูตร"))</f>
        <v/>
      </c>
      <c r="L292" s="8" t="str">
        <f>IF(tblSales[[#This Row],[Key]]="","",IFERROR(INDEX(ตารางรวม!$V:$V,MATCH(tblSales[[#This Row],[Key]],ตารางรวม!$Z:$Z,0)),"ไม่พบสูตร"))</f>
        <v/>
      </c>
      <c r="M292" s="8" t="str">
        <f>IF(tblSales[[#This Row],[Key]]="","",IFERROR(tblSales[[#This Row],[ราคาต่อแก้ว]]*tblSales[[#This Row],[จำนวนแก้ว]],""))</f>
        <v/>
      </c>
      <c r="N292" s="8" t="str">
        <f>IF(tblSales[[#This Row],[Key]]="","",IFERROR(tblSales[[#This Row],[ต้นทุนต่อแก้ว]]*tblSales[[#This Row],[จำนวนแก้ว]],""))</f>
        <v/>
      </c>
      <c r="O292" s="8" t="str">
        <f>IF(tblSales[[#This Row],[Key]]="","",IFERROR(tblSales[[#This Row],[ยอดขาย (บาท)]]-tblSales[[#This Row],[ต้นทุนรวม (บาท)]],""))</f>
        <v/>
      </c>
      <c r="P292" s="21" t="str">
        <f>IF(tblSales[[#This Row],[Key]]="","",IFERROR(tblSales[[#This Row],[กำไร (บาท)]]/tblSales[[#This Row],[ยอดขาย (บาท)]],""))</f>
        <v/>
      </c>
      <c r="Q292" s="10" t="str">
        <f>IF(tblSales[[#This Row],[Key]]="","",IFERROR(INDEX(ตารางรวม!$D:$D,MATCH(tblSales[[#This Row],[Key]],ตารางรวม!$Z:$Z,0))*tblSales[[#This Row],[จำนวนแก้ว]],0))</f>
        <v/>
      </c>
      <c r="R292" s="10" t="str">
        <f>IF(tblSales[[#This Row],[Key]]="","",IFERROR(INDEX(ตารางรวม!$E:$E,MATCH(tblSales[[#This Row],[Key]],ตารางรวม!$Z:$Z,0))*tblSales[[#This Row],[จำนวนแก้ว]],0))</f>
        <v/>
      </c>
      <c r="S292" s="10" t="str">
        <f>IF(tblSales[[#This Row],[Key]]="","",IFERROR(INDEX(ตารางรวม!$F:$F,MATCH(tblSales[[#This Row],[Key]],ตารางรวม!$Z:$Z,0))*tblSales[[#This Row],[จำนวนแก้ว]],0))</f>
        <v/>
      </c>
      <c r="T292" s="10" t="str">
        <f>IF(tblSales[[#This Row],[Key]]="","",IFERROR(INDEX(ตารางรวม!$G:$G,MATCH(tblSales[[#This Row],[Key]],ตารางรวม!$Z:$Z,0))*tblSales[[#This Row],[จำนวนแก้ว]],0))</f>
        <v/>
      </c>
      <c r="U292" s="10" t="str">
        <f>IF(tblSales[[#This Row],[Key]]="","",IFERROR(INDEX(ตารางรวม!$H:$H,MATCH(tblSales[[#This Row],[Key]],ตารางรวม!$Z:$Z,0))*tblSales[[#This Row],[จำนวนแก้ว]],0))</f>
        <v/>
      </c>
      <c r="V292" s="10" t="str">
        <f>IF(tblSales[[#This Row],[Key]]="","",IFERROR(INDEX(ตารางรวม!$I:$I,MATCH(tblSales[[#This Row],[Key]],ตารางรวม!$Z:$Z,0))*tblSales[[#This Row],[จำนวนแก้ว]],0))</f>
        <v/>
      </c>
      <c r="W292" s="10" t="str">
        <f>IF(tblSales[[#This Row],[Key]]="","",IFERROR(INDEX(ตารางรวม!$J:$J,MATCH(tblSales[[#This Row],[Key]],ตารางรวม!$Z:$Z,0))*tblSales[[#This Row],[จำนวนแก้ว]],0))</f>
        <v/>
      </c>
      <c r="X292" s="10" t="str">
        <f>IF(tblSales[[#This Row],[Key]]="","",IFERROR(INDEX(ตารางรวม!$K:$K,MATCH(tblSales[[#This Row],[Key]],ตารางรวม!$Z:$Z,0))*tblSales[[#This Row],[จำนวนแก้ว]],0))</f>
        <v/>
      </c>
      <c r="Y292" s="10" t="str">
        <f>IF(tblSales[[#This Row],[Key]]="","",IFERROR(INDEX(ตารางรวม!$L:$L,MATCH(tblSales[[#This Row],[Key]],ตารางรวม!$Z:$Z,0))*tblSales[[#This Row],[จำนวนแก้ว]],0))</f>
        <v/>
      </c>
      <c r="Z292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2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2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2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2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2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2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2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2" s="10" t="str">
        <f>IF(tblSales[[#This Row],[Key]]="","",IF(tblSales[[#This Row],[ขนาด]]="16 oz",tblSales[[#This Row],[จำนวนแก้ว]],0))</f>
        <v/>
      </c>
      <c r="AI292" s="10" t="str">
        <f>IF(tblSales[[#This Row],[Key]]="","",IF(tblSales[[#This Row],[ขนาด]]="20 oz",tblSales[[#This Row],[จำนวนแก้ว]],0))</f>
        <v/>
      </c>
      <c r="AJ292" s="10" t="str">
        <f>IF(tblSales[[#This Row],[Key]]="","",IF(tblSales[[#This Row],[ขนาด]]="22 oz",tblSales[[#This Row],[จำนวนแก้ว]],0))</f>
        <v/>
      </c>
    </row>
    <row r="293" spans="1:36" x14ac:dyDescent="0.25">
      <c r="A293" s="4" t="str">
        <f>IF(tblSales[[#This Row],[วันที่]]="","","S"&amp;TEXT(tblSales[[#This Row],[วันที่]],"yymmdd")&amp;"-"&amp;TEXT(ROW()-5,"000"))</f>
        <v/>
      </c>
      <c r="B293" s="16"/>
      <c r="C293" s="6"/>
      <c r="D293" s="6"/>
      <c r="E293" s="20"/>
      <c r="F293" s="6"/>
      <c r="G293" s="6"/>
      <c r="H293" s="6"/>
      <c r="I293" s="6"/>
      <c r="J29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3" s="8" t="str">
        <f>IF(tblSales[[#This Row],[Key]]="","",IFERROR(INDEX(ตารางรวม!$W:$W,MATCH(tblSales[[#This Row],[Key]],ตารางรวม!$Z:$Z,0)),"ไม่พบสูตร"))</f>
        <v/>
      </c>
      <c r="L293" s="8" t="str">
        <f>IF(tblSales[[#This Row],[Key]]="","",IFERROR(INDEX(ตารางรวม!$V:$V,MATCH(tblSales[[#This Row],[Key]],ตารางรวม!$Z:$Z,0)),"ไม่พบสูตร"))</f>
        <v/>
      </c>
      <c r="M293" s="8" t="str">
        <f>IF(tblSales[[#This Row],[Key]]="","",IFERROR(tblSales[[#This Row],[ราคาต่อแก้ว]]*tblSales[[#This Row],[จำนวนแก้ว]],""))</f>
        <v/>
      </c>
      <c r="N293" s="8" t="str">
        <f>IF(tblSales[[#This Row],[Key]]="","",IFERROR(tblSales[[#This Row],[ต้นทุนต่อแก้ว]]*tblSales[[#This Row],[จำนวนแก้ว]],""))</f>
        <v/>
      </c>
      <c r="O293" s="8" t="str">
        <f>IF(tblSales[[#This Row],[Key]]="","",IFERROR(tblSales[[#This Row],[ยอดขาย (บาท)]]-tblSales[[#This Row],[ต้นทุนรวม (บาท)]],""))</f>
        <v/>
      </c>
      <c r="P293" s="21" t="str">
        <f>IF(tblSales[[#This Row],[Key]]="","",IFERROR(tblSales[[#This Row],[กำไร (บาท)]]/tblSales[[#This Row],[ยอดขาย (บาท)]],""))</f>
        <v/>
      </c>
      <c r="Q293" s="10" t="str">
        <f>IF(tblSales[[#This Row],[Key]]="","",IFERROR(INDEX(ตารางรวม!$D:$D,MATCH(tblSales[[#This Row],[Key]],ตารางรวม!$Z:$Z,0))*tblSales[[#This Row],[จำนวนแก้ว]],0))</f>
        <v/>
      </c>
      <c r="R293" s="10" t="str">
        <f>IF(tblSales[[#This Row],[Key]]="","",IFERROR(INDEX(ตารางรวม!$E:$E,MATCH(tblSales[[#This Row],[Key]],ตารางรวม!$Z:$Z,0))*tblSales[[#This Row],[จำนวนแก้ว]],0))</f>
        <v/>
      </c>
      <c r="S293" s="10" t="str">
        <f>IF(tblSales[[#This Row],[Key]]="","",IFERROR(INDEX(ตารางรวม!$F:$F,MATCH(tblSales[[#This Row],[Key]],ตารางรวม!$Z:$Z,0))*tblSales[[#This Row],[จำนวนแก้ว]],0))</f>
        <v/>
      </c>
      <c r="T293" s="10" t="str">
        <f>IF(tblSales[[#This Row],[Key]]="","",IFERROR(INDEX(ตารางรวม!$G:$G,MATCH(tblSales[[#This Row],[Key]],ตารางรวม!$Z:$Z,0))*tblSales[[#This Row],[จำนวนแก้ว]],0))</f>
        <v/>
      </c>
      <c r="U293" s="10" t="str">
        <f>IF(tblSales[[#This Row],[Key]]="","",IFERROR(INDEX(ตารางรวม!$H:$H,MATCH(tblSales[[#This Row],[Key]],ตารางรวม!$Z:$Z,0))*tblSales[[#This Row],[จำนวนแก้ว]],0))</f>
        <v/>
      </c>
      <c r="V293" s="10" t="str">
        <f>IF(tblSales[[#This Row],[Key]]="","",IFERROR(INDEX(ตารางรวม!$I:$I,MATCH(tblSales[[#This Row],[Key]],ตารางรวม!$Z:$Z,0))*tblSales[[#This Row],[จำนวนแก้ว]],0))</f>
        <v/>
      </c>
      <c r="W293" s="10" t="str">
        <f>IF(tblSales[[#This Row],[Key]]="","",IFERROR(INDEX(ตารางรวม!$J:$J,MATCH(tblSales[[#This Row],[Key]],ตารางรวม!$Z:$Z,0))*tblSales[[#This Row],[จำนวนแก้ว]],0))</f>
        <v/>
      </c>
      <c r="X293" s="10" t="str">
        <f>IF(tblSales[[#This Row],[Key]]="","",IFERROR(INDEX(ตารางรวม!$K:$K,MATCH(tblSales[[#This Row],[Key]],ตารางรวม!$Z:$Z,0))*tblSales[[#This Row],[จำนวนแก้ว]],0))</f>
        <v/>
      </c>
      <c r="Y293" s="10" t="str">
        <f>IF(tblSales[[#This Row],[Key]]="","",IFERROR(INDEX(ตารางรวม!$L:$L,MATCH(tblSales[[#This Row],[Key]],ตารางรวม!$Z:$Z,0))*tblSales[[#This Row],[จำนวนแก้ว]],0))</f>
        <v/>
      </c>
      <c r="Z293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3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3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3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3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3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3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3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3" s="10" t="str">
        <f>IF(tblSales[[#This Row],[Key]]="","",IF(tblSales[[#This Row],[ขนาด]]="16 oz",tblSales[[#This Row],[จำนวนแก้ว]],0))</f>
        <v/>
      </c>
      <c r="AI293" s="10" t="str">
        <f>IF(tblSales[[#This Row],[Key]]="","",IF(tblSales[[#This Row],[ขนาด]]="20 oz",tblSales[[#This Row],[จำนวนแก้ว]],0))</f>
        <v/>
      </c>
      <c r="AJ293" s="10" t="str">
        <f>IF(tblSales[[#This Row],[Key]]="","",IF(tblSales[[#This Row],[ขนาด]]="22 oz",tblSales[[#This Row],[จำนวนแก้ว]],0))</f>
        <v/>
      </c>
    </row>
    <row r="294" spans="1:36" x14ac:dyDescent="0.25">
      <c r="A294" s="4" t="str">
        <f>IF(tblSales[[#This Row],[วันที่]]="","","S"&amp;TEXT(tblSales[[#This Row],[วันที่]],"yymmdd")&amp;"-"&amp;TEXT(ROW()-5,"000"))</f>
        <v/>
      </c>
      <c r="B294" s="16"/>
      <c r="C294" s="6"/>
      <c r="D294" s="6"/>
      <c r="E294" s="20"/>
      <c r="F294" s="6"/>
      <c r="G294" s="6"/>
      <c r="H294" s="6"/>
      <c r="I294" s="6"/>
      <c r="J29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4" s="8" t="str">
        <f>IF(tblSales[[#This Row],[Key]]="","",IFERROR(INDEX(ตารางรวม!$W:$W,MATCH(tblSales[[#This Row],[Key]],ตารางรวม!$Z:$Z,0)),"ไม่พบสูตร"))</f>
        <v/>
      </c>
      <c r="L294" s="8" t="str">
        <f>IF(tblSales[[#This Row],[Key]]="","",IFERROR(INDEX(ตารางรวม!$V:$V,MATCH(tblSales[[#This Row],[Key]],ตารางรวม!$Z:$Z,0)),"ไม่พบสูตร"))</f>
        <v/>
      </c>
      <c r="M294" s="8" t="str">
        <f>IF(tblSales[[#This Row],[Key]]="","",IFERROR(tblSales[[#This Row],[ราคาต่อแก้ว]]*tblSales[[#This Row],[จำนวนแก้ว]],""))</f>
        <v/>
      </c>
      <c r="N294" s="8" t="str">
        <f>IF(tblSales[[#This Row],[Key]]="","",IFERROR(tblSales[[#This Row],[ต้นทุนต่อแก้ว]]*tblSales[[#This Row],[จำนวนแก้ว]],""))</f>
        <v/>
      </c>
      <c r="O294" s="8" t="str">
        <f>IF(tblSales[[#This Row],[Key]]="","",IFERROR(tblSales[[#This Row],[ยอดขาย (บาท)]]-tblSales[[#This Row],[ต้นทุนรวม (บาท)]],""))</f>
        <v/>
      </c>
      <c r="P294" s="21" t="str">
        <f>IF(tblSales[[#This Row],[Key]]="","",IFERROR(tblSales[[#This Row],[กำไร (บาท)]]/tblSales[[#This Row],[ยอดขาย (บาท)]],""))</f>
        <v/>
      </c>
      <c r="Q294" s="10" t="str">
        <f>IF(tblSales[[#This Row],[Key]]="","",IFERROR(INDEX(ตารางรวม!$D:$D,MATCH(tblSales[[#This Row],[Key]],ตารางรวม!$Z:$Z,0))*tblSales[[#This Row],[จำนวนแก้ว]],0))</f>
        <v/>
      </c>
      <c r="R294" s="10" t="str">
        <f>IF(tblSales[[#This Row],[Key]]="","",IFERROR(INDEX(ตารางรวม!$E:$E,MATCH(tblSales[[#This Row],[Key]],ตารางรวม!$Z:$Z,0))*tblSales[[#This Row],[จำนวนแก้ว]],0))</f>
        <v/>
      </c>
      <c r="S294" s="10" t="str">
        <f>IF(tblSales[[#This Row],[Key]]="","",IFERROR(INDEX(ตารางรวม!$F:$F,MATCH(tblSales[[#This Row],[Key]],ตารางรวม!$Z:$Z,0))*tblSales[[#This Row],[จำนวนแก้ว]],0))</f>
        <v/>
      </c>
      <c r="T294" s="10" t="str">
        <f>IF(tblSales[[#This Row],[Key]]="","",IFERROR(INDEX(ตารางรวม!$G:$G,MATCH(tblSales[[#This Row],[Key]],ตารางรวม!$Z:$Z,0))*tblSales[[#This Row],[จำนวนแก้ว]],0))</f>
        <v/>
      </c>
      <c r="U294" s="10" t="str">
        <f>IF(tblSales[[#This Row],[Key]]="","",IFERROR(INDEX(ตารางรวม!$H:$H,MATCH(tblSales[[#This Row],[Key]],ตารางรวม!$Z:$Z,0))*tblSales[[#This Row],[จำนวนแก้ว]],0))</f>
        <v/>
      </c>
      <c r="V294" s="10" t="str">
        <f>IF(tblSales[[#This Row],[Key]]="","",IFERROR(INDEX(ตารางรวม!$I:$I,MATCH(tblSales[[#This Row],[Key]],ตารางรวม!$Z:$Z,0))*tblSales[[#This Row],[จำนวนแก้ว]],0))</f>
        <v/>
      </c>
      <c r="W294" s="10" t="str">
        <f>IF(tblSales[[#This Row],[Key]]="","",IFERROR(INDEX(ตารางรวม!$J:$J,MATCH(tblSales[[#This Row],[Key]],ตารางรวม!$Z:$Z,0))*tblSales[[#This Row],[จำนวนแก้ว]],0))</f>
        <v/>
      </c>
      <c r="X294" s="10" t="str">
        <f>IF(tblSales[[#This Row],[Key]]="","",IFERROR(INDEX(ตารางรวม!$K:$K,MATCH(tblSales[[#This Row],[Key]],ตารางรวม!$Z:$Z,0))*tblSales[[#This Row],[จำนวนแก้ว]],0))</f>
        <v/>
      </c>
      <c r="Y294" s="10" t="str">
        <f>IF(tblSales[[#This Row],[Key]]="","",IFERROR(INDEX(ตารางรวม!$L:$L,MATCH(tblSales[[#This Row],[Key]],ตารางรวม!$Z:$Z,0))*tblSales[[#This Row],[จำนวนแก้ว]],0))</f>
        <v/>
      </c>
      <c r="Z294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4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4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4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4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4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4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4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4" s="10" t="str">
        <f>IF(tblSales[[#This Row],[Key]]="","",IF(tblSales[[#This Row],[ขนาด]]="16 oz",tblSales[[#This Row],[จำนวนแก้ว]],0))</f>
        <v/>
      </c>
      <c r="AI294" s="10" t="str">
        <f>IF(tblSales[[#This Row],[Key]]="","",IF(tblSales[[#This Row],[ขนาด]]="20 oz",tblSales[[#This Row],[จำนวนแก้ว]],0))</f>
        <v/>
      </c>
      <c r="AJ294" s="10" t="str">
        <f>IF(tblSales[[#This Row],[Key]]="","",IF(tblSales[[#This Row],[ขนาด]]="22 oz",tblSales[[#This Row],[จำนวนแก้ว]],0))</f>
        <v/>
      </c>
    </row>
    <row r="295" spans="1:36" x14ac:dyDescent="0.25">
      <c r="A295" s="4" t="str">
        <f>IF(tblSales[[#This Row],[วันที่]]="","","S"&amp;TEXT(tblSales[[#This Row],[วันที่]],"yymmdd")&amp;"-"&amp;TEXT(ROW()-5,"000"))</f>
        <v/>
      </c>
      <c r="B295" s="16"/>
      <c r="C295" s="6"/>
      <c r="D295" s="6"/>
      <c r="E295" s="20"/>
      <c r="F295" s="6"/>
      <c r="G295" s="6"/>
      <c r="H295" s="6"/>
      <c r="I295" s="6"/>
      <c r="J29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5" s="8" t="str">
        <f>IF(tblSales[[#This Row],[Key]]="","",IFERROR(INDEX(ตารางรวม!$W:$W,MATCH(tblSales[[#This Row],[Key]],ตารางรวม!$Z:$Z,0)),"ไม่พบสูตร"))</f>
        <v/>
      </c>
      <c r="L295" s="8" t="str">
        <f>IF(tblSales[[#This Row],[Key]]="","",IFERROR(INDEX(ตารางรวม!$V:$V,MATCH(tblSales[[#This Row],[Key]],ตารางรวม!$Z:$Z,0)),"ไม่พบสูตร"))</f>
        <v/>
      </c>
      <c r="M295" s="8" t="str">
        <f>IF(tblSales[[#This Row],[Key]]="","",IFERROR(tblSales[[#This Row],[ราคาต่อแก้ว]]*tblSales[[#This Row],[จำนวนแก้ว]],""))</f>
        <v/>
      </c>
      <c r="N295" s="8" t="str">
        <f>IF(tblSales[[#This Row],[Key]]="","",IFERROR(tblSales[[#This Row],[ต้นทุนต่อแก้ว]]*tblSales[[#This Row],[จำนวนแก้ว]],""))</f>
        <v/>
      </c>
      <c r="O295" s="8" t="str">
        <f>IF(tblSales[[#This Row],[Key]]="","",IFERROR(tblSales[[#This Row],[ยอดขาย (บาท)]]-tblSales[[#This Row],[ต้นทุนรวม (บาท)]],""))</f>
        <v/>
      </c>
      <c r="P295" s="21" t="str">
        <f>IF(tblSales[[#This Row],[Key]]="","",IFERROR(tblSales[[#This Row],[กำไร (บาท)]]/tblSales[[#This Row],[ยอดขาย (บาท)]],""))</f>
        <v/>
      </c>
      <c r="Q295" s="10" t="str">
        <f>IF(tblSales[[#This Row],[Key]]="","",IFERROR(INDEX(ตารางรวม!$D:$D,MATCH(tblSales[[#This Row],[Key]],ตารางรวม!$Z:$Z,0))*tblSales[[#This Row],[จำนวนแก้ว]],0))</f>
        <v/>
      </c>
      <c r="R295" s="10" t="str">
        <f>IF(tblSales[[#This Row],[Key]]="","",IFERROR(INDEX(ตารางรวม!$E:$E,MATCH(tblSales[[#This Row],[Key]],ตารางรวม!$Z:$Z,0))*tblSales[[#This Row],[จำนวนแก้ว]],0))</f>
        <v/>
      </c>
      <c r="S295" s="10" t="str">
        <f>IF(tblSales[[#This Row],[Key]]="","",IFERROR(INDEX(ตารางรวม!$F:$F,MATCH(tblSales[[#This Row],[Key]],ตารางรวม!$Z:$Z,0))*tblSales[[#This Row],[จำนวนแก้ว]],0))</f>
        <v/>
      </c>
      <c r="T295" s="10" t="str">
        <f>IF(tblSales[[#This Row],[Key]]="","",IFERROR(INDEX(ตารางรวม!$G:$G,MATCH(tblSales[[#This Row],[Key]],ตารางรวม!$Z:$Z,0))*tblSales[[#This Row],[จำนวนแก้ว]],0))</f>
        <v/>
      </c>
      <c r="U295" s="10" t="str">
        <f>IF(tblSales[[#This Row],[Key]]="","",IFERROR(INDEX(ตารางรวม!$H:$H,MATCH(tblSales[[#This Row],[Key]],ตารางรวม!$Z:$Z,0))*tblSales[[#This Row],[จำนวนแก้ว]],0))</f>
        <v/>
      </c>
      <c r="V295" s="10" t="str">
        <f>IF(tblSales[[#This Row],[Key]]="","",IFERROR(INDEX(ตารางรวม!$I:$I,MATCH(tblSales[[#This Row],[Key]],ตารางรวม!$Z:$Z,0))*tblSales[[#This Row],[จำนวนแก้ว]],0))</f>
        <v/>
      </c>
      <c r="W295" s="10" t="str">
        <f>IF(tblSales[[#This Row],[Key]]="","",IFERROR(INDEX(ตารางรวม!$J:$J,MATCH(tblSales[[#This Row],[Key]],ตารางรวม!$Z:$Z,0))*tblSales[[#This Row],[จำนวนแก้ว]],0))</f>
        <v/>
      </c>
      <c r="X295" s="10" t="str">
        <f>IF(tblSales[[#This Row],[Key]]="","",IFERROR(INDEX(ตารางรวม!$K:$K,MATCH(tblSales[[#This Row],[Key]],ตารางรวม!$Z:$Z,0))*tblSales[[#This Row],[จำนวนแก้ว]],0))</f>
        <v/>
      </c>
      <c r="Y295" s="10" t="str">
        <f>IF(tblSales[[#This Row],[Key]]="","",IFERROR(INDEX(ตารางรวม!$L:$L,MATCH(tblSales[[#This Row],[Key]],ตารางรวม!$Z:$Z,0))*tblSales[[#This Row],[จำนวนแก้ว]],0))</f>
        <v/>
      </c>
      <c r="Z295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5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5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5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5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5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5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5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5" s="10" t="str">
        <f>IF(tblSales[[#This Row],[Key]]="","",IF(tblSales[[#This Row],[ขนาด]]="16 oz",tblSales[[#This Row],[จำนวนแก้ว]],0))</f>
        <v/>
      </c>
      <c r="AI295" s="10" t="str">
        <f>IF(tblSales[[#This Row],[Key]]="","",IF(tblSales[[#This Row],[ขนาด]]="20 oz",tblSales[[#This Row],[จำนวนแก้ว]],0))</f>
        <v/>
      </c>
      <c r="AJ295" s="10" t="str">
        <f>IF(tblSales[[#This Row],[Key]]="","",IF(tblSales[[#This Row],[ขนาด]]="22 oz",tblSales[[#This Row],[จำนวนแก้ว]],0))</f>
        <v/>
      </c>
    </row>
    <row r="296" spans="1:36" x14ac:dyDescent="0.25">
      <c r="A296" s="4" t="str">
        <f>IF(tblSales[[#This Row],[วันที่]]="","","S"&amp;TEXT(tblSales[[#This Row],[วันที่]],"yymmdd")&amp;"-"&amp;TEXT(ROW()-5,"000"))</f>
        <v/>
      </c>
      <c r="B296" s="16"/>
      <c r="C296" s="6"/>
      <c r="D296" s="6"/>
      <c r="E296" s="20"/>
      <c r="F296" s="6"/>
      <c r="G296" s="6"/>
      <c r="H296" s="6"/>
      <c r="I296" s="6"/>
      <c r="J296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6" s="8" t="str">
        <f>IF(tblSales[[#This Row],[Key]]="","",IFERROR(INDEX(ตารางรวม!$W:$W,MATCH(tblSales[[#This Row],[Key]],ตารางรวม!$Z:$Z,0)),"ไม่พบสูตร"))</f>
        <v/>
      </c>
      <c r="L296" s="8" t="str">
        <f>IF(tblSales[[#This Row],[Key]]="","",IFERROR(INDEX(ตารางรวม!$V:$V,MATCH(tblSales[[#This Row],[Key]],ตารางรวม!$Z:$Z,0)),"ไม่พบสูตร"))</f>
        <v/>
      </c>
      <c r="M296" s="8" t="str">
        <f>IF(tblSales[[#This Row],[Key]]="","",IFERROR(tblSales[[#This Row],[ราคาต่อแก้ว]]*tblSales[[#This Row],[จำนวนแก้ว]],""))</f>
        <v/>
      </c>
      <c r="N296" s="8" t="str">
        <f>IF(tblSales[[#This Row],[Key]]="","",IFERROR(tblSales[[#This Row],[ต้นทุนต่อแก้ว]]*tblSales[[#This Row],[จำนวนแก้ว]],""))</f>
        <v/>
      </c>
      <c r="O296" s="8" t="str">
        <f>IF(tblSales[[#This Row],[Key]]="","",IFERROR(tblSales[[#This Row],[ยอดขาย (บาท)]]-tblSales[[#This Row],[ต้นทุนรวม (บาท)]],""))</f>
        <v/>
      </c>
      <c r="P296" s="21" t="str">
        <f>IF(tblSales[[#This Row],[Key]]="","",IFERROR(tblSales[[#This Row],[กำไร (บาท)]]/tblSales[[#This Row],[ยอดขาย (บาท)]],""))</f>
        <v/>
      </c>
      <c r="Q296" s="10" t="str">
        <f>IF(tblSales[[#This Row],[Key]]="","",IFERROR(INDEX(ตารางรวม!$D:$D,MATCH(tblSales[[#This Row],[Key]],ตารางรวม!$Z:$Z,0))*tblSales[[#This Row],[จำนวนแก้ว]],0))</f>
        <v/>
      </c>
      <c r="R296" s="10" t="str">
        <f>IF(tblSales[[#This Row],[Key]]="","",IFERROR(INDEX(ตารางรวม!$E:$E,MATCH(tblSales[[#This Row],[Key]],ตารางรวม!$Z:$Z,0))*tblSales[[#This Row],[จำนวนแก้ว]],0))</f>
        <v/>
      </c>
      <c r="S296" s="10" t="str">
        <f>IF(tblSales[[#This Row],[Key]]="","",IFERROR(INDEX(ตารางรวม!$F:$F,MATCH(tblSales[[#This Row],[Key]],ตารางรวม!$Z:$Z,0))*tblSales[[#This Row],[จำนวนแก้ว]],0))</f>
        <v/>
      </c>
      <c r="T296" s="10" t="str">
        <f>IF(tblSales[[#This Row],[Key]]="","",IFERROR(INDEX(ตารางรวม!$G:$G,MATCH(tblSales[[#This Row],[Key]],ตารางรวม!$Z:$Z,0))*tblSales[[#This Row],[จำนวนแก้ว]],0))</f>
        <v/>
      </c>
      <c r="U296" s="10" t="str">
        <f>IF(tblSales[[#This Row],[Key]]="","",IFERROR(INDEX(ตารางรวม!$H:$H,MATCH(tblSales[[#This Row],[Key]],ตารางรวม!$Z:$Z,0))*tblSales[[#This Row],[จำนวนแก้ว]],0))</f>
        <v/>
      </c>
      <c r="V296" s="10" t="str">
        <f>IF(tblSales[[#This Row],[Key]]="","",IFERROR(INDEX(ตารางรวม!$I:$I,MATCH(tblSales[[#This Row],[Key]],ตารางรวม!$Z:$Z,0))*tblSales[[#This Row],[จำนวนแก้ว]],0))</f>
        <v/>
      </c>
      <c r="W296" s="10" t="str">
        <f>IF(tblSales[[#This Row],[Key]]="","",IFERROR(INDEX(ตารางรวม!$J:$J,MATCH(tblSales[[#This Row],[Key]],ตารางรวม!$Z:$Z,0))*tblSales[[#This Row],[จำนวนแก้ว]],0))</f>
        <v/>
      </c>
      <c r="X296" s="10" t="str">
        <f>IF(tblSales[[#This Row],[Key]]="","",IFERROR(INDEX(ตารางรวม!$K:$K,MATCH(tblSales[[#This Row],[Key]],ตารางรวม!$Z:$Z,0))*tblSales[[#This Row],[จำนวนแก้ว]],0))</f>
        <v/>
      </c>
      <c r="Y296" s="10" t="str">
        <f>IF(tblSales[[#This Row],[Key]]="","",IFERROR(INDEX(ตารางรวม!$L:$L,MATCH(tblSales[[#This Row],[Key]],ตารางรวม!$Z:$Z,0))*tblSales[[#This Row],[จำนวนแก้ว]],0))</f>
        <v/>
      </c>
      <c r="Z296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6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6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6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6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6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6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6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6" s="10" t="str">
        <f>IF(tblSales[[#This Row],[Key]]="","",IF(tblSales[[#This Row],[ขนาด]]="16 oz",tblSales[[#This Row],[จำนวนแก้ว]],0))</f>
        <v/>
      </c>
      <c r="AI296" s="10" t="str">
        <f>IF(tblSales[[#This Row],[Key]]="","",IF(tblSales[[#This Row],[ขนาด]]="20 oz",tblSales[[#This Row],[จำนวนแก้ว]],0))</f>
        <v/>
      </c>
      <c r="AJ296" s="10" t="str">
        <f>IF(tblSales[[#This Row],[Key]]="","",IF(tblSales[[#This Row],[ขนาด]]="22 oz",tblSales[[#This Row],[จำนวนแก้ว]],0))</f>
        <v/>
      </c>
    </row>
    <row r="297" spans="1:36" x14ac:dyDescent="0.25">
      <c r="A297" s="4" t="str">
        <f>IF(tblSales[[#This Row],[วันที่]]="","","S"&amp;TEXT(tblSales[[#This Row],[วันที่]],"yymmdd")&amp;"-"&amp;TEXT(ROW()-5,"000"))</f>
        <v/>
      </c>
      <c r="B297" s="16"/>
      <c r="C297" s="6"/>
      <c r="D297" s="6"/>
      <c r="E297" s="20"/>
      <c r="F297" s="6"/>
      <c r="G297" s="6"/>
      <c r="H297" s="6"/>
      <c r="I297" s="6"/>
      <c r="J297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7" s="8" t="str">
        <f>IF(tblSales[[#This Row],[Key]]="","",IFERROR(INDEX(ตารางรวม!$W:$W,MATCH(tblSales[[#This Row],[Key]],ตารางรวม!$Z:$Z,0)),"ไม่พบสูตร"))</f>
        <v/>
      </c>
      <c r="L297" s="8" t="str">
        <f>IF(tblSales[[#This Row],[Key]]="","",IFERROR(INDEX(ตารางรวม!$V:$V,MATCH(tblSales[[#This Row],[Key]],ตารางรวม!$Z:$Z,0)),"ไม่พบสูตร"))</f>
        <v/>
      </c>
      <c r="M297" s="8" t="str">
        <f>IF(tblSales[[#This Row],[Key]]="","",IFERROR(tblSales[[#This Row],[ราคาต่อแก้ว]]*tblSales[[#This Row],[จำนวนแก้ว]],""))</f>
        <v/>
      </c>
      <c r="N297" s="8" t="str">
        <f>IF(tblSales[[#This Row],[Key]]="","",IFERROR(tblSales[[#This Row],[ต้นทุนต่อแก้ว]]*tblSales[[#This Row],[จำนวนแก้ว]],""))</f>
        <v/>
      </c>
      <c r="O297" s="8" t="str">
        <f>IF(tblSales[[#This Row],[Key]]="","",IFERROR(tblSales[[#This Row],[ยอดขาย (บาท)]]-tblSales[[#This Row],[ต้นทุนรวม (บาท)]],""))</f>
        <v/>
      </c>
      <c r="P297" s="21" t="str">
        <f>IF(tblSales[[#This Row],[Key]]="","",IFERROR(tblSales[[#This Row],[กำไร (บาท)]]/tblSales[[#This Row],[ยอดขาย (บาท)]],""))</f>
        <v/>
      </c>
      <c r="Q297" s="10" t="str">
        <f>IF(tblSales[[#This Row],[Key]]="","",IFERROR(INDEX(ตารางรวม!$D:$D,MATCH(tblSales[[#This Row],[Key]],ตารางรวม!$Z:$Z,0))*tblSales[[#This Row],[จำนวนแก้ว]],0))</f>
        <v/>
      </c>
      <c r="R297" s="10" t="str">
        <f>IF(tblSales[[#This Row],[Key]]="","",IFERROR(INDEX(ตารางรวม!$E:$E,MATCH(tblSales[[#This Row],[Key]],ตารางรวม!$Z:$Z,0))*tblSales[[#This Row],[จำนวนแก้ว]],0))</f>
        <v/>
      </c>
      <c r="S297" s="10" t="str">
        <f>IF(tblSales[[#This Row],[Key]]="","",IFERROR(INDEX(ตารางรวม!$F:$F,MATCH(tblSales[[#This Row],[Key]],ตารางรวม!$Z:$Z,0))*tblSales[[#This Row],[จำนวนแก้ว]],0))</f>
        <v/>
      </c>
      <c r="T297" s="10" t="str">
        <f>IF(tblSales[[#This Row],[Key]]="","",IFERROR(INDEX(ตารางรวม!$G:$G,MATCH(tblSales[[#This Row],[Key]],ตารางรวม!$Z:$Z,0))*tblSales[[#This Row],[จำนวนแก้ว]],0))</f>
        <v/>
      </c>
      <c r="U297" s="10" t="str">
        <f>IF(tblSales[[#This Row],[Key]]="","",IFERROR(INDEX(ตารางรวม!$H:$H,MATCH(tblSales[[#This Row],[Key]],ตารางรวม!$Z:$Z,0))*tblSales[[#This Row],[จำนวนแก้ว]],0))</f>
        <v/>
      </c>
      <c r="V297" s="10" t="str">
        <f>IF(tblSales[[#This Row],[Key]]="","",IFERROR(INDEX(ตารางรวม!$I:$I,MATCH(tblSales[[#This Row],[Key]],ตารางรวม!$Z:$Z,0))*tblSales[[#This Row],[จำนวนแก้ว]],0))</f>
        <v/>
      </c>
      <c r="W297" s="10" t="str">
        <f>IF(tblSales[[#This Row],[Key]]="","",IFERROR(INDEX(ตารางรวม!$J:$J,MATCH(tblSales[[#This Row],[Key]],ตารางรวม!$Z:$Z,0))*tblSales[[#This Row],[จำนวนแก้ว]],0))</f>
        <v/>
      </c>
      <c r="X297" s="10" t="str">
        <f>IF(tblSales[[#This Row],[Key]]="","",IFERROR(INDEX(ตารางรวม!$K:$K,MATCH(tblSales[[#This Row],[Key]],ตารางรวม!$Z:$Z,0))*tblSales[[#This Row],[จำนวนแก้ว]],0))</f>
        <v/>
      </c>
      <c r="Y297" s="10" t="str">
        <f>IF(tblSales[[#This Row],[Key]]="","",IFERROR(INDEX(ตารางรวม!$L:$L,MATCH(tblSales[[#This Row],[Key]],ตารางรวม!$Z:$Z,0))*tblSales[[#This Row],[จำนวนแก้ว]],0))</f>
        <v/>
      </c>
      <c r="Z297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7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7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7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7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7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7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7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7" s="10" t="str">
        <f>IF(tblSales[[#This Row],[Key]]="","",IF(tblSales[[#This Row],[ขนาด]]="16 oz",tblSales[[#This Row],[จำนวนแก้ว]],0))</f>
        <v/>
      </c>
      <c r="AI297" s="10" t="str">
        <f>IF(tblSales[[#This Row],[Key]]="","",IF(tblSales[[#This Row],[ขนาด]]="20 oz",tblSales[[#This Row],[จำนวนแก้ว]],0))</f>
        <v/>
      </c>
      <c r="AJ297" s="10" t="str">
        <f>IF(tblSales[[#This Row],[Key]]="","",IF(tblSales[[#This Row],[ขนาด]]="22 oz",tblSales[[#This Row],[จำนวนแก้ว]],0))</f>
        <v/>
      </c>
    </row>
    <row r="298" spans="1:36" x14ac:dyDescent="0.25">
      <c r="A298" s="4" t="str">
        <f>IF(tblSales[[#This Row],[วันที่]]="","","S"&amp;TEXT(tblSales[[#This Row],[วันที่]],"yymmdd")&amp;"-"&amp;TEXT(ROW()-5,"000"))</f>
        <v/>
      </c>
      <c r="B298" s="16"/>
      <c r="C298" s="6"/>
      <c r="D298" s="6"/>
      <c r="E298" s="20"/>
      <c r="F298" s="6"/>
      <c r="G298" s="6"/>
      <c r="H298" s="6"/>
      <c r="I298" s="6"/>
      <c r="J298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8" s="8" t="str">
        <f>IF(tblSales[[#This Row],[Key]]="","",IFERROR(INDEX(ตารางรวม!$W:$W,MATCH(tblSales[[#This Row],[Key]],ตารางรวม!$Z:$Z,0)),"ไม่พบสูตร"))</f>
        <v/>
      </c>
      <c r="L298" s="8" t="str">
        <f>IF(tblSales[[#This Row],[Key]]="","",IFERROR(INDEX(ตารางรวม!$V:$V,MATCH(tblSales[[#This Row],[Key]],ตารางรวม!$Z:$Z,0)),"ไม่พบสูตร"))</f>
        <v/>
      </c>
      <c r="M298" s="8" t="str">
        <f>IF(tblSales[[#This Row],[Key]]="","",IFERROR(tblSales[[#This Row],[ราคาต่อแก้ว]]*tblSales[[#This Row],[จำนวนแก้ว]],""))</f>
        <v/>
      </c>
      <c r="N298" s="8" t="str">
        <f>IF(tblSales[[#This Row],[Key]]="","",IFERROR(tblSales[[#This Row],[ต้นทุนต่อแก้ว]]*tblSales[[#This Row],[จำนวนแก้ว]],""))</f>
        <v/>
      </c>
      <c r="O298" s="8" t="str">
        <f>IF(tblSales[[#This Row],[Key]]="","",IFERROR(tblSales[[#This Row],[ยอดขาย (บาท)]]-tblSales[[#This Row],[ต้นทุนรวม (บาท)]],""))</f>
        <v/>
      </c>
      <c r="P298" s="21" t="str">
        <f>IF(tblSales[[#This Row],[Key]]="","",IFERROR(tblSales[[#This Row],[กำไร (บาท)]]/tblSales[[#This Row],[ยอดขาย (บาท)]],""))</f>
        <v/>
      </c>
      <c r="Q298" s="10" t="str">
        <f>IF(tblSales[[#This Row],[Key]]="","",IFERROR(INDEX(ตารางรวม!$D:$D,MATCH(tblSales[[#This Row],[Key]],ตารางรวม!$Z:$Z,0))*tblSales[[#This Row],[จำนวนแก้ว]],0))</f>
        <v/>
      </c>
      <c r="R298" s="10" t="str">
        <f>IF(tblSales[[#This Row],[Key]]="","",IFERROR(INDEX(ตารางรวม!$E:$E,MATCH(tblSales[[#This Row],[Key]],ตารางรวม!$Z:$Z,0))*tblSales[[#This Row],[จำนวนแก้ว]],0))</f>
        <v/>
      </c>
      <c r="S298" s="10" t="str">
        <f>IF(tblSales[[#This Row],[Key]]="","",IFERROR(INDEX(ตารางรวม!$F:$F,MATCH(tblSales[[#This Row],[Key]],ตารางรวม!$Z:$Z,0))*tblSales[[#This Row],[จำนวนแก้ว]],0))</f>
        <v/>
      </c>
      <c r="T298" s="10" t="str">
        <f>IF(tblSales[[#This Row],[Key]]="","",IFERROR(INDEX(ตารางรวม!$G:$G,MATCH(tblSales[[#This Row],[Key]],ตารางรวม!$Z:$Z,0))*tblSales[[#This Row],[จำนวนแก้ว]],0))</f>
        <v/>
      </c>
      <c r="U298" s="10" t="str">
        <f>IF(tblSales[[#This Row],[Key]]="","",IFERROR(INDEX(ตารางรวม!$H:$H,MATCH(tblSales[[#This Row],[Key]],ตารางรวม!$Z:$Z,0))*tblSales[[#This Row],[จำนวนแก้ว]],0))</f>
        <v/>
      </c>
      <c r="V298" s="10" t="str">
        <f>IF(tblSales[[#This Row],[Key]]="","",IFERROR(INDEX(ตารางรวม!$I:$I,MATCH(tblSales[[#This Row],[Key]],ตารางรวม!$Z:$Z,0))*tblSales[[#This Row],[จำนวนแก้ว]],0))</f>
        <v/>
      </c>
      <c r="W298" s="10" t="str">
        <f>IF(tblSales[[#This Row],[Key]]="","",IFERROR(INDEX(ตารางรวม!$J:$J,MATCH(tblSales[[#This Row],[Key]],ตารางรวม!$Z:$Z,0))*tblSales[[#This Row],[จำนวนแก้ว]],0))</f>
        <v/>
      </c>
      <c r="X298" s="10" t="str">
        <f>IF(tblSales[[#This Row],[Key]]="","",IFERROR(INDEX(ตารางรวม!$K:$K,MATCH(tblSales[[#This Row],[Key]],ตารางรวม!$Z:$Z,0))*tblSales[[#This Row],[จำนวนแก้ว]],0))</f>
        <v/>
      </c>
      <c r="Y298" s="10" t="str">
        <f>IF(tblSales[[#This Row],[Key]]="","",IFERROR(INDEX(ตารางรวม!$L:$L,MATCH(tblSales[[#This Row],[Key]],ตารางรวม!$Z:$Z,0))*tblSales[[#This Row],[จำนวนแก้ว]],0))</f>
        <v/>
      </c>
      <c r="Z298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8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8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8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8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8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8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8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8" s="10" t="str">
        <f>IF(tblSales[[#This Row],[Key]]="","",IF(tblSales[[#This Row],[ขนาด]]="16 oz",tblSales[[#This Row],[จำนวนแก้ว]],0))</f>
        <v/>
      </c>
      <c r="AI298" s="10" t="str">
        <f>IF(tblSales[[#This Row],[Key]]="","",IF(tblSales[[#This Row],[ขนาด]]="20 oz",tblSales[[#This Row],[จำนวนแก้ว]],0))</f>
        <v/>
      </c>
      <c r="AJ298" s="10" t="str">
        <f>IF(tblSales[[#This Row],[Key]]="","",IF(tblSales[[#This Row],[ขนาด]]="22 oz",tblSales[[#This Row],[จำนวนแก้ว]],0))</f>
        <v/>
      </c>
    </row>
    <row r="299" spans="1:36" x14ac:dyDescent="0.25">
      <c r="A299" s="4" t="str">
        <f>IF(tblSales[[#This Row],[วันที่]]="","","S"&amp;TEXT(tblSales[[#This Row],[วันที่]],"yymmdd")&amp;"-"&amp;TEXT(ROW()-5,"000"))</f>
        <v/>
      </c>
      <c r="B299" s="16"/>
      <c r="C299" s="6"/>
      <c r="D299" s="6"/>
      <c r="E299" s="20"/>
      <c r="F299" s="6"/>
      <c r="G299" s="6"/>
      <c r="H299" s="6"/>
      <c r="I299" s="6"/>
      <c r="J299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299" s="8" t="str">
        <f>IF(tblSales[[#This Row],[Key]]="","",IFERROR(INDEX(ตารางรวม!$W:$W,MATCH(tblSales[[#This Row],[Key]],ตารางรวม!$Z:$Z,0)),"ไม่พบสูตร"))</f>
        <v/>
      </c>
      <c r="L299" s="8" t="str">
        <f>IF(tblSales[[#This Row],[Key]]="","",IFERROR(INDEX(ตารางรวม!$V:$V,MATCH(tblSales[[#This Row],[Key]],ตารางรวม!$Z:$Z,0)),"ไม่พบสูตร"))</f>
        <v/>
      </c>
      <c r="M299" s="8" t="str">
        <f>IF(tblSales[[#This Row],[Key]]="","",IFERROR(tblSales[[#This Row],[ราคาต่อแก้ว]]*tblSales[[#This Row],[จำนวนแก้ว]],""))</f>
        <v/>
      </c>
      <c r="N299" s="8" t="str">
        <f>IF(tblSales[[#This Row],[Key]]="","",IFERROR(tblSales[[#This Row],[ต้นทุนต่อแก้ว]]*tblSales[[#This Row],[จำนวนแก้ว]],""))</f>
        <v/>
      </c>
      <c r="O299" s="8" t="str">
        <f>IF(tblSales[[#This Row],[Key]]="","",IFERROR(tblSales[[#This Row],[ยอดขาย (บาท)]]-tblSales[[#This Row],[ต้นทุนรวม (บาท)]],""))</f>
        <v/>
      </c>
      <c r="P299" s="21" t="str">
        <f>IF(tblSales[[#This Row],[Key]]="","",IFERROR(tblSales[[#This Row],[กำไร (บาท)]]/tblSales[[#This Row],[ยอดขาย (บาท)]],""))</f>
        <v/>
      </c>
      <c r="Q299" s="10" t="str">
        <f>IF(tblSales[[#This Row],[Key]]="","",IFERROR(INDEX(ตารางรวม!$D:$D,MATCH(tblSales[[#This Row],[Key]],ตารางรวม!$Z:$Z,0))*tblSales[[#This Row],[จำนวนแก้ว]],0))</f>
        <v/>
      </c>
      <c r="R299" s="10" t="str">
        <f>IF(tblSales[[#This Row],[Key]]="","",IFERROR(INDEX(ตารางรวม!$E:$E,MATCH(tblSales[[#This Row],[Key]],ตารางรวม!$Z:$Z,0))*tblSales[[#This Row],[จำนวนแก้ว]],0))</f>
        <v/>
      </c>
      <c r="S299" s="10" t="str">
        <f>IF(tblSales[[#This Row],[Key]]="","",IFERROR(INDEX(ตารางรวม!$F:$F,MATCH(tblSales[[#This Row],[Key]],ตารางรวม!$Z:$Z,0))*tblSales[[#This Row],[จำนวนแก้ว]],0))</f>
        <v/>
      </c>
      <c r="T299" s="10" t="str">
        <f>IF(tblSales[[#This Row],[Key]]="","",IFERROR(INDEX(ตารางรวม!$G:$G,MATCH(tblSales[[#This Row],[Key]],ตารางรวม!$Z:$Z,0))*tblSales[[#This Row],[จำนวนแก้ว]],0))</f>
        <v/>
      </c>
      <c r="U299" s="10" t="str">
        <f>IF(tblSales[[#This Row],[Key]]="","",IFERROR(INDEX(ตารางรวม!$H:$H,MATCH(tblSales[[#This Row],[Key]],ตารางรวม!$Z:$Z,0))*tblSales[[#This Row],[จำนวนแก้ว]],0))</f>
        <v/>
      </c>
      <c r="V299" s="10" t="str">
        <f>IF(tblSales[[#This Row],[Key]]="","",IFERROR(INDEX(ตารางรวม!$I:$I,MATCH(tblSales[[#This Row],[Key]],ตารางรวม!$Z:$Z,0))*tblSales[[#This Row],[จำนวนแก้ว]],0))</f>
        <v/>
      </c>
      <c r="W299" s="10" t="str">
        <f>IF(tblSales[[#This Row],[Key]]="","",IFERROR(INDEX(ตารางรวม!$J:$J,MATCH(tblSales[[#This Row],[Key]],ตารางรวม!$Z:$Z,0))*tblSales[[#This Row],[จำนวนแก้ว]],0))</f>
        <v/>
      </c>
      <c r="X299" s="10" t="str">
        <f>IF(tblSales[[#This Row],[Key]]="","",IFERROR(INDEX(ตารางรวม!$K:$K,MATCH(tblSales[[#This Row],[Key]],ตารางรวม!$Z:$Z,0))*tblSales[[#This Row],[จำนวนแก้ว]],0))</f>
        <v/>
      </c>
      <c r="Y299" s="10" t="str">
        <f>IF(tblSales[[#This Row],[Key]]="","",IFERROR(INDEX(ตารางรวม!$L:$L,MATCH(tblSales[[#This Row],[Key]],ตารางรวม!$Z:$Z,0))*tblSales[[#This Row],[จำนวนแก้ว]],0))</f>
        <v/>
      </c>
      <c r="Z299" s="10" t="str">
        <f>IF(tblSales[[#This Row],[Key]]="","",IFERROR(INDEX(ตารางรวม!$M:$M,MATCH(tblSales[[#This Row],[Key]],ตารางรวม!$Z:$Z,0))*tblSales[[#This Row],[จำนวนแก้ว]],0))</f>
        <v/>
      </c>
      <c r="AA299" s="10" t="str">
        <f>IF(tblSales[[#This Row],[Key]]="","",IFERROR(INDEX(ตารางรวม!$N:$N,MATCH(tblSales[[#This Row],[Key]],ตารางรวม!$Z:$Z,0))*tblSales[[#This Row],[จำนวนแก้ว]],0))</f>
        <v/>
      </c>
      <c r="AB299" s="10" t="str">
        <f>IF(tblSales[[#This Row],[Key]]="","",IFERROR(INDEX(ตารางรวม!$O:$O,MATCH(tblSales[[#This Row],[Key]],ตารางรวม!$Z:$Z,0))*tblSales[[#This Row],[จำนวนแก้ว]],0))</f>
        <v/>
      </c>
      <c r="AC299" s="10" t="str">
        <f>IF(tblSales[[#This Row],[Key]]="","",IFERROR(INDEX(ตารางรวม!$P:$P,MATCH(tblSales[[#This Row],[Key]],ตารางรวม!$Z:$Z,0))*tblSales[[#This Row],[จำนวนแก้ว]],0))</f>
        <v/>
      </c>
      <c r="AD299" s="10" t="str">
        <f>IF(tblSales[[#This Row],[Key]]="","",IFERROR(INDEX(ตารางรวม!$Q:$Q,MATCH(tblSales[[#This Row],[Key]],ตารางรวม!$Z:$Z,0))*tblSales[[#This Row],[จำนวนแก้ว]],0))</f>
        <v/>
      </c>
      <c r="AE299" s="10" t="str">
        <f>IF(tblSales[[#This Row],[Key]]="","",IFERROR(INDEX(ตารางรวม!$R:$R,MATCH(tblSales[[#This Row],[Key]],ตารางรวม!$Z:$Z,0))*tblSales[[#This Row],[จำนวนแก้ว]],0))</f>
        <v/>
      </c>
      <c r="AF299" s="10" t="str">
        <f>IF(tblSales[[#This Row],[Key]]="","",IFERROR(INDEX(ตารางรวม!$S:$S,MATCH(tblSales[[#This Row],[Key]],ตารางรวม!$Z:$Z,0))*tblSales[[#This Row],[จำนวนแก้ว]],0))</f>
        <v/>
      </c>
      <c r="AG299" s="10" t="str">
        <f>IF(tblSales[[#This Row],[Key]]="","",IFERROR(INDEX(ตารางรวม!$T:$T,MATCH(tblSales[[#This Row],[Key]],ตารางรวม!$Z:$Z,0))*tblSales[[#This Row],[จำนวนแก้ว]],0))</f>
        <v/>
      </c>
      <c r="AH299" s="10" t="str">
        <f>IF(tblSales[[#This Row],[Key]]="","",IF(tblSales[[#This Row],[ขนาด]]="16 oz",tblSales[[#This Row],[จำนวนแก้ว]],0))</f>
        <v/>
      </c>
      <c r="AI299" s="10" t="str">
        <f>IF(tblSales[[#This Row],[Key]]="","",IF(tblSales[[#This Row],[ขนาด]]="20 oz",tblSales[[#This Row],[จำนวนแก้ว]],0))</f>
        <v/>
      </c>
      <c r="AJ299" s="10" t="str">
        <f>IF(tblSales[[#This Row],[Key]]="","",IF(tblSales[[#This Row],[ขนาด]]="22 oz",tblSales[[#This Row],[จำนวนแก้ว]],0))</f>
        <v/>
      </c>
    </row>
    <row r="300" spans="1:36" x14ac:dyDescent="0.25">
      <c r="A300" s="4" t="str">
        <f>IF(tblSales[[#This Row],[วันที่]]="","","S"&amp;TEXT(tblSales[[#This Row],[วันที่]],"yymmdd")&amp;"-"&amp;TEXT(ROW()-5,"000"))</f>
        <v/>
      </c>
      <c r="B300" s="16"/>
      <c r="C300" s="6"/>
      <c r="D300" s="6"/>
      <c r="E300" s="20"/>
      <c r="F300" s="6"/>
      <c r="G300" s="6"/>
      <c r="H300" s="6"/>
      <c r="I300" s="6"/>
      <c r="J300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0" s="8" t="str">
        <f>IF(tblSales[[#This Row],[Key]]="","",IFERROR(INDEX(ตารางรวม!$W:$W,MATCH(tblSales[[#This Row],[Key]],ตารางรวม!$Z:$Z,0)),"ไม่พบสูตร"))</f>
        <v/>
      </c>
      <c r="L300" s="8" t="str">
        <f>IF(tblSales[[#This Row],[Key]]="","",IFERROR(INDEX(ตารางรวม!$V:$V,MATCH(tblSales[[#This Row],[Key]],ตารางรวม!$Z:$Z,0)),"ไม่พบสูตร"))</f>
        <v/>
      </c>
      <c r="M300" s="8" t="str">
        <f>IF(tblSales[[#This Row],[Key]]="","",IFERROR(tblSales[[#This Row],[ราคาต่อแก้ว]]*tblSales[[#This Row],[จำนวนแก้ว]],""))</f>
        <v/>
      </c>
      <c r="N300" s="8" t="str">
        <f>IF(tblSales[[#This Row],[Key]]="","",IFERROR(tblSales[[#This Row],[ต้นทุนต่อแก้ว]]*tblSales[[#This Row],[จำนวนแก้ว]],""))</f>
        <v/>
      </c>
      <c r="O300" s="8" t="str">
        <f>IF(tblSales[[#This Row],[Key]]="","",IFERROR(tblSales[[#This Row],[ยอดขาย (บาท)]]-tblSales[[#This Row],[ต้นทุนรวม (บาท)]],""))</f>
        <v/>
      </c>
      <c r="P300" s="21" t="str">
        <f>IF(tblSales[[#This Row],[Key]]="","",IFERROR(tblSales[[#This Row],[กำไร (บาท)]]/tblSales[[#This Row],[ยอดขาย (บาท)]],""))</f>
        <v/>
      </c>
      <c r="Q300" s="10" t="str">
        <f>IF(tblSales[[#This Row],[Key]]="","",IFERROR(INDEX(ตารางรวม!$D:$D,MATCH(tblSales[[#This Row],[Key]],ตารางรวม!$Z:$Z,0))*tblSales[[#This Row],[จำนวนแก้ว]],0))</f>
        <v/>
      </c>
      <c r="R300" s="10" t="str">
        <f>IF(tblSales[[#This Row],[Key]]="","",IFERROR(INDEX(ตารางรวม!$E:$E,MATCH(tblSales[[#This Row],[Key]],ตารางรวม!$Z:$Z,0))*tblSales[[#This Row],[จำนวนแก้ว]],0))</f>
        <v/>
      </c>
      <c r="S300" s="10" t="str">
        <f>IF(tblSales[[#This Row],[Key]]="","",IFERROR(INDEX(ตารางรวม!$F:$F,MATCH(tblSales[[#This Row],[Key]],ตารางรวม!$Z:$Z,0))*tblSales[[#This Row],[จำนวนแก้ว]],0))</f>
        <v/>
      </c>
      <c r="T300" s="10" t="str">
        <f>IF(tblSales[[#This Row],[Key]]="","",IFERROR(INDEX(ตารางรวม!$G:$G,MATCH(tblSales[[#This Row],[Key]],ตารางรวม!$Z:$Z,0))*tblSales[[#This Row],[จำนวนแก้ว]],0))</f>
        <v/>
      </c>
      <c r="U300" s="10" t="str">
        <f>IF(tblSales[[#This Row],[Key]]="","",IFERROR(INDEX(ตารางรวม!$H:$H,MATCH(tblSales[[#This Row],[Key]],ตารางรวม!$Z:$Z,0))*tblSales[[#This Row],[จำนวนแก้ว]],0))</f>
        <v/>
      </c>
      <c r="V300" s="10" t="str">
        <f>IF(tblSales[[#This Row],[Key]]="","",IFERROR(INDEX(ตารางรวม!$I:$I,MATCH(tblSales[[#This Row],[Key]],ตารางรวม!$Z:$Z,0))*tblSales[[#This Row],[จำนวนแก้ว]],0))</f>
        <v/>
      </c>
      <c r="W300" s="10" t="str">
        <f>IF(tblSales[[#This Row],[Key]]="","",IFERROR(INDEX(ตารางรวม!$J:$J,MATCH(tblSales[[#This Row],[Key]],ตารางรวม!$Z:$Z,0))*tblSales[[#This Row],[จำนวนแก้ว]],0))</f>
        <v/>
      </c>
      <c r="X300" s="10" t="str">
        <f>IF(tblSales[[#This Row],[Key]]="","",IFERROR(INDEX(ตารางรวม!$K:$K,MATCH(tblSales[[#This Row],[Key]],ตารางรวม!$Z:$Z,0))*tblSales[[#This Row],[จำนวนแก้ว]],0))</f>
        <v/>
      </c>
      <c r="Y300" s="10" t="str">
        <f>IF(tblSales[[#This Row],[Key]]="","",IFERROR(INDEX(ตารางรวม!$L:$L,MATCH(tblSales[[#This Row],[Key]],ตารางรวม!$Z:$Z,0))*tblSales[[#This Row],[จำนวนแก้ว]],0))</f>
        <v/>
      </c>
      <c r="Z300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0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0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0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0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0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0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0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0" s="10" t="str">
        <f>IF(tblSales[[#This Row],[Key]]="","",IF(tblSales[[#This Row],[ขนาด]]="16 oz",tblSales[[#This Row],[จำนวนแก้ว]],0))</f>
        <v/>
      </c>
      <c r="AI300" s="10" t="str">
        <f>IF(tblSales[[#This Row],[Key]]="","",IF(tblSales[[#This Row],[ขนาด]]="20 oz",tblSales[[#This Row],[จำนวนแก้ว]],0))</f>
        <v/>
      </c>
      <c r="AJ300" s="10" t="str">
        <f>IF(tblSales[[#This Row],[Key]]="","",IF(tblSales[[#This Row],[ขนาด]]="22 oz",tblSales[[#This Row],[จำนวนแก้ว]],0))</f>
        <v/>
      </c>
    </row>
    <row r="301" spans="1:36" x14ac:dyDescent="0.25">
      <c r="A301" s="4" t="str">
        <f>IF(tblSales[[#This Row],[วันที่]]="","","S"&amp;TEXT(tblSales[[#This Row],[วันที่]],"yymmdd")&amp;"-"&amp;TEXT(ROW()-5,"000"))</f>
        <v/>
      </c>
      <c r="B301" s="16"/>
      <c r="C301" s="6"/>
      <c r="D301" s="6"/>
      <c r="E301" s="20"/>
      <c r="F301" s="6"/>
      <c r="G301" s="6"/>
      <c r="H301" s="6"/>
      <c r="I301" s="6"/>
      <c r="J301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1" s="8" t="str">
        <f>IF(tblSales[[#This Row],[Key]]="","",IFERROR(INDEX(ตารางรวม!$W:$W,MATCH(tblSales[[#This Row],[Key]],ตารางรวม!$Z:$Z,0)),"ไม่พบสูตร"))</f>
        <v/>
      </c>
      <c r="L301" s="8" t="str">
        <f>IF(tblSales[[#This Row],[Key]]="","",IFERROR(INDEX(ตารางรวม!$V:$V,MATCH(tblSales[[#This Row],[Key]],ตารางรวม!$Z:$Z,0)),"ไม่พบสูตร"))</f>
        <v/>
      </c>
      <c r="M301" s="8" t="str">
        <f>IF(tblSales[[#This Row],[Key]]="","",IFERROR(tblSales[[#This Row],[ราคาต่อแก้ว]]*tblSales[[#This Row],[จำนวนแก้ว]],""))</f>
        <v/>
      </c>
      <c r="N301" s="8" t="str">
        <f>IF(tblSales[[#This Row],[Key]]="","",IFERROR(tblSales[[#This Row],[ต้นทุนต่อแก้ว]]*tblSales[[#This Row],[จำนวนแก้ว]],""))</f>
        <v/>
      </c>
      <c r="O301" s="8" t="str">
        <f>IF(tblSales[[#This Row],[Key]]="","",IFERROR(tblSales[[#This Row],[ยอดขาย (บาท)]]-tblSales[[#This Row],[ต้นทุนรวม (บาท)]],""))</f>
        <v/>
      </c>
      <c r="P301" s="21" t="str">
        <f>IF(tblSales[[#This Row],[Key]]="","",IFERROR(tblSales[[#This Row],[กำไร (บาท)]]/tblSales[[#This Row],[ยอดขาย (บาท)]],""))</f>
        <v/>
      </c>
      <c r="Q301" s="10" t="str">
        <f>IF(tblSales[[#This Row],[Key]]="","",IFERROR(INDEX(ตารางรวม!$D:$D,MATCH(tblSales[[#This Row],[Key]],ตารางรวม!$Z:$Z,0))*tblSales[[#This Row],[จำนวนแก้ว]],0))</f>
        <v/>
      </c>
      <c r="R301" s="10" t="str">
        <f>IF(tblSales[[#This Row],[Key]]="","",IFERROR(INDEX(ตารางรวม!$E:$E,MATCH(tblSales[[#This Row],[Key]],ตารางรวม!$Z:$Z,0))*tblSales[[#This Row],[จำนวนแก้ว]],0))</f>
        <v/>
      </c>
      <c r="S301" s="10" t="str">
        <f>IF(tblSales[[#This Row],[Key]]="","",IFERROR(INDEX(ตารางรวม!$F:$F,MATCH(tblSales[[#This Row],[Key]],ตารางรวม!$Z:$Z,0))*tblSales[[#This Row],[จำนวนแก้ว]],0))</f>
        <v/>
      </c>
      <c r="T301" s="10" t="str">
        <f>IF(tblSales[[#This Row],[Key]]="","",IFERROR(INDEX(ตารางรวม!$G:$G,MATCH(tblSales[[#This Row],[Key]],ตารางรวม!$Z:$Z,0))*tblSales[[#This Row],[จำนวนแก้ว]],0))</f>
        <v/>
      </c>
      <c r="U301" s="10" t="str">
        <f>IF(tblSales[[#This Row],[Key]]="","",IFERROR(INDEX(ตารางรวม!$H:$H,MATCH(tblSales[[#This Row],[Key]],ตารางรวม!$Z:$Z,0))*tblSales[[#This Row],[จำนวนแก้ว]],0))</f>
        <v/>
      </c>
      <c r="V301" s="10" t="str">
        <f>IF(tblSales[[#This Row],[Key]]="","",IFERROR(INDEX(ตารางรวม!$I:$I,MATCH(tblSales[[#This Row],[Key]],ตารางรวม!$Z:$Z,0))*tblSales[[#This Row],[จำนวนแก้ว]],0))</f>
        <v/>
      </c>
      <c r="W301" s="10" t="str">
        <f>IF(tblSales[[#This Row],[Key]]="","",IFERROR(INDEX(ตารางรวม!$J:$J,MATCH(tblSales[[#This Row],[Key]],ตารางรวม!$Z:$Z,0))*tblSales[[#This Row],[จำนวนแก้ว]],0))</f>
        <v/>
      </c>
      <c r="X301" s="10" t="str">
        <f>IF(tblSales[[#This Row],[Key]]="","",IFERROR(INDEX(ตารางรวม!$K:$K,MATCH(tblSales[[#This Row],[Key]],ตารางรวม!$Z:$Z,0))*tblSales[[#This Row],[จำนวนแก้ว]],0))</f>
        <v/>
      </c>
      <c r="Y301" s="10" t="str">
        <f>IF(tblSales[[#This Row],[Key]]="","",IFERROR(INDEX(ตารางรวม!$L:$L,MATCH(tblSales[[#This Row],[Key]],ตารางรวม!$Z:$Z,0))*tblSales[[#This Row],[จำนวนแก้ว]],0))</f>
        <v/>
      </c>
      <c r="Z301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1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1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1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1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1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1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1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1" s="10" t="str">
        <f>IF(tblSales[[#This Row],[Key]]="","",IF(tblSales[[#This Row],[ขนาด]]="16 oz",tblSales[[#This Row],[จำนวนแก้ว]],0))</f>
        <v/>
      </c>
      <c r="AI301" s="10" t="str">
        <f>IF(tblSales[[#This Row],[Key]]="","",IF(tblSales[[#This Row],[ขนาด]]="20 oz",tblSales[[#This Row],[จำนวนแก้ว]],0))</f>
        <v/>
      </c>
      <c r="AJ301" s="10" t="str">
        <f>IF(tblSales[[#This Row],[Key]]="","",IF(tblSales[[#This Row],[ขนาด]]="22 oz",tblSales[[#This Row],[จำนวนแก้ว]],0))</f>
        <v/>
      </c>
    </row>
    <row r="302" spans="1:36" x14ac:dyDescent="0.25">
      <c r="A302" s="4" t="str">
        <f>IF(tblSales[[#This Row],[วันที่]]="","","S"&amp;TEXT(tblSales[[#This Row],[วันที่]],"yymmdd")&amp;"-"&amp;TEXT(ROW()-5,"000"))</f>
        <v/>
      </c>
      <c r="B302" s="16"/>
      <c r="C302" s="6"/>
      <c r="D302" s="6"/>
      <c r="E302" s="20"/>
      <c r="F302" s="6"/>
      <c r="G302" s="6"/>
      <c r="H302" s="6"/>
      <c r="I302" s="6"/>
      <c r="J302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2" s="8" t="str">
        <f>IF(tblSales[[#This Row],[Key]]="","",IFERROR(INDEX(ตารางรวม!$W:$W,MATCH(tblSales[[#This Row],[Key]],ตารางรวม!$Z:$Z,0)),"ไม่พบสูตร"))</f>
        <v/>
      </c>
      <c r="L302" s="8" t="str">
        <f>IF(tblSales[[#This Row],[Key]]="","",IFERROR(INDEX(ตารางรวม!$V:$V,MATCH(tblSales[[#This Row],[Key]],ตารางรวม!$Z:$Z,0)),"ไม่พบสูตร"))</f>
        <v/>
      </c>
      <c r="M302" s="8" t="str">
        <f>IF(tblSales[[#This Row],[Key]]="","",IFERROR(tblSales[[#This Row],[ราคาต่อแก้ว]]*tblSales[[#This Row],[จำนวนแก้ว]],""))</f>
        <v/>
      </c>
      <c r="N302" s="8" t="str">
        <f>IF(tblSales[[#This Row],[Key]]="","",IFERROR(tblSales[[#This Row],[ต้นทุนต่อแก้ว]]*tblSales[[#This Row],[จำนวนแก้ว]],""))</f>
        <v/>
      </c>
      <c r="O302" s="8" t="str">
        <f>IF(tblSales[[#This Row],[Key]]="","",IFERROR(tblSales[[#This Row],[ยอดขาย (บาท)]]-tblSales[[#This Row],[ต้นทุนรวม (บาท)]],""))</f>
        <v/>
      </c>
      <c r="P302" s="21" t="str">
        <f>IF(tblSales[[#This Row],[Key]]="","",IFERROR(tblSales[[#This Row],[กำไร (บาท)]]/tblSales[[#This Row],[ยอดขาย (บาท)]],""))</f>
        <v/>
      </c>
      <c r="Q302" s="10" t="str">
        <f>IF(tblSales[[#This Row],[Key]]="","",IFERROR(INDEX(ตารางรวม!$D:$D,MATCH(tblSales[[#This Row],[Key]],ตารางรวม!$Z:$Z,0))*tblSales[[#This Row],[จำนวนแก้ว]],0))</f>
        <v/>
      </c>
      <c r="R302" s="10" t="str">
        <f>IF(tblSales[[#This Row],[Key]]="","",IFERROR(INDEX(ตารางรวม!$E:$E,MATCH(tblSales[[#This Row],[Key]],ตารางรวม!$Z:$Z,0))*tblSales[[#This Row],[จำนวนแก้ว]],0))</f>
        <v/>
      </c>
      <c r="S302" s="10" t="str">
        <f>IF(tblSales[[#This Row],[Key]]="","",IFERROR(INDEX(ตารางรวม!$F:$F,MATCH(tblSales[[#This Row],[Key]],ตารางรวม!$Z:$Z,0))*tblSales[[#This Row],[จำนวนแก้ว]],0))</f>
        <v/>
      </c>
      <c r="T302" s="10" t="str">
        <f>IF(tblSales[[#This Row],[Key]]="","",IFERROR(INDEX(ตารางรวม!$G:$G,MATCH(tblSales[[#This Row],[Key]],ตารางรวม!$Z:$Z,0))*tblSales[[#This Row],[จำนวนแก้ว]],0))</f>
        <v/>
      </c>
      <c r="U302" s="10" t="str">
        <f>IF(tblSales[[#This Row],[Key]]="","",IFERROR(INDEX(ตารางรวม!$H:$H,MATCH(tblSales[[#This Row],[Key]],ตารางรวม!$Z:$Z,0))*tblSales[[#This Row],[จำนวนแก้ว]],0))</f>
        <v/>
      </c>
      <c r="V302" s="10" t="str">
        <f>IF(tblSales[[#This Row],[Key]]="","",IFERROR(INDEX(ตารางรวม!$I:$I,MATCH(tblSales[[#This Row],[Key]],ตารางรวม!$Z:$Z,0))*tblSales[[#This Row],[จำนวนแก้ว]],0))</f>
        <v/>
      </c>
      <c r="W302" s="10" t="str">
        <f>IF(tblSales[[#This Row],[Key]]="","",IFERROR(INDEX(ตารางรวม!$J:$J,MATCH(tblSales[[#This Row],[Key]],ตารางรวม!$Z:$Z,0))*tblSales[[#This Row],[จำนวนแก้ว]],0))</f>
        <v/>
      </c>
      <c r="X302" s="10" t="str">
        <f>IF(tblSales[[#This Row],[Key]]="","",IFERROR(INDEX(ตารางรวม!$K:$K,MATCH(tblSales[[#This Row],[Key]],ตารางรวม!$Z:$Z,0))*tblSales[[#This Row],[จำนวนแก้ว]],0))</f>
        <v/>
      </c>
      <c r="Y302" s="10" t="str">
        <f>IF(tblSales[[#This Row],[Key]]="","",IFERROR(INDEX(ตารางรวม!$L:$L,MATCH(tblSales[[#This Row],[Key]],ตารางรวม!$Z:$Z,0))*tblSales[[#This Row],[จำนวนแก้ว]],0))</f>
        <v/>
      </c>
      <c r="Z302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2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2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2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2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2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2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2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2" s="10" t="str">
        <f>IF(tblSales[[#This Row],[Key]]="","",IF(tblSales[[#This Row],[ขนาด]]="16 oz",tblSales[[#This Row],[จำนวนแก้ว]],0))</f>
        <v/>
      </c>
      <c r="AI302" s="10" t="str">
        <f>IF(tblSales[[#This Row],[Key]]="","",IF(tblSales[[#This Row],[ขนาด]]="20 oz",tblSales[[#This Row],[จำนวนแก้ว]],0))</f>
        <v/>
      </c>
      <c r="AJ302" s="10" t="str">
        <f>IF(tblSales[[#This Row],[Key]]="","",IF(tblSales[[#This Row],[ขนาด]]="22 oz",tblSales[[#This Row],[จำนวนแก้ว]],0))</f>
        <v/>
      </c>
    </row>
    <row r="303" spans="1:36" x14ac:dyDescent="0.25">
      <c r="A303" s="4" t="str">
        <f>IF(tblSales[[#This Row],[วันที่]]="","","S"&amp;TEXT(tblSales[[#This Row],[วันที่]],"yymmdd")&amp;"-"&amp;TEXT(ROW()-5,"000"))</f>
        <v/>
      </c>
      <c r="B303" s="16"/>
      <c r="C303" s="6"/>
      <c r="D303" s="6"/>
      <c r="E303" s="20"/>
      <c r="F303" s="6"/>
      <c r="G303" s="6"/>
      <c r="H303" s="6"/>
      <c r="I303" s="6"/>
      <c r="J303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3" s="8" t="str">
        <f>IF(tblSales[[#This Row],[Key]]="","",IFERROR(INDEX(ตารางรวม!$W:$W,MATCH(tblSales[[#This Row],[Key]],ตารางรวม!$Z:$Z,0)),"ไม่พบสูตร"))</f>
        <v/>
      </c>
      <c r="L303" s="8" t="str">
        <f>IF(tblSales[[#This Row],[Key]]="","",IFERROR(INDEX(ตารางรวม!$V:$V,MATCH(tblSales[[#This Row],[Key]],ตารางรวม!$Z:$Z,0)),"ไม่พบสูตร"))</f>
        <v/>
      </c>
      <c r="M303" s="8" t="str">
        <f>IF(tblSales[[#This Row],[Key]]="","",IFERROR(tblSales[[#This Row],[ราคาต่อแก้ว]]*tblSales[[#This Row],[จำนวนแก้ว]],""))</f>
        <v/>
      </c>
      <c r="N303" s="8" t="str">
        <f>IF(tblSales[[#This Row],[Key]]="","",IFERROR(tblSales[[#This Row],[ต้นทุนต่อแก้ว]]*tblSales[[#This Row],[จำนวนแก้ว]],""))</f>
        <v/>
      </c>
      <c r="O303" s="8" t="str">
        <f>IF(tblSales[[#This Row],[Key]]="","",IFERROR(tblSales[[#This Row],[ยอดขาย (บาท)]]-tblSales[[#This Row],[ต้นทุนรวม (บาท)]],""))</f>
        <v/>
      </c>
      <c r="P303" s="21" t="str">
        <f>IF(tblSales[[#This Row],[Key]]="","",IFERROR(tblSales[[#This Row],[กำไร (บาท)]]/tblSales[[#This Row],[ยอดขาย (บาท)]],""))</f>
        <v/>
      </c>
      <c r="Q303" s="10" t="str">
        <f>IF(tblSales[[#This Row],[Key]]="","",IFERROR(INDEX(ตารางรวม!$D:$D,MATCH(tblSales[[#This Row],[Key]],ตารางรวม!$Z:$Z,0))*tblSales[[#This Row],[จำนวนแก้ว]],0))</f>
        <v/>
      </c>
      <c r="R303" s="10" t="str">
        <f>IF(tblSales[[#This Row],[Key]]="","",IFERROR(INDEX(ตารางรวม!$E:$E,MATCH(tblSales[[#This Row],[Key]],ตารางรวม!$Z:$Z,0))*tblSales[[#This Row],[จำนวนแก้ว]],0))</f>
        <v/>
      </c>
      <c r="S303" s="10" t="str">
        <f>IF(tblSales[[#This Row],[Key]]="","",IFERROR(INDEX(ตารางรวม!$F:$F,MATCH(tblSales[[#This Row],[Key]],ตารางรวม!$Z:$Z,0))*tblSales[[#This Row],[จำนวนแก้ว]],0))</f>
        <v/>
      </c>
      <c r="T303" s="10" t="str">
        <f>IF(tblSales[[#This Row],[Key]]="","",IFERROR(INDEX(ตารางรวม!$G:$G,MATCH(tblSales[[#This Row],[Key]],ตารางรวม!$Z:$Z,0))*tblSales[[#This Row],[จำนวนแก้ว]],0))</f>
        <v/>
      </c>
      <c r="U303" s="10" t="str">
        <f>IF(tblSales[[#This Row],[Key]]="","",IFERROR(INDEX(ตารางรวม!$H:$H,MATCH(tblSales[[#This Row],[Key]],ตารางรวม!$Z:$Z,0))*tblSales[[#This Row],[จำนวนแก้ว]],0))</f>
        <v/>
      </c>
      <c r="V303" s="10" t="str">
        <f>IF(tblSales[[#This Row],[Key]]="","",IFERROR(INDEX(ตารางรวม!$I:$I,MATCH(tblSales[[#This Row],[Key]],ตารางรวม!$Z:$Z,0))*tblSales[[#This Row],[จำนวนแก้ว]],0))</f>
        <v/>
      </c>
      <c r="W303" s="10" t="str">
        <f>IF(tblSales[[#This Row],[Key]]="","",IFERROR(INDEX(ตารางรวม!$J:$J,MATCH(tblSales[[#This Row],[Key]],ตารางรวม!$Z:$Z,0))*tblSales[[#This Row],[จำนวนแก้ว]],0))</f>
        <v/>
      </c>
      <c r="X303" s="10" t="str">
        <f>IF(tblSales[[#This Row],[Key]]="","",IFERROR(INDEX(ตารางรวม!$K:$K,MATCH(tblSales[[#This Row],[Key]],ตารางรวม!$Z:$Z,0))*tblSales[[#This Row],[จำนวนแก้ว]],0))</f>
        <v/>
      </c>
      <c r="Y303" s="10" t="str">
        <f>IF(tblSales[[#This Row],[Key]]="","",IFERROR(INDEX(ตารางรวม!$L:$L,MATCH(tblSales[[#This Row],[Key]],ตารางรวม!$Z:$Z,0))*tblSales[[#This Row],[จำนวนแก้ว]],0))</f>
        <v/>
      </c>
      <c r="Z303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3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3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3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3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3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3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3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3" s="10" t="str">
        <f>IF(tblSales[[#This Row],[Key]]="","",IF(tblSales[[#This Row],[ขนาด]]="16 oz",tblSales[[#This Row],[จำนวนแก้ว]],0))</f>
        <v/>
      </c>
      <c r="AI303" s="10" t="str">
        <f>IF(tblSales[[#This Row],[Key]]="","",IF(tblSales[[#This Row],[ขนาด]]="20 oz",tblSales[[#This Row],[จำนวนแก้ว]],0))</f>
        <v/>
      </c>
      <c r="AJ303" s="10" t="str">
        <f>IF(tblSales[[#This Row],[Key]]="","",IF(tblSales[[#This Row],[ขนาด]]="22 oz",tblSales[[#This Row],[จำนวนแก้ว]],0))</f>
        <v/>
      </c>
    </row>
    <row r="304" spans="1:36" x14ac:dyDescent="0.25">
      <c r="A304" s="4" t="str">
        <f>IF(tblSales[[#This Row],[วันที่]]="","","S"&amp;TEXT(tblSales[[#This Row],[วันที่]],"yymmdd")&amp;"-"&amp;TEXT(ROW()-5,"000"))</f>
        <v/>
      </c>
      <c r="B304" s="16"/>
      <c r="C304" s="6"/>
      <c r="D304" s="6"/>
      <c r="E304" s="20"/>
      <c r="F304" s="6"/>
      <c r="G304" s="6"/>
      <c r="H304" s="6"/>
      <c r="I304" s="6"/>
      <c r="J304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4" s="8" t="str">
        <f>IF(tblSales[[#This Row],[Key]]="","",IFERROR(INDEX(ตารางรวม!$W:$W,MATCH(tblSales[[#This Row],[Key]],ตารางรวม!$Z:$Z,0)),"ไม่พบสูตร"))</f>
        <v/>
      </c>
      <c r="L304" s="8" t="str">
        <f>IF(tblSales[[#This Row],[Key]]="","",IFERROR(INDEX(ตารางรวม!$V:$V,MATCH(tblSales[[#This Row],[Key]],ตารางรวม!$Z:$Z,0)),"ไม่พบสูตร"))</f>
        <v/>
      </c>
      <c r="M304" s="8" t="str">
        <f>IF(tblSales[[#This Row],[Key]]="","",IFERROR(tblSales[[#This Row],[ราคาต่อแก้ว]]*tblSales[[#This Row],[จำนวนแก้ว]],""))</f>
        <v/>
      </c>
      <c r="N304" s="8" t="str">
        <f>IF(tblSales[[#This Row],[Key]]="","",IFERROR(tblSales[[#This Row],[ต้นทุนต่อแก้ว]]*tblSales[[#This Row],[จำนวนแก้ว]],""))</f>
        <v/>
      </c>
      <c r="O304" s="8" t="str">
        <f>IF(tblSales[[#This Row],[Key]]="","",IFERROR(tblSales[[#This Row],[ยอดขาย (บาท)]]-tblSales[[#This Row],[ต้นทุนรวม (บาท)]],""))</f>
        <v/>
      </c>
      <c r="P304" s="21" t="str">
        <f>IF(tblSales[[#This Row],[Key]]="","",IFERROR(tblSales[[#This Row],[กำไร (บาท)]]/tblSales[[#This Row],[ยอดขาย (บาท)]],""))</f>
        <v/>
      </c>
      <c r="Q304" s="10" t="str">
        <f>IF(tblSales[[#This Row],[Key]]="","",IFERROR(INDEX(ตารางรวม!$D:$D,MATCH(tblSales[[#This Row],[Key]],ตารางรวม!$Z:$Z,0))*tblSales[[#This Row],[จำนวนแก้ว]],0))</f>
        <v/>
      </c>
      <c r="R304" s="10" t="str">
        <f>IF(tblSales[[#This Row],[Key]]="","",IFERROR(INDEX(ตารางรวม!$E:$E,MATCH(tblSales[[#This Row],[Key]],ตารางรวม!$Z:$Z,0))*tblSales[[#This Row],[จำนวนแก้ว]],0))</f>
        <v/>
      </c>
      <c r="S304" s="10" t="str">
        <f>IF(tblSales[[#This Row],[Key]]="","",IFERROR(INDEX(ตารางรวม!$F:$F,MATCH(tblSales[[#This Row],[Key]],ตารางรวม!$Z:$Z,0))*tblSales[[#This Row],[จำนวนแก้ว]],0))</f>
        <v/>
      </c>
      <c r="T304" s="10" t="str">
        <f>IF(tblSales[[#This Row],[Key]]="","",IFERROR(INDEX(ตารางรวม!$G:$G,MATCH(tblSales[[#This Row],[Key]],ตารางรวม!$Z:$Z,0))*tblSales[[#This Row],[จำนวนแก้ว]],0))</f>
        <v/>
      </c>
      <c r="U304" s="10" t="str">
        <f>IF(tblSales[[#This Row],[Key]]="","",IFERROR(INDEX(ตารางรวม!$H:$H,MATCH(tblSales[[#This Row],[Key]],ตารางรวม!$Z:$Z,0))*tblSales[[#This Row],[จำนวนแก้ว]],0))</f>
        <v/>
      </c>
      <c r="V304" s="10" t="str">
        <f>IF(tblSales[[#This Row],[Key]]="","",IFERROR(INDEX(ตารางรวม!$I:$I,MATCH(tblSales[[#This Row],[Key]],ตารางรวม!$Z:$Z,0))*tblSales[[#This Row],[จำนวนแก้ว]],0))</f>
        <v/>
      </c>
      <c r="W304" s="10" t="str">
        <f>IF(tblSales[[#This Row],[Key]]="","",IFERROR(INDEX(ตารางรวม!$J:$J,MATCH(tblSales[[#This Row],[Key]],ตารางรวม!$Z:$Z,0))*tblSales[[#This Row],[จำนวนแก้ว]],0))</f>
        <v/>
      </c>
      <c r="X304" s="10" t="str">
        <f>IF(tblSales[[#This Row],[Key]]="","",IFERROR(INDEX(ตารางรวม!$K:$K,MATCH(tblSales[[#This Row],[Key]],ตารางรวม!$Z:$Z,0))*tblSales[[#This Row],[จำนวนแก้ว]],0))</f>
        <v/>
      </c>
      <c r="Y304" s="10" t="str">
        <f>IF(tblSales[[#This Row],[Key]]="","",IFERROR(INDEX(ตารางรวม!$L:$L,MATCH(tblSales[[#This Row],[Key]],ตารางรวม!$Z:$Z,0))*tblSales[[#This Row],[จำนวนแก้ว]],0))</f>
        <v/>
      </c>
      <c r="Z304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4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4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4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4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4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4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4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4" s="10" t="str">
        <f>IF(tblSales[[#This Row],[Key]]="","",IF(tblSales[[#This Row],[ขนาด]]="16 oz",tblSales[[#This Row],[จำนวนแก้ว]],0))</f>
        <v/>
      </c>
      <c r="AI304" s="10" t="str">
        <f>IF(tblSales[[#This Row],[Key]]="","",IF(tblSales[[#This Row],[ขนาด]]="20 oz",tblSales[[#This Row],[จำนวนแก้ว]],0))</f>
        <v/>
      </c>
      <c r="AJ304" s="10" t="str">
        <f>IF(tblSales[[#This Row],[Key]]="","",IF(tblSales[[#This Row],[ขนาด]]="22 oz",tblSales[[#This Row],[จำนวนแก้ว]],0))</f>
        <v/>
      </c>
    </row>
    <row r="305" spans="1:36" x14ac:dyDescent="0.25">
      <c r="A305" s="4" t="str">
        <f>IF(tblSales[[#This Row],[วันที่]]="","","S"&amp;TEXT(tblSales[[#This Row],[วันที่]],"yymmdd")&amp;"-"&amp;TEXT(ROW()-5,"000"))</f>
        <v/>
      </c>
      <c r="B305" s="16"/>
      <c r="C305" s="6"/>
      <c r="D305" s="6"/>
      <c r="E305" s="20"/>
      <c r="F305" s="6"/>
      <c r="G305" s="6"/>
      <c r="H305" s="6"/>
      <c r="I305" s="6"/>
      <c r="J305" s="4" t="str">
        <f>IF(OR(tblSales[[#This Row],[วันที่]]="",tblSales[[#This Row],[เมนู]]="",tblSales[[#This Row],[ขนาด]]="",tblSales[[#This Row],[ความหวาน]]=""),"",tblSales[[#This Row],[เมนู]]&amp;"|"&amp;tblSales[[#This Row],[ขนาด]]&amp;"|"&amp;tblSales[[#This Row],[ความหวาน]])</f>
        <v/>
      </c>
      <c r="K305" s="8" t="str">
        <f>IF(tblSales[[#This Row],[Key]]="","",IFERROR(INDEX(ตารางรวม!$W:$W,MATCH(tblSales[[#This Row],[Key]],ตารางรวม!$Z:$Z,0)),"ไม่พบสูตร"))</f>
        <v/>
      </c>
      <c r="L305" s="8" t="str">
        <f>IF(tblSales[[#This Row],[Key]]="","",IFERROR(INDEX(ตารางรวม!$V:$V,MATCH(tblSales[[#This Row],[Key]],ตารางรวม!$Z:$Z,0)),"ไม่พบสูตร"))</f>
        <v/>
      </c>
      <c r="M305" s="8" t="str">
        <f>IF(tblSales[[#This Row],[Key]]="","",IFERROR(tblSales[[#This Row],[ราคาต่อแก้ว]]*tblSales[[#This Row],[จำนวนแก้ว]],""))</f>
        <v/>
      </c>
      <c r="N305" s="8" t="str">
        <f>IF(tblSales[[#This Row],[Key]]="","",IFERROR(tblSales[[#This Row],[ต้นทุนต่อแก้ว]]*tblSales[[#This Row],[จำนวนแก้ว]],""))</f>
        <v/>
      </c>
      <c r="O305" s="8" t="str">
        <f>IF(tblSales[[#This Row],[Key]]="","",IFERROR(tblSales[[#This Row],[ยอดขาย (บาท)]]-tblSales[[#This Row],[ต้นทุนรวม (บาท)]],""))</f>
        <v/>
      </c>
      <c r="P305" s="21" t="str">
        <f>IF(tblSales[[#This Row],[Key]]="","",IFERROR(tblSales[[#This Row],[กำไร (บาท)]]/tblSales[[#This Row],[ยอดขาย (บาท)]],""))</f>
        <v/>
      </c>
      <c r="Q305" s="10" t="str">
        <f>IF(tblSales[[#This Row],[Key]]="","",IFERROR(INDEX(ตารางรวม!$D:$D,MATCH(tblSales[[#This Row],[Key]],ตารางรวม!$Z:$Z,0))*tblSales[[#This Row],[จำนวนแก้ว]],0))</f>
        <v/>
      </c>
      <c r="R305" s="10" t="str">
        <f>IF(tblSales[[#This Row],[Key]]="","",IFERROR(INDEX(ตารางรวม!$E:$E,MATCH(tblSales[[#This Row],[Key]],ตารางรวม!$Z:$Z,0))*tblSales[[#This Row],[จำนวนแก้ว]],0))</f>
        <v/>
      </c>
      <c r="S305" s="10" t="str">
        <f>IF(tblSales[[#This Row],[Key]]="","",IFERROR(INDEX(ตารางรวม!$F:$F,MATCH(tblSales[[#This Row],[Key]],ตารางรวม!$Z:$Z,0))*tblSales[[#This Row],[จำนวนแก้ว]],0))</f>
        <v/>
      </c>
      <c r="T305" s="10" t="str">
        <f>IF(tblSales[[#This Row],[Key]]="","",IFERROR(INDEX(ตารางรวม!$G:$G,MATCH(tblSales[[#This Row],[Key]],ตารางรวม!$Z:$Z,0))*tblSales[[#This Row],[จำนวนแก้ว]],0))</f>
        <v/>
      </c>
      <c r="U305" s="10" t="str">
        <f>IF(tblSales[[#This Row],[Key]]="","",IFERROR(INDEX(ตารางรวม!$H:$H,MATCH(tblSales[[#This Row],[Key]],ตารางรวม!$Z:$Z,0))*tblSales[[#This Row],[จำนวนแก้ว]],0))</f>
        <v/>
      </c>
      <c r="V305" s="10" t="str">
        <f>IF(tblSales[[#This Row],[Key]]="","",IFERROR(INDEX(ตารางรวม!$I:$I,MATCH(tblSales[[#This Row],[Key]],ตารางรวม!$Z:$Z,0))*tblSales[[#This Row],[จำนวนแก้ว]],0))</f>
        <v/>
      </c>
      <c r="W305" s="10" t="str">
        <f>IF(tblSales[[#This Row],[Key]]="","",IFERROR(INDEX(ตารางรวม!$J:$J,MATCH(tblSales[[#This Row],[Key]],ตารางรวม!$Z:$Z,0))*tblSales[[#This Row],[จำนวนแก้ว]],0))</f>
        <v/>
      </c>
      <c r="X305" s="10" t="str">
        <f>IF(tblSales[[#This Row],[Key]]="","",IFERROR(INDEX(ตารางรวม!$K:$K,MATCH(tblSales[[#This Row],[Key]],ตารางรวม!$Z:$Z,0))*tblSales[[#This Row],[จำนวนแก้ว]],0))</f>
        <v/>
      </c>
      <c r="Y305" s="10" t="str">
        <f>IF(tblSales[[#This Row],[Key]]="","",IFERROR(INDEX(ตารางรวม!$L:$L,MATCH(tblSales[[#This Row],[Key]],ตารางรวม!$Z:$Z,0))*tblSales[[#This Row],[จำนวนแก้ว]],0))</f>
        <v/>
      </c>
      <c r="Z305" s="10" t="str">
        <f>IF(tblSales[[#This Row],[Key]]="","",IFERROR(INDEX(ตารางรวม!$M:$M,MATCH(tblSales[[#This Row],[Key]],ตารางรวม!$Z:$Z,0))*tblSales[[#This Row],[จำนวนแก้ว]],0))</f>
        <v/>
      </c>
      <c r="AA305" s="10" t="str">
        <f>IF(tblSales[[#This Row],[Key]]="","",IFERROR(INDEX(ตารางรวม!$N:$N,MATCH(tblSales[[#This Row],[Key]],ตารางรวม!$Z:$Z,0))*tblSales[[#This Row],[จำนวนแก้ว]],0))</f>
        <v/>
      </c>
      <c r="AB305" s="10" t="str">
        <f>IF(tblSales[[#This Row],[Key]]="","",IFERROR(INDEX(ตารางรวม!$O:$O,MATCH(tblSales[[#This Row],[Key]],ตารางรวม!$Z:$Z,0))*tblSales[[#This Row],[จำนวนแก้ว]],0))</f>
        <v/>
      </c>
      <c r="AC305" s="10" t="str">
        <f>IF(tblSales[[#This Row],[Key]]="","",IFERROR(INDEX(ตารางรวม!$P:$P,MATCH(tblSales[[#This Row],[Key]],ตารางรวม!$Z:$Z,0))*tblSales[[#This Row],[จำนวนแก้ว]],0))</f>
        <v/>
      </c>
      <c r="AD305" s="10" t="str">
        <f>IF(tblSales[[#This Row],[Key]]="","",IFERROR(INDEX(ตารางรวม!$Q:$Q,MATCH(tblSales[[#This Row],[Key]],ตารางรวม!$Z:$Z,0))*tblSales[[#This Row],[จำนวนแก้ว]],0))</f>
        <v/>
      </c>
      <c r="AE305" s="10" t="str">
        <f>IF(tblSales[[#This Row],[Key]]="","",IFERROR(INDEX(ตารางรวม!$R:$R,MATCH(tblSales[[#This Row],[Key]],ตารางรวม!$Z:$Z,0))*tblSales[[#This Row],[จำนวนแก้ว]],0))</f>
        <v/>
      </c>
      <c r="AF305" s="10" t="str">
        <f>IF(tblSales[[#This Row],[Key]]="","",IFERROR(INDEX(ตารางรวม!$S:$S,MATCH(tblSales[[#This Row],[Key]],ตารางรวม!$Z:$Z,0))*tblSales[[#This Row],[จำนวนแก้ว]],0))</f>
        <v/>
      </c>
      <c r="AG305" s="10" t="str">
        <f>IF(tblSales[[#This Row],[Key]]="","",IFERROR(INDEX(ตารางรวม!$T:$T,MATCH(tblSales[[#This Row],[Key]],ตารางรวม!$Z:$Z,0))*tblSales[[#This Row],[จำนวนแก้ว]],0))</f>
        <v/>
      </c>
      <c r="AH305" s="10" t="str">
        <f>IF(tblSales[[#This Row],[Key]]="","",IF(tblSales[[#This Row],[ขนาด]]="16 oz",tblSales[[#This Row],[จำนวนแก้ว]],0))</f>
        <v/>
      </c>
      <c r="AI305" s="10" t="str">
        <f>IF(tblSales[[#This Row],[Key]]="","",IF(tblSales[[#This Row],[ขนาด]]="20 oz",tblSales[[#This Row],[จำนวนแก้ว]],0))</f>
        <v/>
      </c>
      <c r="AJ305" s="10" t="str">
        <f>IF(tblSales[[#This Row],[Key]]="","",IF(tblSales[[#This Row],[ขนาด]]="22 oz",tblSales[[#This Row],[จำนวนแก้ว]],0))</f>
        <v/>
      </c>
    </row>
  </sheetData>
  <conditionalFormatting sqref="P6:P305">
    <cfRule type="cellIs" dxfId="3" priority="1" operator="lessThan">
      <formula>0.55</formula>
    </cfRule>
  </conditionalFormatting>
  <dataValidations count="2">
    <dataValidation type="whole" operator="greaterThanOrEqual" allowBlank="1" showInputMessage="1" showErrorMessage="1" errorTitle="ค่าไม่ถูกต้อง" error="กรอกจำนวนเต็ม ≥ 1" prompt="จำนวนเต็มเท่านั้น" sqref="F6:F305" xr:uid="{687ACC5C-99C1-1C44-84ED-1077B2A35541}">
      <formula1>1</formula1>
    </dataValidation>
    <dataValidation type="date" allowBlank="1" showInputMessage="1" showErrorMessage="1" errorTitle="วันที่ไม่ถูกต้อง" error="กรอกวันที่รูปแบบ ปปปป-ดด-วว" sqref="B6:B305" xr:uid="{2498352B-9944-1A49-88EC-56140A6B4479}">
      <formula1>45292</formula1>
      <formula2>49674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9BF184E-0CDE-E940-B2AB-7AC009CF2C07}">
          <x14:formula1>
            <xm:f>Lists!$A$2:$A$60</xm:f>
          </x14:formula1>
          <xm:sqref>C6:C305</xm:sqref>
        </x14:dataValidation>
        <x14:dataValidation type="list" allowBlank="1" showInputMessage="1" showErrorMessage="1" xr:uid="{19FE9A3E-0CAF-3742-90A6-B67E0E4528FB}">
          <x14:formula1>
            <xm:f>Lists!$F$2:$F$6</xm:f>
          </x14:formula1>
          <xm:sqref>E6:E305</xm:sqref>
        </x14:dataValidation>
        <x14:dataValidation type="list" allowBlank="1" showInputMessage="1" showErrorMessage="1" xr:uid="{44EFD43A-58A3-704A-B51C-8BAC209B6FDC}">
          <x14:formula1>
            <xm:f>Lists!$L$2:$L$6</xm:f>
          </x14:formula1>
          <xm:sqref>G6:G305</xm:sqref>
        </x14:dataValidation>
        <x14:dataValidation type="list" allowBlank="1" showInputMessage="1" showErrorMessage="1" xr:uid="{D3BB35C1-B371-4866-A14E-DC1D3BF1CF89}">
          <x14:formula1>
            <xm:f>Lists!$E$2:$E$4</xm:f>
          </x14:formula1>
          <xm:sqref>D6:D305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4E75-D7EE-C94A-B0F7-82C743923CC1}">
  <sheetPr>
    <tabColor rgb="FFED7D31"/>
  </sheetPr>
  <dimension ref="A1:I205"/>
  <sheetViews>
    <sheetView showGridLines="0" workbookViewId="0">
      <pane ySplit="5" topLeftCell="A6" activePane="bottomLeft" state="frozen"/>
      <selection pane="bottomLeft" activeCell="F6" sqref="F6"/>
    </sheetView>
  </sheetViews>
  <sheetFormatPr defaultColWidth="10.85546875" defaultRowHeight="15" x14ac:dyDescent="0.25"/>
  <cols>
    <col min="1" max="1" width="15.140625" customWidth="1"/>
    <col min="2" max="3" width="12.85546875" customWidth="1"/>
    <col min="4" max="4" width="32.7109375" customWidth="1"/>
    <col min="5" max="6" width="16.28515625" customWidth="1"/>
    <col min="7" max="7" width="9.28515625" customWidth="1"/>
    <col min="8" max="8" width="28" customWidth="1"/>
    <col min="9" max="9" width="14" customWidth="1"/>
  </cols>
  <sheetData>
    <row r="1" spans="1:9" ht="18" x14ac:dyDescent="0.25">
      <c r="A1" s="2" t="s">
        <v>460</v>
      </c>
    </row>
    <row r="2" spans="1:9" x14ac:dyDescent="0.25">
      <c r="A2" s="3" t="s">
        <v>461</v>
      </c>
    </row>
    <row r="5" spans="1:9" ht="33.950000000000003" customHeight="1" x14ac:dyDescent="0.25">
      <c r="A5" s="5" t="s">
        <v>453</v>
      </c>
      <c r="B5" s="5" t="s">
        <v>192</v>
      </c>
      <c r="C5" s="5" t="s">
        <v>353</v>
      </c>
      <c r="D5" s="5" t="s">
        <v>354</v>
      </c>
      <c r="E5" s="5" t="s">
        <v>319</v>
      </c>
      <c r="F5" s="5" t="s">
        <v>462</v>
      </c>
      <c r="G5" s="5" t="s">
        <v>317</v>
      </c>
      <c r="H5" s="5" t="s">
        <v>463</v>
      </c>
      <c r="I5" s="5" t="s">
        <v>459</v>
      </c>
    </row>
    <row r="6" spans="1:9" x14ac:dyDescent="0.25">
      <c r="A6" s="4" t="str">
        <f>IF(tblAdjust[[#This Row],[วันที่]]="","","A"&amp;TEXT(tblAdjust[[#This Row],[วันที่]],"yymmdd")&amp;"-"&amp;TEXT(ROW()-5,"000"))</f>
        <v/>
      </c>
      <c r="B6" s="16"/>
      <c r="C6" s="6"/>
      <c r="D6" s="4"/>
      <c r="E6" s="6"/>
      <c r="F6" s="18"/>
      <c r="G6" s="4"/>
      <c r="H6" s="6"/>
      <c r="I6" s="6"/>
    </row>
    <row r="7" spans="1:9" x14ac:dyDescent="0.25">
      <c r="A7" s="4" t="str">
        <f>IF(tblAdjust[[#This Row],[วันที่]]="","","A"&amp;TEXT(tblAdjust[[#This Row],[วันที่]],"yymmdd")&amp;"-"&amp;TEXT(ROW()-5,"000"))</f>
        <v/>
      </c>
      <c r="B7" s="16"/>
      <c r="C7" s="6"/>
      <c r="D7" s="4"/>
      <c r="E7" s="6"/>
      <c r="F7" s="18"/>
      <c r="G7" s="4"/>
      <c r="H7" s="6"/>
      <c r="I7" s="6"/>
    </row>
    <row r="8" spans="1:9" x14ac:dyDescent="0.25">
      <c r="A8" s="4" t="str">
        <f>IF(tblAdjust[[#This Row],[วันที่]]="","","A"&amp;TEXT(tblAdjust[[#This Row],[วันที่]],"yymmdd")&amp;"-"&amp;TEXT(ROW()-5,"000"))</f>
        <v/>
      </c>
      <c r="B8" s="16"/>
      <c r="C8" s="6"/>
      <c r="D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" s="6"/>
      <c r="F8" s="18"/>
      <c r="G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" s="6"/>
      <c r="I8" s="6"/>
    </row>
    <row r="9" spans="1:9" x14ac:dyDescent="0.25">
      <c r="A9" s="4" t="str">
        <f>IF(tblAdjust[[#This Row],[วันที่]]="","","A"&amp;TEXT(tblAdjust[[#This Row],[วันที่]],"yymmdd")&amp;"-"&amp;TEXT(ROW()-5,"000"))</f>
        <v/>
      </c>
      <c r="B9" s="16"/>
      <c r="C9" s="6"/>
      <c r="D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" s="6"/>
      <c r="F9" s="18"/>
      <c r="G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" s="6"/>
      <c r="I9" s="6"/>
    </row>
    <row r="10" spans="1:9" x14ac:dyDescent="0.25">
      <c r="A10" s="4" t="str">
        <f>IF(tblAdjust[[#This Row],[วันที่]]="","","A"&amp;TEXT(tblAdjust[[#This Row],[วันที่]],"yymmdd")&amp;"-"&amp;TEXT(ROW()-5,"000"))</f>
        <v/>
      </c>
      <c r="B10" s="16"/>
      <c r="C10" s="6"/>
      <c r="D1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" s="6"/>
      <c r="F10" s="18"/>
      <c r="G1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" s="6"/>
      <c r="I10" s="6"/>
    </row>
    <row r="11" spans="1:9" x14ac:dyDescent="0.25">
      <c r="A11" s="4" t="str">
        <f>IF(tblAdjust[[#This Row],[วันที่]]="","","A"&amp;TEXT(tblAdjust[[#This Row],[วันที่]],"yymmdd")&amp;"-"&amp;TEXT(ROW()-5,"000"))</f>
        <v/>
      </c>
      <c r="B11" s="16"/>
      <c r="C11" s="6"/>
      <c r="D1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" s="6"/>
      <c r="F11" s="18"/>
      <c r="G1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" s="6"/>
      <c r="I11" s="6"/>
    </row>
    <row r="12" spans="1:9" x14ac:dyDescent="0.25">
      <c r="A12" s="4" t="str">
        <f>IF(tblAdjust[[#This Row],[วันที่]]="","","A"&amp;TEXT(tblAdjust[[#This Row],[วันที่]],"yymmdd")&amp;"-"&amp;TEXT(ROW()-5,"000"))</f>
        <v/>
      </c>
      <c r="B12" s="16"/>
      <c r="C12" s="6"/>
      <c r="D1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" s="6"/>
      <c r="F12" s="18"/>
      <c r="G1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" s="6"/>
      <c r="I12" s="6"/>
    </row>
    <row r="13" spans="1:9" x14ac:dyDescent="0.25">
      <c r="A13" s="4" t="str">
        <f>IF(tblAdjust[[#This Row],[วันที่]]="","","A"&amp;TEXT(tblAdjust[[#This Row],[วันที่]],"yymmdd")&amp;"-"&amp;TEXT(ROW()-5,"000"))</f>
        <v/>
      </c>
      <c r="B13" s="16"/>
      <c r="C13" s="6"/>
      <c r="D1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" s="6"/>
      <c r="F13" s="18"/>
      <c r="G1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" s="6"/>
      <c r="I13" s="6"/>
    </row>
    <row r="14" spans="1:9" x14ac:dyDescent="0.25">
      <c r="A14" s="4" t="str">
        <f>IF(tblAdjust[[#This Row],[วันที่]]="","","A"&amp;TEXT(tblAdjust[[#This Row],[วันที่]],"yymmdd")&amp;"-"&amp;TEXT(ROW()-5,"000"))</f>
        <v/>
      </c>
      <c r="B14" s="16"/>
      <c r="C14" s="6"/>
      <c r="D1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" s="6"/>
      <c r="F14" s="18"/>
      <c r="G1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" s="6"/>
      <c r="I14" s="6"/>
    </row>
    <row r="15" spans="1:9" x14ac:dyDescent="0.25">
      <c r="A15" s="4" t="str">
        <f>IF(tblAdjust[[#This Row],[วันที่]]="","","A"&amp;TEXT(tblAdjust[[#This Row],[วันที่]],"yymmdd")&amp;"-"&amp;TEXT(ROW()-5,"000"))</f>
        <v/>
      </c>
      <c r="B15" s="16"/>
      <c r="C15" s="6"/>
      <c r="D1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" s="6"/>
      <c r="F15" s="18"/>
      <c r="G1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" s="6"/>
      <c r="I15" s="6"/>
    </row>
    <row r="16" spans="1:9" x14ac:dyDescent="0.25">
      <c r="A16" s="4" t="str">
        <f>IF(tblAdjust[[#This Row],[วันที่]]="","","A"&amp;TEXT(tblAdjust[[#This Row],[วันที่]],"yymmdd")&amp;"-"&amp;TEXT(ROW()-5,"000"))</f>
        <v/>
      </c>
      <c r="B16" s="16"/>
      <c r="C16" s="6"/>
      <c r="D1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" s="6"/>
      <c r="F16" s="18"/>
      <c r="G1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" s="6"/>
      <c r="I16" s="6"/>
    </row>
    <row r="17" spans="1:9" x14ac:dyDescent="0.25">
      <c r="A17" s="4" t="str">
        <f>IF(tblAdjust[[#This Row],[วันที่]]="","","A"&amp;TEXT(tblAdjust[[#This Row],[วันที่]],"yymmdd")&amp;"-"&amp;TEXT(ROW()-5,"000"))</f>
        <v/>
      </c>
      <c r="B17" s="16"/>
      <c r="C17" s="6"/>
      <c r="D1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" s="6"/>
      <c r="F17" s="18"/>
      <c r="G1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" s="6"/>
      <c r="I17" s="6"/>
    </row>
    <row r="18" spans="1:9" x14ac:dyDescent="0.25">
      <c r="A18" s="4" t="str">
        <f>IF(tblAdjust[[#This Row],[วันที่]]="","","A"&amp;TEXT(tblAdjust[[#This Row],[วันที่]],"yymmdd")&amp;"-"&amp;TEXT(ROW()-5,"000"))</f>
        <v/>
      </c>
      <c r="B18" s="16"/>
      <c r="C18" s="6"/>
      <c r="D1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" s="6"/>
      <c r="F18" s="18"/>
      <c r="G1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" s="6"/>
      <c r="I18" s="6"/>
    </row>
    <row r="19" spans="1:9" x14ac:dyDescent="0.25">
      <c r="A19" s="4" t="str">
        <f>IF(tblAdjust[[#This Row],[วันที่]]="","","A"&amp;TEXT(tblAdjust[[#This Row],[วันที่]],"yymmdd")&amp;"-"&amp;TEXT(ROW()-5,"000"))</f>
        <v/>
      </c>
      <c r="B19" s="16"/>
      <c r="C19" s="6"/>
      <c r="D1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" s="6"/>
      <c r="F19" s="18"/>
      <c r="G1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" s="6"/>
      <c r="I19" s="6"/>
    </row>
    <row r="20" spans="1:9" x14ac:dyDescent="0.25">
      <c r="A20" s="4" t="str">
        <f>IF(tblAdjust[[#This Row],[วันที่]]="","","A"&amp;TEXT(tblAdjust[[#This Row],[วันที่]],"yymmdd")&amp;"-"&amp;TEXT(ROW()-5,"000"))</f>
        <v/>
      </c>
      <c r="B20" s="16"/>
      <c r="C20" s="6"/>
      <c r="D2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" s="6"/>
      <c r="F20" s="18"/>
      <c r="G2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" s="6"/>
      <c r="I20" s="6"/>
    </row>
    <row r="21" spans="1:9" x14ac:dyDescent="0.25">
      <c r="A21" s="4" t="str">
        <f>IF(tblAdjust[[#This Row],[วันที่]]="","","A"&amp;TEXT(tblAdjust[[#This Row],[วันที่]],"yymmdd")&amp;"-"&amp;TEXT(ROW()-5,"000"))</f>
        <v/>
      </c>
      <c r="B21" s="16"/>
      <c r="C21" s="6"/>
      <c r="D2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1" s="6"/>
      <c r="F21" s="18"/>
      <c r="G2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1" s="6"/>
      <c r="I21" s="6"/>
    </row>
    <row r="22" spans="1:9" x14ac:dyDescent="0.25">
      <c r="A22" s="4" t="str">
        <f>IF(tblAdjust[[#This Row],[วันที่]]="","","A"&amp;TEXT(tblAdjust[[#This Row],[วันที่]],"yymmdd")&amp;"-"&amp;TEXT(ROW()-5,"000"))</f>
        <v/>
      </c>
      <c r="B22" s="16"/>
      <c r="C22" s="6"/>
      <c r="D2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2" s="6"/>
      <c r="F22" s="18"/>
      <c r="G2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2" s="6"/>
      <c r="I22" s="6"/>
    </row>
    <row r="23" spans="1:9" x14ac:dyDescent="0.25">
      <c r="A23" s="4" t="str">
        <f>IF(tblAdjust[[#This Row],[วันที่]]="","","A"&amp;TEXT(tblAdjust[[#This Row],[วันที่]],"yymmdd")&amp;"-"&amp;TEXT(ROW()-5,"000"))</f>
        <v/>
      </c>
      <c r="B23" s="16"/>
      <c r="C23" s="6"/>
      <c r="D2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3" s="6"/>
      <c r="F23" s="18"/>
      <c r="G2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3" s="6"/>
      <c r="I23" s="6"/>
    </row>
    <row r="24" spans="1:9" x14ac:dyDescent="0.25">
      <c r="A24" s="4" t="str">
        <f>IF(tblAdjust[[#This Row],[วันที่]]="","","A"&amp;TEXT(tblAdjust[[#This Row],[วันที่]],"yymmdd")&amp;"-"&amp;TEXT(ROW()-5,"000"))</f>
        <v/>
      </c>
      <c r="B24" s="16"/>
      <c r="C24" s="6"/>
      <c r="D2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4" s="6"/>
      <c r="F24" s="18"/>
      <c r="G2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4" s="6"/>
      <c r="I24" s="6"/>
    </row>
    <row r="25" spans="1:9" x14ac:dyDescent="0.25">
      <c r="A25" s="4" t="str">
        <f>IF(tblAdjust[[#This Row],[วันที่]]="","","A"&amp;TEXT(tblAdjust[[#This Row],[วันที่]],"yymmdd")&amp;"-"&amp;TEXT(ROW()-5,"000"))</f>
        <v/>
      </c>
      <c r="B25" s="16"/>
      <c r="C25" s="6"/>
      <c r="D2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5" s="6"/>
      <c r="F25" s="18"/>
      <c r="G2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5" s="6"/>
      <c r="I25" s="6"/>
    </row>
    <row r="26" spans="1:9" x14ac:dyDescent="0.25">
      <c r="A26" s="4" t="str">
        <f>IF(tblAdjust[[#This Row],[วันที่]]="","","A"&amp;TEXT(tblAdjust[[#This Row],[วันที่]],"yymmdd")&amp;"-"&amp;TEXT(ROW()-5,"000"))</f>
        <v/>
      </c>
      <c r="B26" s="16"/>
      <c r="C26" s="6"/>
      <c r="D2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6" s="6"/>
      <c r="F26" s="18"/>
      <c r="G2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6" s="6"/>
      <c r="I26" s="6"/>
    </row>
    <row r="27" spans="1:9" x14ac:dyDescent="0.25">
      <c r="A27" s="4" t="str">
        <f>IF(tblAdjust[[#This Row],[วันที่]]="","","A"&amp;TEXT(tblAdjust[[#This Row],[วันที่]],"yymmdd")&amp;"-"&amp;TEXT(ROW()-5,"000"))</f>
        <v/>
      </c>
      <c r="B27" s="16"/>
      <c r="C27" s="6"/>
      <c r="D2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7" s="6"/>
      <c r="F27" s="18"/>
      <c r="G2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7" s="6"/>
      <c r="I27" s="6"/>
    </row>
    <row r="28" spans="1:9" x14ac:dyDescent="0.25">
      <c r="A28" s="4" t="str">
        <f>IF(tblAdjust[[#This Row],[วันที่]]="","","A"&amp;TEXT(tblAdjust[[#This Row],[วันที่]],"yymmdd")&amp;"-"&amp;TEXT(ROW()-5,"000"))</f>
        <v/>
      </c>
      <c r="B28" s="16"/>
      <c r="C28" s="6"/>
      <c r="D2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8" s="6"/>
      <c r="F28" s="18"/>
      <c r="G2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8" s="6"/>
      <c r="I28" s="6"/>
    </row>
    <row r="29" spans="1:9" x14ac:dyDescent="0.25">
      <c r="A29" s="4" t="str">
        <f>IF(tblAdjust[[#This Row],[วันที่]]="","","A"&amp;TEXT(tblAdjust[[#This Row],[วันที่]],"yymmdd")&amp;"-"&amp;TEXT(ROW()-5,"000"))</f>
        <v/>
      </c>
      <c r="B29" s="16"/>
      <c r="C29" s="6"/>
      <c r="D2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9" s="6"/>
      <c r="F29" s="18"/>
      <c r="G2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9" s="6"/>
      <c r="I29" s="6"/>
    </row>
    <row r="30" spans="1:9" x14ac:dyDescent="0.25">
      <c r="A30" s="4" t="str">
        <f>IF(tblAdjust[[#This Row],[วันที่]]="","","A"&amp;TEXT(tblAdjust[[#This Row],[วันที่]],"yymmdd")&amp;"-"&amp;TEXT(ROW()-5,"000"))</f>
        <v/>
      </c>
      <c r="B30" s="16"/>
      <c r="C30" s="6"/>
      <c r="D3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0" s="6"/>
      <c r="F30" s="18"/>
      <c r="G3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0" s="6"/>
      <c r="I30" s="6"/>
    </row>
    <row r="31" spans="1:9" x14ac:dyDescent="0.25">
      <c r="A31" s="4" t="str">
        <f>IF(tblAdjust[[#This Row],[วันที่]]="","","A"&amp;TEXT(tblAdjust[[#This Row],[วันที่]],"yymmdd")&amp;"-"&amp;TEXT(ROW()-5,"000"))</f>
        <v/>
      </c>
      <c r="B31" s="16"/>
      <c r="C31" s="6"/>
      <c r="D3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1" s="6"/>
      <c r="F31" s="18"/>
      <c r="G3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1" s="6"/>
      <c r="I31" s="6"/>
    </row>
    <row r="32" spans="1:9" x14ac:dyDescent="0.25">
      <c r="A32" s="4" t="str">
        <f>IF(tblAdjust[[#This Row],[วันที่]]="","","A"&amp;TEXT(tblAdjust[[#This Row],[วันที่]],"yymmdd")&amp;"-"&amp;TEXT(ROW()-5,"000"))</f>
        <v/>
      </c>
      <c r="B32" s="16"/>
      <c r="C32" s="6"/>
      <c r="D3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2" s="6"/>
      <c r="F32" s="18"/>
      <c r="G3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2" s="6"/>
      <c r="I32" s="6"/>
    </row>
    <row r="33" spans="1:9" x14ac:dyDescent="0.25">
      <c r="A33" s="4" t="str">
        <f>IF(tblAdjust[[#This Row],[วันที่]]="","","A"&amp;TEXT(tblAdjust[[#This Row],[วันที่]],"yymmdd")&amp;"-"&amp;TEXT(ROW()-5,"000"))</f>
        <v/>
      </c>
      <c r="B33" s="16"/>
      <c r="C33" s="6"/>
      <c r="D3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3" s="6"/>
      <c r="F33" s="18"/>
      <c r="G3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3" s="6"/>
      <c r="I33" s="6"/>
    </row>
    <row r="34" spans="1:9" x14ac:dyDescent="0.25">
      <c r="A34" s="4" t="str">
        <f>IF(tblAdjust[[#This Row],[วันที่]]="","","A"&amp;TEXT(tblAdjust[[#This Row],[วันที่]],"yymmdd")&amp;"-"&amp;TEXT(ROW()-5,"000"))</f>
        <v/>
      </c>
      <c r="B34" s="16"/>
      <c r="C34" s="6"/>
      <c r="D3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4" s="6"/>
      <c r="F34" s="18"/>
      <c r="G3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4" s="6"/>
      <c r="I34" s="6"/>
    </row>
    <row r="35" spans="1:9" x14ac:dyDescent="0.25">
      <c r="A35" s="4" t="str">
        <f>IF(tblAdjust[[#This Row],[วันที่]]="","","A"&amp;TEXT(tblAdjust[[#This Row],[วันที่]],"yymmdd")&amp;"-"&amp;TEXT(ROW()-5,"000"))</f>
        <v/>
      </c>
      <c r="B35" s="16"/>
      <c r="C35" s="6"/>
      <c r="D3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5" s="6"/>
      <c r="F35" s="18"/>
      <c r="G3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5" s="6"/>
      <c r="I35" s="6"/>
    </row>
    <row r="36" spans="1:9" x14ac:dyDescent="0.25">
      <c r="A36" s="4" t="str">
        <f>IF(tblAdjust[[#This Row],[วันที่]]="","","A"&amp;TEXT(tblAdjust[[#This Row],[วันที่]],"yymmdd")&amp;"-"&amp;TEXT(ROW()-5,"000"))</f>
        <v/>
      </c>
      <c r="B36" s="16"/>
      <c r="C36" s="6"/>
      <c r="D3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6" s="6"/>
      <c r="F36" s="18"/>
      <c r="G3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6" s="6"/>
      <c r="I36" s="6"/>
    </row>
    <row r="37" spans="1:9" x14ac:dyDescent="0.25">
      <c r="A37" s="4" t="str">
        <f>IF(tblAdjust[[#This Row],[วันที่]]="","","A"&amp;TEXT(tblAdjust[[#This Row],[วันที่]],"yymmdd")&amp;"-"&amp;TEXT(ROW()-5,"000"))</f>
        <v/>
      </c>
      <c r="B37" s="16"/>
      <c r="C37" s="6"/>
      <c r="D3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7" s="6"/>
      <c r="F37" s="18"/>
      <c r="G3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7" s="6"/>
      <c r="I37" s="6"/>
    </row>
    <row r="38" spans="1:9" x14ac:dyDescent="0.25">
      <c r="A38" s="4" t="str">
        <f>IF(tblAdjust[[#This Row],[วันที่]]="","","A"&amp;TEXT(tblAdjust[[#This Row],[วันที่]],"yymmdd")&amp;"-"&amp;TEXT(ROW()-5,"000"))</f>
        <v/>
      </c>
      <c r="B38" s="16"/>
      <c r="C38" s="6"/>
      <c r="D3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8" s="6"/>
      <c r="F38" s="18"/>
      <c r="G3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8" s="6"/>
      <c r="I38" s="6"/>
    </row>
    <row r="39" spans="1:9" x14ac:dyDescent="0.25">
      <c r="A39" s="4" t="str">
        <f>IF(tblAdjust[[#This Row],[วันที่]]="","","A"&amp;TEXT(tblAdjust[[#This Row],[วันที่]],"yymmdd")&amp;"-"&amp;TEXT(ROW()-5,"000"))</f>
        <v/>
      </c>
      <c r="B39" s="16"/>
      <c r="C39" s="6"/>
      <c r="D3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39" s="6"/>
      <c r="F39" s="18"/>
      <c r="G3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39" s="6"/>
      <c r="I39" s="6"/>
    </row>
    <row r="40" spans="1:9" x14ac:dyDescent="0.25">
      <c r="A40" s="4" t="str">
        <f>IF(tblAdjust[[#This Row],[วันที่]]="","","A"&amp;TEXT(tblAdjust[[#This Row],[วันที่]],"yymmdd")&amp;"-"&amp;TEXT(ROW()-5,"000"))</f>
        <v/>
      </c>
      <c r="B40" s="16"/>
      <c r="C40" s="6"/>
      <c r="D4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0" s="6"/>
      <c r="F40" s="18"/>
      <c r="G4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0" s="6"/>
      <c r="I40" s="6"/>
    </row>
    <row r="41" spans="1:9" x14ac:dyDescent="0.25">
      <c r="A41" s="4" t="str">
        <f>IF(tblAdjust[[#This Row],[วันที่]]="","","A"&amp;TEXT(tblAdjust[[#This Row],[วันที่]],"yymmdd")&amp;"-"&amp;TEXT(ROW()-5,"000"))</f>
        <v/>
      </c>
      <c r="B41" s="16"/>
      <c r="C41" s="6"/>
      <c r="D4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1" s="6"/>
      <c r="F41" s="18"/>
      <c r="G4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1" s="6"/>
      <c r="I41" s="6"/>
    </row>
    <row r="42" spans="1:9" x14ac:dyDescent="0.25">
      <c r="A42" s="4" t="str">
        <f>IF(tblAdjust[[#This Row],[วันที่]]="","","A"&amp;TEXT(tblAdjust[[#This Row],[วันที่]],"yymmdd")&amp;"-"&amp;TEXT(ROW()-5,"000"))</f>
        <v/>
      </c>
      <c r="B42" s="16"/>
      <c r="C42" s="6"/>
      <c r="D4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2" s="6"/>
      <c r="F42" s="18"/>
      <c r="G4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2" s="6"/>
      <c r="I42" s="6"/>
    </row>
    <row r="43" spans="1:9" x14ac:dyDescent="0.25">
      <c r="A43" s="4" t="str">
        <f>IF(tblAdjust[[#This Row],[วันที่]]="","","A"&amp;TEXT(tblAdjust[[#This Row],[วันที่]],"yymmdd")&amp;"-"&amp;TEXT(ROW()-5,"000"))</f>
        <v/>
      </c>
      <c r="B43" s="16"/>
      <c r="C43" s="6"/>
      <c r="D4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3" s="6"/>
      <c r="F43" s="18"/>
      <c r="G4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3" s="6"/>
      <c r="I43" s="6"/>
    </row>
    <row r="44" spans="1:9" x14ac:dyDescent="0.25">
      <c r="A44" s="4" t="str">
        <f>IF(tblAdjust[[#This Row],[วันที่]]="","","A"&amp;TEXT(tblAdjust[[#This Row],[วันที่]],"yymmdd")&amp;"-"&amp;TEXT(ROW()-5,"000"))</f>
        <v/>
      </c>
      <c r="B44" s="16"/>
      <c r="C44" s="6"/>
      <c r="D4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4" s="6"/>
      <c r="F44" s="18"/>
      <c r="G4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4" s="6"/>
      <c r="I44" s="6"/>
    </row>
    <row r="45" spans="1:9" x14ac:dyDescent="0.25">
      <c r="A45" s="4" t="str">
        <f>IF(tblAdjust[[#This Row],[วันที่]]="","","A"&amp;TEXT(tblAdjust[[#This Row],[วันที่]],"yymmdd")&amp;"-"&amp;TEXT(ROW()-5,"000"))</f>
        <v/>
      </c>
      <c r="B45" s="16"/>
      <c r="C45" s="6"/>
      <c r="D4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5" s="6"/>
      <c r="F45" s="18"/>
      <c r="G4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5" s="6"/>
      <c r="I45" s="6"/>
    </row>
    <row r="46" spans="1:9" x14ac:dyDescent="0.25">
      <c r="A46" s="4" t="str">
        <f>IF(tblAdjust[[#This Row],[วันที่]]="","","A"&amp;TEXT(tblAdjust[[#This Row],[วันที่]],"yymmdd")&amp;"-"&amp;TEXT(ROW()-5,"000"))</f>
        <v/>
      </c>
      <c r="B46" s="16"/>
      <c r="C46" s="6"/>
      <c r="D4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6" s="6"/>
      <c r="F46" s="18"/>
      <c r="G4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6" s="6"/>
      <c r="I46" s="6"/>
    </row>
    <row r="47" spans="1:9" x14ac:dyDescent="0.25">
      <c r="A47" s="4" t="str">
        <f>IF(tblAdjust[[#This Row],[วันที่]]="","","A"&amp;TEXT(tblAdjust[[#This Row],[วันที่]],"yymmdd")&amp;"-"&amp;TEXT(ROW()-5,"000"))</f>
        <v/>
      </c>
      <c r="B47" s="16"/>
      <c r="C47" s="6"/>
      <c r="D4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7" s="6"/>
      <c r="F47" s="18"/>
      <c r="G4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7" s="6"/>
      <c r="I47" s="6"/>
    </row>
    <row r="48" spans="1:9" x14ac:dyDescent="0.25">
      <c r="A48" s="4" t="str">
        <f>IF(tblAdjust[[#This Row],[วันที่]]="","","A"&amp;TEXT(tblAdjust[[#This Row],[วันที่]],"yymmdd")&amp;"-"&amp;TEXT(ROW()-5,"000"))</f>
        <v/>
      </c>
      <c r="B48" s="16"/>
      <c r="C48" s="6"/>
      <c r="D4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8" s="6"/>
      <c r="F48" s="18"/>
      <c r="G4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8" s="6"/>
      <c r="I48" s="6"/>
    </row>
    <row r="49" spans="1:9" x14ac:dyDescent="0.25">
      <c r="A49" s="4" t="str">
        <f>IF(tblAdjust[[#This Row],[วันที่]]="","","A"&amp;TEXT(tblAdjust[[#This Row],[วันที่]],"yymmdd")&amp;"-"&amp;TEXT(ROW()-5,"000"))</f>
        <v/>
      </c>
      <c r="B49" s="16"/>
      <c r="C49" s="6"/>
      <c r="D4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49" s="6"/>
      <c r="F49" s="18"/>
      <c r="G4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49" s="6"/>
      <c r="I49" s="6"/>
    </row>
    <row r="50" spans="1:9" x14ac:dyDescent="0.25">
      <c r="A50" s="4" t="str">
        <f>IF(tblAdjust[[#This Row],[วันที่]]="","","A"&amp;TEXT(tblAdjust[[#This Row],[วันที่]],"yymmdd")&amp;"-"&amp;TEXT(ROW()-5,"000"))</f>
        <v/>
      </c>
      <c r="B50" s="16"/>
      <c r="C50" s="6"/>
      <c r="D5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0" s="6"/>
      <c r="F50" s="18"/>
      <c r="G5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0" s="6"/>
      <c r="I50" s="6"/>
    </row>
    <row r="51" spans="1:9" x14ac:dyDescent="0.25">
      <c r="A51" s="4" t="str">
        <f>IF(tblAdjust[[#This Row],[วันที่]]="","","A"&amp;TEXT(tblAdjust[[#This Row],[วันที่]],"yymmdd")&amp;"-"&amp;TEXT(ROW()-5,"000"))</f>
        <v/>
      </c>
      <c r="B51" s="16"/>
      <c r="C51" s="6"/>
      <c r="D5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1" s="6"/>
      <c r="F51" s="18"/>
      <c r="G5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1" s="6"/>
      <c r="I51" s="6"/>
    </row>
    <row r="52" spans="1:9" x14ac:dyDescent="0.25">
      <c r="A52" s="4" t="str">
        <f>IF(tblAdjust[[#This Row],[วันที่]]="","","A"&amp;TEXT(tblAdjust[[#This Row],[วันที่]],"yymmdd")&amp;"-"&amp;TEXT(ROW()-5,"000"))</f>
        <v/>
      </c>
      <c r="B52" s="16"/>
      <c r="C52" s="6"/>
      <c r="D5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2" s="6"/>
      <c r="F52" s="18"/>
      <c r="G5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2" s="6"/>
      <c r="I52" s="6"/>
    </row>
    <row r="53" spans="1:9" x14ac:dyDescent="0.25">
      <c r="A53" s="4" t="str">
        <f>IF(tblAdjust[[#This Row],[วันที่]]="","","A"&amp;TEXT(tblAdjust[[#This Row],[วันที่]],"yymmdd")&amp;"-"&amp;TEXT(ROW()-5,"000"))</f>
        <v/>
      </c>
      <c r="B53" s="16"/>
      <c r="C53" s="6"/>
      <c r="D5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3" s="6"/>
      <c r="F53" s="18"/>
      <c r="G5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3" s="6"/>
      <c r="I53" s="6"/>
    </row>
    <row r="54" spans="1:9" x14ac:dyDescent="0.25">
      <c r="A54" s="4" t="str">
        <f>IF(tblAdjust[[#This Row],[วันที่]]="","","A"&amp;TEXT(tblAdjust[[#This Row],[วันที่]],"yymmdd")&amp;"-"&amp;TEXT(ROW()-5,"000"))</f>
        <v/>
      </c>
      <c r="B54" s="16"/>
      <c r="C54" s="6"/>
      <c r="D5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4" s="6"/>
      <c r="F54" s="18"/>
      <c r="G5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4" s="6"/>
      <c r="I54" s="6"/>
    </row>
    <row r="55" spans="1:9" x14ac:dyDescent="0.25">
      <c r="A55" s="4" t="str">
        <f>IF(tblAdjust[[#This Row],[วันที่]]="","","A"&amp;TEXT(tblAdjust[[#This Row],[วันที่]],"yymmdd")&amp;"-"&amp;TEXT(ROW()-5,"000"))</f>
        <v/>
      </c>
      <c r="B55" s="16"/>
      <c r="C55" s="6"/>
      <c r="D5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5" s="6"/>
      <c r="F55" s="18"/>
      <c r="G5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5" s="6"/>
      <c r="I55" s="6"/>
    </row>
    <row r="56" spans="1:9" x14ac:dyDescent="0.25">
      <c r="A56" s="4" t="str">
        <f>IF(tblAdjust[[#This Row],[วันที่]]="","","A"&amp;TEXT(tblAdjust[[#This Row],[วันที่]],"yymmdd")&amp;"-"&amp;TEXT(ROW()-5,"000"))</f>
        <v/>
      </c>
      <c r="B56" s="16"/>
      <c r="C56" s="6"/>
      <c r="D5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6" s="6"/>
      <c r="F56" s="18"/>
      <c r="G5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6" s="6"/>
      <c r="I56" s="6"/>
    </row>
    <row r="57" spans="1:9" x14ac:dyDescent="0.25">
      <c r="A57" s="4" t="str">
        <f>IF(tblAdjust[[#This Row],[วันที่]]="","","A"&amp;TEXT(tblAdjust[[#This Row],[วันที่]],"yymmdd")&amp;"-"&amp;TEXT(ROW()-5,"000"))</f>
        <v/>
      </c>
      <c r="B57" s="16"/>
      <c r="C57" s="6"/>
      <c r="D5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7" s="6"/>
      <c r="F57" s="18"/>
      <c r="G5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7" s="6"/>
      <c r="I57" s="6"/>
    </row>
    <row r="58" spans="1:9" x14ac:dyDescent="0.25">
      <c r="A58" s="4" t="str">
        <f>IF(tblAdjust[[#This Row],[วันที่]]="","","A"&amp;TEXT(tblAdjust[[#This Row],[วันที่]],"yymmdd")&amp;"-"&amp;TEXT(ROW()-5,"000"))</f>
        <v/>
      </c>
      <c r="B58" s="16"/>
      <c r="C58" s="6"/>
      <c r="D5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8" s="6"/>
      <c r="F58" s="18"/>
      <c r="G5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8" s="6"/>
      <c r="I58" s="6"/>
    </row>
    <row r="59" spans="1:9" x14ac:dyDescent="0.25">
      <c r="A59" s="4" t="str">
        <f>IF(tblAdjust[[#This Row],[วันที่]]="","","A"&amp;TEXT(tblAdjust[[#This Row],[วันที่]],"yymmdd")&amp;"-"&amp;TEXT(ROW()-5,"000"))</f>
        <v/>
      </c>
      <c r="B59" s="16"/>
      <c r="C59" s="6"/>
      <c r="D5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59" s="6"/>
      <c r="F59" s="18"/>
      <c r="G5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59" s="6"/>
      <c r="I59" s="6"/>
    </row>
    <row r="60" spans="1:9" x14ac:dyDescent="0.25">
      <c r="A60" s="4" t="str">
        <f>IF(tblAdjust[[#This Row],[วันที่]]="","","A"&amp;TEXT(tblAdjust[[#This Row],[วันที่]],"yymmdd")&amp;"-"&amp;TEXT(ROW()-5,"000"))</f>
        <v/>
      </c>
      <c r="B60" s="16"/>
      <c r="C60" s="6"/>
      <c r="D6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0" s="6"/>
      <c r="F60" s="18"/>
      <c r="G6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0" s="6"/>
      <c r="I60" s="6"/>
    </row>
    <row r="61" spans="1:9" x14ac:dyDescent="0.25">
      <c r="A61" s="4" t="str">
        <f>IF(tblAdjust[[#This Row],[วันที่]]="","","A"&amp;TEXT(tblAdjust[[#This Row],[วันที่]],"yymmdd")&amp;"-"&amp;TEXT(ROW()-5,"000"))</f>
        <v/>
      </c>
      <c r="B61" s="16"/>
      <c r="C61" s="6"/>
      <c r="D6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1" s="6"/>
      <c r="F61" s="18"/>
      <c r="G6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1" s="6"/>
      <c r="I61" s="6"/>
    </row>
    <row r="62" spans="1:9" x14ac:dyDescent="0.25">
      <c r="A62" s="4" t="str">
        <f>IF(tblAdjust[[#This Row],[วันที่]]="","","A"&amp;TEXT(tblAdjust[[#This Row],[วันที่]],"yymmdd")&amp;"-"&amp;TEXT(ROW()-5,"000"))</f>
        <v/>
      </c>
      <c r="B62" s="16"/>
      <c r="C62" s="6"/>
      <c r="D6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2" s="6"/>
      <c r="F62" s="18"/>
      <c r="G6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2" s="6"/>
      <c r="I62" s="6"/>
    </row>
    <row r="63" spans="1:9" x14ac:dyDescent="0.25">
      <c r="A63" s="4" t="str">
        <f>IF(tblAdjust[[#This Row],[วันที่]]="","","A"&amp;TEXT(tblAdjust[[#This Row],[วันที่]],"yymmdd")&amp;"-"&amp;TEXT(ROW()-5,"000"))</f>
        <v/>
      </c>
      <c r="B63" s="16"/>
      <c r="C63" s="6"/>
      <c r="D6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3" s="6"/>
      <c r="F63" s="18"/>
      <c r="G6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3" s="6"/>
      <c r="I63" s="6"/>
    </row>
    <row r="64" spans="1:9" x14ac:dyDescent="0.25">
      <c r="A64" s="4" t="str">
        <f>IF(tblAdjust[[#This Row],[วันที่]]="","","A"&amp;TEXT(tblAdjust[[#This Row],[วันที่]],"yymmdd")&amp;"-"&amp;TEXT(ROW()-5,"000"))</f>
        <v/>
      </c>
      <c r="B64" s="16"/>
      <c r="C64" s="6"/>
      <c r="D6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4" s="6"/>
      <c r="F64" s="18"/>
      <c r="G6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4" s="6"/>
      <c r="I64" s="6"/>
    </row>
    <row r="65" spans="1:9" x14ac:dyDescent="0.25">
      <c r="A65" s="4" t="str">
        <f>IF(tblAdjust[[#This Row],[วันที่]]="","","A"&amp;TEXT(tblAdjust[[#This Row],[วันที่]],"yymmdd")&amp;"-"&amp;TEXT(ROW()-5,"000"))</f>
        <v/>
      </c>
      <c r="B65" s="16"/>
      <c r="C65" s="6"/>
      <c r="D6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5" s="6"/>
      <c r="F65" s="18"/>
      <c r="G6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5" s="6"/>
      <c r="I65" s="6"/>
    </row>
    <row r="66" spans="1:9" x14ac:dyDescent="0.25">
      <c r="A66" s="4" t="str">
        <f>IF(tblAdjust[[#This Row],[วันที่]]="","","A"&amp;TEXT(tblAdjust[[#This Row],[วันที่]],"yymmdd")&amp;"-"&amp;TEXT(ROW()-5,"000"))</f>
        <v/>
      </c>
      <c r="B66" s="16"/>
      <c r="C66" s="6"/>
      <c r="D6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6" s="6"/>
      <c r="F66" s="18"/>
      <c r="G6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6" s="6"/>
      <c r="I66" s="6"/>
    </row>
    <row r="67" spans="1:9" x14ac:dyDescent="0.25">
      <c r="A67" s="4" t="str">
        <f>IF(tblAdjust[[#This Row],[วันที่]]="","","A"&amp;TEXT(tblAdjust[[#This Row],[วันที่]],"yymmdd")&amp;"-"&amp;TEXT(ROW()-5,"000"))</f>
        <v/>
      </c>
      <c r="B67" s="16"/>
      <c r="C67" s="6"/>
      <c r="D6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7" s="6"/>
      <c r="F67" s="18"/>
      <c r="G6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7" s="6"/>
      <c r="I67" s="6"/>
    </row>
    <row r="68" spans="1:9" x14ac:dyDescent="0.25">
      <c r="A68" s="4" t="str">
        <f>IF(tblAdjust[[#This Row],[วันที่]]="","","A"&amp;TEXT(tblAdjust[[#This Row],[วันที่]],"yymmdd")&amp;"-"&amp;TEXT(ROW()-5,"000"))</f>
        <v/>
      </c>
      <c r="B68" s="16"/>
      <c r="C68" s="6"/>
      <c r="D6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8" s="6"/>
      <c r="F68" s="18"/>
      <c r="G6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8" s="6"/>
      <c r="I68" s="6"/>
    </row>
    <row r="69" spans="1:9" x14ac:dyDescent="0.25">
      <c r="A69" s="4" t="str">
        <f>IF(tblAdjust[[#This Row],[วันที่]]="","","A"&amp;TEXT(tblAdjust[[#This Row],[วันที่]],"yymmdd")&amp;"-"&amp;TEXT(ROW()-5,"000"))</f>
        <v/>
      </c>
      <c r="B69" s="16"/>
      <c r="C69" s="6"/>
      <c r="D6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69" s="6"/>
      <c r="F69" s="18"/>
      <c r="G6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69" s="6"/>
      <c r="I69" s="6"/>
    </row>
    <row r="70" spans="1:9" x14ac:dyDescent="0.25">
      <c r="A70" s="4" t="str">
        <f>IF(tblAdjust[[#This Row],[วันที่]]="","","A"&amp;TEXT(tblAdjust[[#This Row],[วันที่]],"yymmdd")&amp;"-"&amp;TEXT(ROW()-5,"000"))</f>
        <v/>
      </c>
      <c r="B70" s="16"/>
      <c r="C70" s="6"/>
      <c r="D7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0" s="6"/>
      <c r="F70" s="18"/>
      <c r="G7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0" s="6"/>
      <c r="I70" s="6"/>
    </row>
    <row r="71" spans="1:9" x14ac:dyDescent="0.25">
      <c r="A71" s="4" t="str">
        <f>IF(tblAdjust[[#This Row],[วันที่]]="","","A"&amp;TEXT(tblAdjust[[#This Row],[วันที่]],"yymmdd")&amp;"-"&amp;TEXT(ROW()-5,"000"))</f>
        <v/>
      </c>
      <c r="B71" s="16"/>
      <c r="C71" s="6"/>
      <c r="D7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1" s="6"/>
      <c r="F71" s="18"/>
      <c r="G7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1" s="6"/>
      <c r="I71" s="6"/>
    </row>
    <row r="72" spans="1:9" x14ac:dyDescent="0.25">
      <c r="A72" s="4" t="str">
        <f>IF(tblAdjust[[#This Row],[วันที่]]="","","A"&amp;TEXT(tblAdjust[[#This Row],[วันที่]],"yymmdd")&amp;"-"&amp;TEXT(ROW()-5,"000"))</f>
        <v/>
      </c>
      <c r="B72" s="16"/>
      <c r="C72" s="6"/>
      <c r="D7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2" s="6"/>
      <c r="F72" s="18"/>
      <c r="G7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2" s="6"/>
      <c r="I72" s="6"/>
    </row>
    <row r="73" spans="1:9" x14ac:dyDescent="0.25">
      <c r="A73" s="4" t="str">
        <f>IF(tblAdjust[[#This Row],[วันที่]]="","","A"&amp;TEXT(tblAdjust[[#This Row],[วันที่]],"yymmdd")&amp;"-"&amp;TEXT(ROW()-5,"000"))</f>
        <v/>
      </c>
      <c r="B73" s="16"/>
      <c r="C73" s="6"/>
      <c r="D7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3" s="6"/>
      <c r="F73" s="18"/>
      <c r="G7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3" s="6"/>
      <c r="I73" s="6"/>
    </row>
    <row r="74" spans="1:9" x14ac:dyDescent="0.25">
      <c r="A74" s="4" t="str">
        <f>IF(tblAdjust[[#This Row],[วันที่]]="","","A"&amp;TEXT(tblAdjust[[#This Row],[วันที่]],"yymmdd")&amp;"-"&amp;TEXT(ROW()-5,"000"))</f>
        <v/>
      </c>
      <c r="B74" s="16"/>
      <c r="C74" s="6"/>
      <c r="D7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4" s="6"/>
      <c r="F74" s="18"/>
      <c r="G7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4" s="6"/>
      <c r="I74" s="6"/>
    </row>
    <row r="75" spans="1:9" x14ac:dyDescent="0.25">
      <c r="A75" s="4" t="str">
        <f>IF(tblAdjust[[#This Row],[วันที่]]="","","A"&amp;TEXT(tblAdjust[[#This Row],[วันที่]],"yymmdd")&amp;"-"&amp;TEXT(ROW()-5,"000"))</f>
        <v/>
      </c>
      <c r="B75" s="16"/>
      <c r="C75" s="6"/>
      <c r="D7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5" s="6"/>
      <c r="F75" s="18"/>
      <c r="G7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5" s="6"/>
      <c r="I75" s="6"/>
    </row>
    <row r="76" spans="1:9" x14ac:dyDescent="0.25">
      <c r="A76" s="4" t="str">
        <f>IF(tblAdjust[[#This Row],[วันที่]]="","","A"&amp;TEXT(tblAdjust[[#This Row],[วันที่]],"yymmdd")&amp;"-"&amp;TEXT(ROW()-5,"000"))</f>
        <v/>
      </c>
      <c r="B76" s="16"/>
      <c r="C76" s="6"/>
      <c r="D7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6" s="6"/>
      <c r="F76" s="18"/>
      <c r="G7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6" s="6"/>
      <c r="I76" s="6"/>
    </row>
    <row r="77" spans="1:9" x14ac:dyDescent="0.25">
      <c r="A77" s="4" t="str">
        <f>IF(tblAdjust[[#This Row],[วันที่]]="","","A"&amp;TEXT(tblAdjust[[#This Row],[วันที่]],"yymmdd")&amp;"-"&amp;TEXT(ROW()-5,"000"))</f>
        <v/>
      </c>
      <c r="B77" s="16"/>
      <c r="C77" s="6"/>
      <c r="D7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7" s="6"/>
      <c r="F77" s="18"/>
      <c r="G7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7" s="6"/>
      <c r="I77" s="6"/>
    </row>
    <row r="78" spans="1:9" x14ac:dyDescent="0.25">
      <c r="A78" s="4" t="str">
        <f>IF(tblAdjust[[#This Row],[วันที่]]="","","A"&amp;TEXT(tblAdjust[[#This Row],[วันที่]],"yymmdd")&amp;"-"&amp;TEXT(ROW()-5,"000"))</f>
        <v/>
      </c>
      <c r="B78" s="16"/>
      <c r="C78" s="6"/>
      <c r="D7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8" s="6"/>
      <c r="F78" s="18"/>
      <c r="G7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8" s="6"/>
      <c r="I78" s="6"/>
    </row>
    <row r="79" spans="1:9" x14ac:dyDescent="0.25">
      <c r="A79" s="4" t="str">
        <f>IF(tblAdjust[[#This Row],[วันที่]]="","","A"&amp;TEXT(tblAdjust[[#This Row],[วันที่]],"yymmdd")&amp;"-"&amp;TEXT(ROW()-5,"000"))</f>
        <v/>
      </c>
      <c r="B79" s="16"/>
      <c r="C79" s="6"/>
      <c r="D7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79" s="6"/>
      <c r="F79" s="18"/>
      <c r="G7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79" s="6"/>
      <c r="I79" s="6"/>
    </row>
    <row r="80" spans="1:9" x14ac:dyDescent="0.25">
      <c r="A80" s="4" t="str">
        <f>IF(tblAdjust[[#This Row],[วันที่]]="","","A"&amp;TEXT(tblAdjust[[#This Row],[วันที่]],"yymmdd")&amp;"-"&amp;TEXT(ROW()-5,"000"))</f>
        <v/>
      </c>
      <c r="B80" s="16"/>
      <c r="C80" s="6"/>
      <c r="D8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0" s="6"/>
      <c r="F80" s="18"/>
      <c r="G8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0" s="6"/>
      <c r="I80" s="6"/>
    </row>
    <row r="81" spans="1:9" x14ac:dyDescent="0.25">
      <c r="A81" s="4" t="str">
        <f>IF(tblAdjust[[#This Row],[วันที่]]="","","A"&amp;TEXT(tblAdjust[[#This Row],[วันที่]],"yymmdd")&amp;"-"&amp;TEXT(ROW()-5,"000"))</f>
        <v/>
      </c>
      <c r="B81" s="16"/>
      <c r="C81" s="6"/>
      <c r="D8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1" s="6"/>
      <c r="F81" s="18"/>
      <c r="G8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1" s="6"/>
      <c r="I81" s="6"/>
    </row>
    <row r="82" spans="1:9" x14ac:dyDescent="0.25">
      <c r="A82" s="4" t="str">
        <f>IF(tblAdjust[[#This Row],[วันที่]]="","","A"&amp;TEXT(tblAdjust[[#This Row],[วันที่]],"yymmdd")&amp;"-"&amp;TEXT(ROW()-5,"000"))</f>
        <v/>
      </c>
      <c r="B82" s="16"/>
      <c r="C82" s="6"/>
      <c r="D8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2" s="6"/>
      <c r="F82" s="18"/>
      <c r="G8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2" s="6"/>
      <c r="I82" s="6"/>
    </row>
    <row r="83" spans="1:9" x14ac:dyDescent="0.25">
      <c r="A83" s="4" t="str">
        <f>IF(tblAdjust[[#This Row],[วันที่]]="","","A"&amp;TEXT(tblAdjust[[#This Row],[วันที่]],"yymmdd")&amp;"-"&amp;TEXT(ROW()-5,"000"))</f>
        <v/>
      </c>
      <c r="B83" s="16"/>
      <c r="C83" s="6"/>
      <c r="D8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3" s="6"/>
      <c r="F83" s="18"/>
      <c r="G8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3" s="6"/>
      <c r="I83" s="6"/>
    </row>
    <row r="84" spans="1:9" x14ac:dyDescent="0.25">
      <c r="A84" s="4" t="str">
        <f>IF(tblAdjust[[#This Row],[วันที่]]="","","A"&amp;TEXT(tblAdjust[[#This Row],[วันที่]],"yymmdd")&amp;"-"&amp;TEXT(ROW()-5,"000"))</f>
        <v/>
      </c>
      <c r="B84" s="16"/>
      <c r="C84" s="6"/>
      <c r="D8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4" s="6"/>
      <c r="F84" s="18"/>
      <c r="G8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4" s="6"/>
      <c r="I84" s="6"/>
    </row>
    <row r="85" spans="1:9" x14ac:dyDescent="0.25">
      <c r="A85" s="4" t="str">
        <f>IF(tblAdjust[[#This Row],[วันที่]]="","","A"&amp;TEXT(tblAdjust[[#This Row],[วันที่]],"yymmdd")&amp;"-"&amp;TEXT(ROW()-5,"000"))</f>
        <v/>
      </c>
      <c r="B85" s="16"/>
      <c r="C85" s="6"/>
      <c r="D8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5" s="6"/>
      <c r="F85" s="18"/>
      <c r="G8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5" s="6"/>
      <c r="I85" s="6"/>
    </row>
    <row r="86" spans="1:9" x14ac:dyDescent="0.25">
      <c r="A86" s="4" t="str">
        <f>IF(tblAdjust[[#This Row],[วันที่]]="","","A"&amp;TEXT(tblAdjust[[#This Row],[วันที่]],"yymmdd")&amp;"-"&amp;TEXT(ROW()-5,"000"))</f>
        <v/>
      </c>
      <c r="B86" s="16"/>
      <c r="C86" s="6"/>
      <c r="D8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6" s="6"/>
      <c r="F86" s="18"/>
      <c r="G8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6" s="6"/>
      <c r="I86" s="6"/>
    </row>
    <row r="87" spans="1:9" x14ac:dyDescent="0.25">
      <c r="A87" s="4" t="str">
        <f>IF(tblAdjust[[#This Row],[วันที่]]="","","A"&amp;TEXT(tblAdjust[[#This Row],[วันที่]],"yymmdd")&amp;"-"&amp;TEXT(ROW()-5,"000"))</f>
        <v/>
      </c>
      <c r="B87" s="16"/>
      <c r="C87" s="6"/>
      <c r="D8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7" s="6"/>
      <c r="F87" s="18"/>
      <c r="G8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7" s="6"/>
      <c r="I87" s="6"/>
    </row>
    <row r="88" spans="1:9" x14ac:dyDescent="0.25">
      <c r="A88" s="4" t="str">
        <f>IF(tblAdjust[[#This Row],[วันที่]]="","","A"&amp;TEXT(tblAdjust[[#This Row],[วันที่]],"yymmdd")&amp;"-"&amp;TEXT(ROW()-5,"000"))</f>
        <v/>
      </c>
      <c r="B88" s="16"/>
      <c r="C88" s="6"/>
      <c r="D8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8" s="6"/>
      <c r="F88" s="18"/>
      <c r="G8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8" s="6"/>
      <c r="I88" s="6"/>
    </row>
    <row r="89" spans="1:9" x14ac:dyDescent="0.25">
      <c r="A89" s="4" t="str">
        <f>IF(tblAdjust[[#This Row],[วันที่]]="","","A"&amp;TEXT(tblAdjust[[#This Row],[วันที่]],"yymmdd")&amp;"-"&amp;TEXT(ROW()-5,"000"))</f>
        <v/>
      </c>
      <c r="B89" s="16"/>
      <c r="C89" s="6"/>
      <c r="D8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89" s="6"/>
      <c r="F89" s="18"/>
      <c r="G8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89" s="6"/>
      <c r="I89" s="6"/>
    </row>
    <row r="90" spans="1:9" x14ac:dyDescent="0.25">
      <c r="A90" s="4" t="str">
        <f>IF(tblAdjust[[#This Row],[วันที่]]="","","A"&amp;TEXT(tblAdjust[[#This Row],[วันที่]],"yymmdd")&amp;"-"&amp;TEXT(ROW()-5,"000"))</f>
        <v/>
      </c>
      <c r="B90" s="16"/>
      <c r="C90" s="6"/>
      <c r="D9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0" s="6"/>
      <c r="F90" s="18"/>
      <c r="G9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0" s="6"/>
      <c r="I90" s="6"/>
    </row>
    <row r="91" spans="1:9" x14ac:dyDescent="0.25">
      <c r="A91" s="4" t="str">
        <f>IF(tblAdjust[[#This Row],[วันที่]]="","","A"&amp;TEXT(tblAdjust[[#This Row],[วันที่]],"yymmdd")&amp;"-"&amp;TEXT(ROW()-5,"000"))</f>
        <v/>
      </c>
      <c r="B91" s="16"/>
      <c r="C91" s="6"/>
      <c r="D9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1" s="6"/>
      <c r="F91" s="18"/>
      <c r="G9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1" s="6"/>
      <c r="I91" s="6"/>
    </row>
    <row r="92" spans="1:9" x14ac:dyDescent="0.25">
      <c r="A92" s="4" t="str">
        <f>IF(tblAdjust[[#This Row],[วันที่]]="","","A"&amp;TEXT(tblAdjust[[#This Row],[วันที่]],"yymmdd")&amp;"-"&amp;TEXT(ROW()-5,"000"))</f>
        <v/>
      </c>
      <c r="B92" s="16"/>
      <c r="C92" s="6"/>
      <c r="D9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2" s="6"/>
      <c r="F92" s="18"/>
      <c r="G9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2" s="6"/>
      <c r="I92" s="6"/>
    </row>
    <row r="93" spans="1:9" x14ac:dyDescent="0.25">
      <c r="A93" s="4" t="str">
        <f>IF(tblAdjust[[#This Row],[วันที่]]="","","A"&amp;TEXT(tblAdjust[[#This Row],[วันที่]],"yymmdd")&amp;"-"&amp;TEXT(ROW()-5,"000"))</f>
        <v/>
      </c>
      <c r="B93" s="16"/>
      <c r="C93" s="6"/>
      <c r="D9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3" s="6"/>
      <c r="F93" s="18"/>
      <c r="G9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3" s="6"/>
      <c r="I93" s="6"/>
    </row>
    <row r="94" spans="1:9" x14ac:dyDescent="0.25">
      <c r="A94" s="4" t="str">
        <f>IF(tblAdjust[[#This Row],[วันที่]]="","","A"&amp;TEXT(tblAdjust[[#This Row],[วันที่]],"yymmdd")&amp;"-"&amp;TEXT(ROW()-5,"000"))</f>
        <v/>
      </c>
      <c r="B94" s="16"/>
      <c r="C94" s="6"/>
      <c r="D9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4" s="6"/>
      <c r="F94" s="18"/>
      <c r="G9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4" s="6"/>
      <c r="I94" s="6"/>
    </row>
    <row r="95" spans="1:9" x14ac:dyDescent="0.25">
      <c r="A95" s="4" t="str">
        <f>IF(tblAdjust[[#This Row],[วันที่]]="","","A"&amp;TEXT(tblAdjust[[#This Row],[วันที่]],"yymmdd")&amp;"-"&amp;TEXT(ROW()-5,"000"))</f>
        <v/>
      </c>
      <c r="B95" s="16"/>
      <c r="C95" s="6"/>
      <c r="D9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5" s="6"/>
      <c r="F95" s="18"/>
      <c r="G9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5" s="6"/>
      <c r="I95" s="6"/>
    </row>
    <row r="96" spans="1:9" x14ac:dyDescent="0.25">
      <c r="A96" s="4" t="str">
        <f>IF(tblAdjust[[#This Row],[วันที่]]="","","A"&amp;TEXT(tblAdjust[[#This Row],[วันที่]],"yymmdd")&amp;"-"&amp;TEXT(ROW()-5,"000"))</f>
        <v/>
      </c>
      <c r="B96" s="16"/>
      <c r="C96" s="6"/>
      <c r="D9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6" s="6"/>
      <c r="F96" s="18"/>
      <c r="G9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6" s="6"/>
      <c r="I96" s="6"/>
    </row>
    <row r="97" spans="1:9" x14ac:dyDescent="0.25">
      <c r="A97" s="4" t="str">
        <f>IF(tblAdjust[[#This Row],[วันที่]]="","","A"&amp;TEXT(tblAdjust[[#This Row],[วันที่]],"yymmdd")&amp;"-"&amp;TEXT(ROW()-5,"000"))</f>
        <v/>
      </c>
      <c r="B97" s="16"/>
      <c r="C97" s="6"/>
      <c r="D9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7" s="6"/>
      <c r="F97" s="18"/>
      <c r="G9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7" s="6"/>
      <c r="I97" s="6"/>
    </row>
    <row r="98" spans="1:9" x14ac:dyDescent="0.25">
      <c r="A98" s="4" t="str">
        <f>IF(tblAdjust[[#This Row],[วันที่]]="","","A"&amp;TEXT(tblAdjust[[#This Row],[วันที่]],"yymmdd")&amp;"-"&amp;TEXT(ROW()-5,"000"))</f>
        <v/>
      </c>
      <c r="B98" s="16"/>
      <c r="C98" s="6"/>
      <c r="D9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8" s="6"/>
      <c r="F98" s="18"/>
      <c r="G9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8" s="6"/>
      <c r="I98" s="6"/>
    </row>
    <row r="99" spans="1:9" x14ac:dyDescent="0.25">
      <c r="A99" s="4" t="str">
        <f>IF(tblAdjust[[#This Row],[วันที่]]="","","A"&amp;TEXT(tblAdjust[[#This Row],[วันที่]],"yymmdd")&amp;"-"&amp;TEXT(ROW()-5,"000"))</f>
        <v/>
      </c>
      <c r="B99" s="16"/>
      <c r="C99" s="6"/>
      <c r="D9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99" s="6"/>
      <c r="F99" s="18"/>
      <c r="G9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99" s="6"/>
      <c r="I99" s="6"/>
    </row>
    <row r="100" spans="1:9" x14ac:dyDescent="0.25">
      <c r="A100" s="4" t="str">
        <f>IF(tblAdjust[[#This Row],[วันที่]]="","","A"&amp;TEXT(tblAdjust[[#This Row],[วันที่]],"yymmdd")&amp;"-"&amp;TEXT(ROW()-5,"000"))</f>
        <v/>
      </c>
      <c r="B100" s="16"/>
      <c r="C100" s="6"/>
      <c r="D10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0" s="6"/>
      <c r="F100" s="18"/>
      <c r="G10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0" s="6"/>
      <c r="I100" s="6"/>
    </row>
    <row r="101" spans="1:9" x14ac:dyDescent="0.25">
      <c r="A101" s="4" t="str">
        <f>IF(tblAdjust[[#This Row],[วันที่]]="","","A"&amp;TEXT(tblAdjust[[#This Row],[วันที่]],"yymmdd")&amp;"-"&amp;TEXT(ROW()-5,"000"))</f>
        <v/>
      </c>
      <c r="B101" s="16"/>
      <c r="C101" s="6"/>
      <c r="D10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1" s="6"/>
      <c r="F101" s="18"/>
      <c r="G10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1" s="6"/>
      <c r="I101" s="6"/>
    </row>
    <row r="102" spans="1:9" x14ac:dyDescent="0.25">
      <c r="A102" s="4" t="str">
        <f>IF(tblAdjust[[#This Row],[วันที่]]="","","A"&amp;TEXT(tblAdjust[[#This Row],[วันที่]],"yymmdd")&amp;"-"&amp;TEXT(ROW()-5,"000"))</f>
        <v/>
      </c>
      <c r="B102" s="16"/>
      <c r="C102" s="6"/>
      <c r="D10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2" s="6"/>
      <c r="F102" s="18"/>
      <c r="G10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2" s="6"/>
      <c r="I102" s="6"/>
    </row>
    <row r="103" spans="1:9" x14ac:dyDescent="0.25">
      <c r="A103" s="4" t="str">
        <f>IF(tblAdjust[[#This Row],[วันที่]]="","","A"&amp;TEXT(tblAdjust[[#This Row],[วันที่]],"yymmdd")&amp;"-"&amp;TEXT(ROW()-5,"000"))</f>
        <v/>
      </c>
      <c r="B103" s="16"/>
      <c r="C103" s="6"/>
      <c r="D10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3" s="6"/>
      <c r="F103" s="18"/>
      <c r="G10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3" s="6"/>
      <c r="I103" s="6"/>
    </row>
    <row r="104" spans="1:9" x14ac:dyDescent="0.25">
      <c r="A104" s="4" t="str">
        <f>IF(tblAdjust[[#This Row],[วันที่]]="","","A"&amp;TEXT(tblAdjust[[#This Row],[วันที่]],"yymmdd")&amp;"-"&amp;TEXT(ROW()-5,"000"))</f>
        <v/>
      </c>
      <c r="B104" s="16"/>
      <c r="C104" s="6"/>
      <c r="D10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4" s="6"/>
      <c r="F104" s="18"/>
      <c r="G10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4" s="6"/>
      <c r="I104" s="6"/>
    </row>
    <row r="105" spans="1:9" x14ac:dyDescent="0.25">
      <c r="A105" s="4" t="str">
        <f>IF(tblAdjust[[#This Row],[วันที่]]="","","A"&amp;TEXT(tblAdjust[[#This Row],[วันที่]],"yymmdd")&amp;"-"&amp;TEXT(ROW()-5,"000"))</f>
        <v/>
      </c>
      <c r="B105" s="16"/>
      <c r="C105" s="6"/>
      <c r="D10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5" s="6"/>
      <c r="F105" s="18"/>
      <c r="G10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5" s="6"/>
      <c r="I105" s="6"/>
    </row>
    <row r="106" spans="1:9" x14ac:dyDescent="0.25">
      <c r="A106" s="4" t="str">
        <f>IF(tblAdjust[[#This Row],[วันที่]]="","","A"&amp;TEXT(tblAdjust[[#This Row],[วันที่]],"yymmdd")&amp;"-"&amp;TEXT(ROW()-5,"000"))</f>
        <v/>
      </c>
      <c r="B106" s="16"/>
      <c r="C106" s="6"/>
      <c r="D10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6" s="6"/>
      <c r="F106" s="18"/>
      <c r="G10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6" s="6"/>
      <c r="I106" s="6"/>
    </row>
    <row r="107" spans="1:9" x14ac:dyDescent="0.25">
      <c r="A107" s="4" t="str">
        <f>IF(tblAdjust[[#This Row],[วันที่]]="","","A"&amp;TEXT(tblAdjust[[#This Row],[วันที่]],"yymmdd")&amp;"-"&amp;TEXT(ROW()-5,"000"))</f>
        <v/>
      </c>
      <c r="B107" s="16"/>
      <c r="C107" s="6"/>
      <c r="D10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7" s="6"/>
      <c r="F107" s="18"/>
      <c r="G10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7" s="6"/>
      <c r="I107" s="6"/>
    </row>
    <row r="108" spans="1:9" x14ac:dyDescent="0.25">
      <c r="A108" s="4" t="str">
        <f>IF(tblAdjust[[#This Row],[วันที่]]="","","A"&amp;TEXT(tblAdjust[[#This Row],[วันที่]],"yymmdd")&amp;"-"&amp;TEXT(ROW()-5,"000"))</f>
        <v/>
      </c>
      <c r="B108" s="16"/>
      <c r="C108" s="6"/>
      <c r="D10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8" s="6"/>
      <c r="F108" s="18"/>
      <c r="G10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8" s="6"/>
      <c r="I108" s="6"/>
    </row>
    <row r="109" spans="1:9" x14ac:dyDescent="0.25">
      <c r="A109" s="4" t="str">
        <f>IF(tblAdjust[[#This Row],[วันที่]]="","","A"&amp;TEXT(tblAdjust[[#This Row],[วันที่]],"yymmdd")&amp;"-"&amp;TEXT(ROW()-5,"000"))</f>
        <v/>
      </c>
      <c r="B109" s="16"/>
      <c r="C109" s="6"/>
      <c r="D10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09" s="6"/>
      <c r="F109" s="18"/>
      <c r="G10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09" s="6"/>
      <c r="I109" s="6"/>
    </row>
    <row r="110" spans="1:9" x14ac:dyDescent="0.25">
      <c r="A110" s="4" t="str">
        <f>IF(tblAdjust[[#This Row],[วันที่]]="","","A"&amp;TEXT(tblAdjust[[#This Row],[วันที่]],"yymmdd")&amp;"-"&amp;TEXT(ROW()-5,"000"))</f>
        <v/>
      </c>
      <c r="B110" s="16"/>
      <c r="C110" s="6"/>
      <c r="D11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0" s="6"/>
      <c r="F110" s="18"/>
      <c r="G11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0" s="6"/>
      <c r="I110" s="6"/>
    </row>
    <row r="111" spans="1:9" x14ac:dyDescent="0.25">
      <c r="A111" s="4" t="str">
        <f>IF(tblAdjust[[#This Row],[วันที่]]="","","A"&amp;TEXT(tblAdjust[[#This Row],[วันที่]],"yymmdd")&amp;"-"&amp;TEXT(ROW()-5,"000"))</f>
        <v/>
      </c>
      <c r="B111" s="16"/>
      <c r="C111" s="6"/>
      <c r="D11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1" s="6"/>
      <c r="F111" s="18"/>
      <c r="G11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1" s="6"/>
      <c r="I111" s="6"/>
    </row>
    <row r="112" spans="1:9" x14ac:dyDescent="0.25">
      <c r="A112" s="4" t="str">
        <f>IF(tblAdjust[[#This Row],[วันที่]]="","","A"&amp;TEXT(tblAdjust[[#This Row],[วันที่]],"yymmdd")&amp;"-"&amp;TEXT(ROW()-5,"000"))</f>
        <v/>
      </c>
      <c r="B112" s="16"/>
      <c r="C112" s="6"/>
      <c r="D11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2" s="6"/>
      <c r="F112" s="18"/>
      <c r="G11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2" s="6"/>
      <c r="I112" s="6"/>
    </row>
    <row r="113" spans="1:9" x14ac:dyDescent="0.25">
      <c r="A113" s="4" t="str">
        <f>IF(tblAdjust[[#This Row],[วันที่]]="","","A"&amp;TEXT(tblAdjust[[#This Row],[วันที่]],"yymmdd")&amp;"-"&amp;TEXT(ROW()-5,"000"))</f>
        <v/>
      </c>
      <c r="B113" s="16"/>
      <c r="C113" s="6"/>
      <c r="D11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3" s="6"/>
      <c r="F113" s="18"/>
      <c r="G11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3" s="6"/>
      <c r="I113" s="6"/>
    </row>
    <row r="114" spans="1:9" x14ac:dyDescent="0.25">
      <c r="A114" s="4" t="str">
        <f>IF(tblAdjust[[#This Row],[วันที่]]="","","A"&amp;TEXT(tblAdjust[[#This Row],[วันที่]],"yymmdd")&amp;"-"&amp;TEXT(ROW()-5,"000"))</f>
        <v/>
      </c>
      <c r="B114" s="16"/>
      <c r="C114" s="6"/>
      <c r="D11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4" s="6"/>
      <c r="F114" s="18"/>
      <c r="G11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4" s="6"/>
      <c r="I114" s="6"/>
    </row>
    <row r="115" spans="1:9" x14ac:dyDescent="0.25">
      <c r="A115" s="4" t="str">
        <f>IF(tblAdjust[[#This Row],[วันที่]]="","","A"&amp;TEXT(tblAdjust[[#This Row],[วันที่]],"yymmdd")&amp;"-"&amp;TEXT(ROW()-5,"000"))</f>
        <v/>
      </c>
      <c r="B115" s="16"/>
      <c r="C115" s="6"/>
      <c r="D11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5" s="6"/>
      <c r="F115" s="18"/>
      <c r="G11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5" s="6"/>
      <c r="I115" s="6"/>
    </row>
    <row r="116" spans="1:9" x14ac:dyDescent="0.25">
      <c r="A116" s="4" t="str">
        <f>IF(tblAdjust[[#This Row],[วันที่]]="","","A"&amp;TEXT(tblAdjust[[#This Row],[วันที่]],"yymmdd")&amp;"-"&amp;TEXT(ROW()-5,"000"))</f>
        <v/>
      </c>
      <c r="B116" s="16"/>
      <c r="C116" s="6"/>
      <c r="D11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6" s="6"/>
      <c r="F116" s="18"/>
      <c r="G11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6" s="6"/>
      <c r="I116" s="6"/>
    </row>
    <row r="117" spans="1:9" x14ac:dyDescent="0.25">
      <c r="A117" s="4" t="str">
        <f>IF(tblAdjust[[#This Row],[วันที่]]="","","A"&amp;TEXT(tblAdjust[[#This Row],[วันที่]],"yymmdd")&amp;"-"&amp;TEXT(ROW()-5,"000"))</f>
        <v/>
      </c>
      <c r="B117" s="16"/>
      <c r="C117" s="6"/>
      <c r="D11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7" s="6"/>
      <c r="F117" s="18"/>
      <c r="G11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7" s="6"/>
      <c r="I117" s="6"/>
    </row>
    <row r="118" spans="1:9" x14ac:dyDescent="0.25">
      <c r="A118" s="4" t="str">
        <f>IF(tblAdjust[[#This Row],[วันที่]]="","","A"&amp;TEXT(tblAdjust[[#This Row],[วันที่]],"yymmdd")&amp;"-"&amp;TEXT(ROW()-5,"000"))</f>
        <v/>
      </c>
      <c r="B118" s="16"/>
      <c r="C118" s="6"/>
      <c r="D11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8" s="6"/>
      <c r="F118" s="18"/>
      <c r="G11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8" s="6"/>
      <c r="I118" s="6"/>
    </row>
    <row r="119" spans="1:9" x14ac:dyDescent="0.25">
      <c r="A119" s="4" t="str">
        <f>IF(tblAdjust[[#This Row],[วันที่]]="","","A"&amp;TEXT(tblAdjust[[#This Row],[วันที่]],"yymmdd")&amp;"-"&amp;TEXT(ROW()-5,"000"))</f>
        <v/>
      </c>
      <c r="B119" s="16"/>
      <c r="C119" s="6"/>
      <c r="D11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19" s="6"/>
      <c r="F119" s="18"/>
      <c r="G11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19" s="6"/>
      <c r="I119" s="6"/>
    </row>
    <row r="120" spans="1:9" x14ac:dyDescent="0.25">
      <c r="A120" s="4" t="str">
        <f>IF(tblAdjust[[#This Row],[วันที่]]="","","A"&amp;TEXT(tblAdjust[[#This Row],[วันที่]],"yymmdd")&amp;"-"&amp;TEXT(ROW()-5,"000"))</f>
        <v/>
      </c>
      <c r="B120" s="16"/>
      <c r="C120" s="6"/>
      <c r="D12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0" s="6"/>
      <c r="F120" s="18"/>
      <c r="G12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0" s="6"/>
      <c r="I120" s="6"/>
    </row>
    <row r="121" spans="1:9" x14ac:dyDescent="0.25">
      <c r="A121" s="4" t="str">
        <f>IF(tblAdjust[[#This Row],[วันที่]]="","","A"&amp;TEXT(tblAdjust[[#This Row],[วันที่]],"yymmdd")&amp;"-"&amp;TEXT(ROW()-5,"000"))</f>
        <v/>
      </c>
      <c r="B121" s="16"/>
      <c r="C121" s="6"/>
      <c r="D12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1" s="6"/>
      <c r="F121" s="18"/>
      <c r="G12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1" s="6"/>
      <c r="I121" s="6"/>
    </row>
    <row r="122" spans="1:9" x14ac:dyDescent="0.25">
      <c r="A122" s="4" t="str">
        <f>IF(tblAdjust[[#This Row],[วันที่]]="","","A"&amp;TEXT(tblAdjust[[#This Row],[วันที่]],"yymmdd")&amp;"-"&amp;TEXT(ROW()-5,"000"))</f>
        <v/>
      </c>
      <c r="B122" s="16"/>
      <c r="C122" s="6"/>
      <c r="D12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2" s="6"/>
      <c r="F122" s="18"/>
      <c r="G12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2" s="6"/>
      <c r="I122" s="6"/>
    </row>
    <row r="123" spans="1:9" x14ac:dyDescent="0.25">
      <c r="A123" s="4" t="str">
        <f>IF(tblAdjust[[#This Row],[วันที่]]="","","A"&amp;TEXT(tblAdjust[[#This Row],[วันที่]],"yymmdd")&amp;"-"&amp;TEXT(ROW()-5,"000"))</f>
        <v/>
      </c>
      <c r="B123" s="16"/>
      <c r="C123" s="6"/>
      <c r="D12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3" s="6"/>
      <c r="F123" s="18"/>
      <c r="G12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3" s="6"/>
      <c r="I123" s="6"/>
    </row>
    <row r="124" spans="1:9" x14ac:dyDescent="0.25">
      <c r="A124" s="4" t="str">
        <f>IF(tblAdjust[[#This Row],[วันที่]]="","","A"&amp;TEXT(tblAdjust[[#This Row],[วันที่]],"yymmdd")&amp;"-"&amp;TEXT(ROW()-5,"000"))</f>
        <v/>
      </c>
      <c r="B124" s="16"/>
      <c r="C124" s="6"/>
      <c r="D12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4" s="6"/>
      <c r="F124" s="18"/>
      <c r="G12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4" s="6"/>
      <c r="I124" s="6"/>
    </row>
    <row r="125" spans="1:9" x14ac:dyDescent="0.25">
      <c r="A125" s="4" t="str">
        <f>IF(tblAdjust[[#This Row],[วันที่]]="","","A"&amp;TEXT(tblAdjust[[#This Row],[วันที่]],"yymmdd")&amp;"-"&amp;TEXT(ROW()-5,"000"))</f>
        <v/>
      </c>
      <c r="B125" s="16"/>
      <c r="C125" s="6"/>
      <c r="D12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5" s="6"/>
      <c r="F125" s="18"/>
      <c r="G12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5" s="6"/>
      <c r="I125" s="6"/>
    </row>
    <row r="126" spans="1:9" x14ac:dyDescent="0.25">
      <c r="A126" s="4" t="str">
        <f>IF(tblAdjust[[#This Row],[วันที่]]="","","A"&amp;TEXT(tblAdjust[[#This Row],[วันที่]],"yymmdd")&amp;"-"&amp;TEXT(ROW()-5,"000"))</f>
        <v/>
      </c>
      <c r="B126" s="16"/>
      <c r="C126" s="6"/>
      <c r="D12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6" s="6"/>
      <c r="F126" s="18"/>
      <c r="G12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6" s="6"/>
      <c r="I126" s="6"/>
    </row>
    <row r="127" spans="1:9" x14ac:dyDescent="0.25">
      <c r="A127" s="4" t="str">
        <f>IF(tblAdjust[[#This Row],[วันที่]]="","","A"&amp;TEXT(tblAdjust[[#This Row],[วันที่]],"yymmdd")&amp;"-"&amp;TEXT(ROW()-5,"000"))</f>
        <v/>
      </c>
      <c r="B127" s="16"/>
      <c r="C127" s="6"/>
      <c r="D12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7" s="6"/>
      <c r="F127" s="18"/>
      <c r="G12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7" s="6"/>
      <c r="I127" s="6"/>
    </row>
    <row r="128" spans="1:9" x14ac:dyDescent="0.25">
      <c r="A128" s="4" t="str">
        <f>IF(tblAdjust[[#This Row],[วันที่]]="","","A"&amp;TEXT(tblAdjust[[#This Row],[วันที่]],"yymmdd")&amp;"-"&amp;TEXT(ROW()-5,"000"))</f>
        <v/>
      </c>
      <c r="B128" s="16"/>
      <c r="C128" s="6"/>
      <c r="D12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8" s="6"/>
      <c r="F128" s="18"/>
      <c r="G12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8" s="6"/>
      <c r="I128" s="6"/>
    </row>
    <row r="129" spans="1:9" x14ac:dyDescent="0.25">
      <c r="A129" s="4" t="str">
        <f>IF(tblAdjust[[#This Row],[วันที่]]="","","A"&amp;TEXT(tblAdjust[[#This Row],[วันที่]],"yymmdd")&amp;"-"&amp;TEXT(ROW()-5,"000"))</f>
        <v/>
      </c>
      <c r="B129" s="16"/>
      <c r="C129" s="6"/>
      <c r="D12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29" s="6"/>
      <c r="F129" s="18"/>
      <c r="G12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29" s="6"/>
      <c r="I129" s="6"/>
    </row>
    <row r="130" spans="1:9" x14ac:dyDescent="0.25">
      <c r="A130" s="4" t="str">
        <f>IF(tblAdjust[[#This Row],[วันที่]]="","","A"&amp;TEXT(tblAdjust[[#This Row],[วันที่]],"yymmdd")&amp;"-"&amp;TEXT(ROW()-5,"000"))</f>
        <v/>
      </c>
      <c r="B130" s="16"/>
      <c r="C130" s="6"/>
      <c r="D13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0" s="6"/>
      <c r="F130" s="18"/>
      <c r="G13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0" s="6"/>
      <c r="I130" s="6"/>
    </row>
    <row r="131" spans="1:9" x14ac:dyDescent="0.25">
      <c r="A131" s="4" t="str">
        <f>IF(tblAdjust[[#This Row],[วันที่]]="","","A"&amp;TEXT(tblAdjust[[#This Row],[วันที่]],"yymmdd")&amp;"-"&amp;TEXT(ROW()-5,"000"))</f>
        <v/>
      </c>
      <c r="B131" s="16"/>
      <c r="C131" s="6"/>
      <c r="D13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1" s="6"/>
      <c r="F131" s="18"/>
      <c r="G13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1" s="6"/>
      <c r="I131" s="6"/>
    </row>
    <row r="132" spans="1:9" x14ac:dyDescent="0.25">
      <c r="A132" s="4" t="str">
        <f>IF(tblAdjust[[#This Row],[วันที่]]="","","A"&amp;TEXT(tblAdjust[[#This Row],[วันที่]],"yymmdd")&amp;"-"&amp;TEXT(ROW()-5,"000"))</f>
        <v/>
      </c>
      <c r="B132" s="16"/>
      <c r="C132" s="6"/>
      <c r="D13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2" s="6"/>
      <c r="F132" s="18"/>
      <c r="G13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2" s="6"/>
      <c r="I132" s="6"/>
    </row>
    <row r="133" spans="1:9" x14ac:dyDescent="0.25">
      <c r="A133" s="4" t="str">
        <f>IF(tblAdjust[[#This Row],[วันที่]]="","","A"&amp;TEXT(tblAdjust[[#This Row],[วันที่]],"yymmdd")&amp;"-"&amp;TEXT(ROW()-5,"000"))</f>
        <v/>
      </c>
      <c r="B133" s="16"/>
      <c r="C133" s="6"/>
      <c r="D13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3" s="6"/>
      <c r="F133" s="18"/>
      <c r="G13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3" s="6"/>
      <c r="I133" s="6"/>
    </row>
    <row r="134" spans="1:9" x14ac:dyDescent="0.25">
      <c r="A134" s="4" t="str">
        <f>IF(tblAdjust[[#This Row],[วันที่]]="","","A"&amp;TEXT(tblAdjust[[#This Row],[วันที่]],"yymmdd")&amp;"-"&amp;TEXT(ROW()-5,"000"))</f>
        <v/>
      </c>
      <c r="B134" s="16"/>
      <c r="C134" s="6"/>
      <c r="D13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4" s="6"/>
      <c r="F134" s="18"/>
      <c r="G13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4" s="6"/>
      <c r="I134" s="6"/>
    </row>
    <row r="135" spans="1:9" x14ac:dyDescent="0.25">
      <c r="A135" s="4" t="str">
        <f>IF(tblAdjust[[#This Row],[วันที่]]="","","A"&amp;TEXT(tblAdjust[[#This Row],[วันที่]],"yymmdd")&amp;"-"&amp;TEXT(ROW()-5,"000"))</f>
        <v/>
      </c>
      <c r="B135" s="16"/>
      <c r="C135" s="6"/>
      <c r="D13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5" s="6"/>
      <c r="F135" s="18"/>
      <c r="G13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5" s="6"/>
      <c r="I135" s="6"/>
    </row>
    <row r="136" spans="1:9" x14ac:dyDescent="0.25">
      <c r="A136" s="4" t="str">
        <f>IF(tblAdjust[[#This Row],[วันที่]]="","","A"&amp;TEXT(tblAdjust[[#This Row],[วันที่]],"yymmdd")&amp;"-"&amp;TEXT(ROW()-5,"000"))</f>
        <v/>
      </c>
      <c r="B136" s="16"/>
      <c r="C136" s="6"/>
      <c r="D13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6" s="6"/>
      <c r="F136" s="18"/>
      <c r="G13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6" s="6"/>
      <c r="I136" s="6"/>
    </row>
    <row r="137" spans="1:9" x14ac:dyDescent="0.25">
      <c r="A137" s="4" t="str">
        <f>IF(tblAdjust[[#This Row],[วันที่]]="","","A"&amp;TEXT(tblAdjust[[#This Row],[วันที่]],"yymmdd")&amp;"-"&amp;TEXT(ROW()-5,"000"))</f>
        <v/>
      </c>
      <c r="B137" s="16"/>
      <c r="C137" s="6"/>
      <c r="D13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7" s="6"/>
      <c r="F137" s="18"/>
      <c r="G13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7" s="6"/>
      <c r="I137" s="6"/>
    </row>
    <row r="138" spans="1:9" x14ac:dyDescent="0.25">
      <c r="A138" s="4" t="str">
        <f>IF(tblAdjust[[#This Row],[วันที่]]="","","A"&amp;TEXT(tblAdjust[[#This Row],[วันที่]],"yymmdd")&amp;"-"&amp;TEXT(ROW()-5,"000"))</f>
        <v/>
      </c>
      <c r="B138" s="16"/>
      <c r="C138" s="6"/>
      <c r="D13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8" s="6"/>
      <c r="F138" s="18"/>
      <c r="G13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8" s="6"/>
      <c r="I138" s="6"/>
    </row>
    <row r="139" spans="1:9" x14ac:dyDescent="0.25">
      <c r="A139" s="4" t="str">
        <f>IF(tblAdjust[[#This Row],[วันที่]]="","","A"&amp;TEXT(tblAdjust[[#This Row],[วันที่]],"yymmdd")&amp;"-"&amp;TEXT(ROW()-5,"000"))</f>
        <v/>
      </c>
      <c r="B139" s="16"/>
      <c r="C139" s="6"/>
      <c r="D13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39" s="6"/>
      <c r="F139" s="18"/>
      <c r="G13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39" s="6"/>
      <c r="I139" s="6"/>
    </row>
    <row r="140" spans="1:9" x14ac:dyDescent="0.25">
      <c r="A140" s="4" t="str">
        <f>IF(tblAdjust[[#This Row],[วันที่]]="","","A"&amp;TEXT(tblAdjust[[#This Row],[วันที่]],"yymmdd")&amp;"-"&amp;TEXT(ROW()-5,"000"))</f>
        <v/>
      </c>
      <c r="B140" s="16"/>
      <c r="C140" s="6"/>
      <c r="D14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0" s="6"/>
      <c r="F140" s="18"/>
      <c r="G14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0" s="6"/>
      <c r="I140" s="6"/>
    </row>
    <row r="141" spans="1:9" x14ac:dyDescent="0.25">
      <c r="A141" s="4" t="str">
        <f>IF(tblAdjust[[#This Row],[วันที่]]="","","A"&amp;TEXT(tblAdjust[[#This Row],[วันที่]],"yymmdd")&amp;"-"&amp;TEXT(ROW()-5,"000"))</f>
        <v/>
      </c>
      <c r="B141" s="16"/>
      <c r="C141" s="6"/>
      <c r="D14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1" s="6"/>
      <c r="F141" s="18"/>
      <c r="G14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1" s="6"/>
      <c r="I141" s="6"/>
    </row>
    <row r="142" spans="1:9" x14ac:dyDescent="0.25">
      <c r="A142" s="4" t="str">
        <f>IF(tblAdjust[[#This Row],[วันที่]]="","","A"&amp;TEXT(tblAdjust[[#This Row],[วันที่]],"yymmdd")&amp;"-"&amp;TEXT(ROW()-5,"000"))</f>
        <v/>
      </c>
      <c r="B142" s="16"/>
      <c r="C142" s="6"/>
      <c r="D14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2" s="6"/>
      <c r="F142" s="18"/>
      <c r="G14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2" s="6"/>
      <c r="I142" s="6"/>
    </row>
    <row r="143" spans="1:9" x14ac:dyDescent="0.25">
      <c r="A143" s="4" t="str">
        <f>IF(tblAdjust[[#This Row],[วันที่]]="","","A"&amp;TEXT(tblAdjust[[#This Row],[วันที่]],"yymmdd")&amp;"-"&amp;TEXT(ROW()-5,"000"))</f>
        <v/>
      </c>
      <c r="B143" s="16"/>
      <c r="C143" s="6"/>
      <c r="D14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3" s="6"/>
      <c r="F143" s="18"/>
      <c r="G14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3" s="6"/>
      <c r="I143" s="6"/>
    </row>
    <row r="144" spans="1:9" x14ac:dyDescent="0.25">
      <c r="A144" s="4" t="str">
        <f>IF(tblAdjust[[#This Row],[วันที่]]="","","A"&amp;TEXT(tblAdjust[[#This Row],[วันที่]],"yymmdd")&amp;"-"&amp;TEXT(ROW()-5,"000"))</f>
        <v/>
      </c>
      <c r="B144" s="16"/>
      <c r="C144" s="6"/>
      <c r="D14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4" s="6"/>
      <c r="F144" s="18"/>
      <c r="G14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4" s="6"/>
      <c r="I144" s="6"/>
    </row>
    <row r="145" spans="1:9" x14ac:dyDescent="0.25">
      <c r="A145" s="4" t="str">
        <f>IF(tblAdjust[[#This Row],[วันที่]]="","","A"&amp;TEXT(tblAdjust[[#This Row],[วันที่]],"yymmdd")&amp;"-"&amp;TEXT(ROW()-5,"000"))</f>
        <v/>
      </c>
      <c r="B145" s="16"/>
      <c r="C145" s="6"/>
      <c r="D14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5" s="6"/>
      <c r="F145" s="18"/>
      <c r="G14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5" s="6"/>
      <c r="I145" s="6"/>
    </row>
    <row r="146" spans="1:9" x14ac:dyDescent="0.25">
      <c r="A146" s="4" t="str">
        <f>IF(tblAdjust[[#This Row],[วันที่]]="","","A"&amp;TEXT(tblAdjust[[#This Row],[วันที่]],"yymmdd")&amp;"-"&amp;TEXT(ROW()-5,"000"))</f>
        <v/>
      </c>
      <c r="B146" s="16"/>
      <c r="C146" s="6"/>
      <c r="D14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6" s="6"/>
      <c r="F146" s="18"/>
      <c r="G14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6" s="6"/>
      <c r="I146" s="6"/>
    </row>
    <row r="147" spans="1:9" x14ac:dyDescent="0.25">
      <c r="A147" s="4" t="str">
        <f>IF(tblAdjust[[#This Row],[วันที่]]="","","A"&amp;TEXT(tblAdjust[[#This Row],[วันที่]],"yymmdd")&amp;"-"&amp;TEXT(ROW()-5,"000"))</f>
        <v/>
      </c>
      <c r="B147" s="16"/>
      <c r="C147" s="6"/>
      <c r="D14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7" s="6"/>
      <c r="F147" s="18"/>
      <c r="G14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7" s="6"/>
      <c r="I147" s="6"/>
    </row>
    <row r="148" spans="1:9" x14ac:dyDescent="0.25">
      <c r="A148" s="4" t="str">
        <f>IF(tblAdjust[[#This Row],[วันที่]]="","","A"&amp;TEXT(tblAdjust[[#This Row],[วันที่]],"yymmdd")&amp;"-"&amp;TEXT(ROW()-5,"000"))</f>
        <v/>
      </c>
      <c r="B148" s="16"/>
      <c r="C148" s="6"/>
      <c r="D14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8" s="6"/>
      <c r="F148" s="18"/>
      <c r="G14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8" s="6"/>
      <c r="I148" s="6"/>
    </row>
    <row r="149" spans="1:9" x14ac:dyDescent="0.25">
      <c r="A149" s="4" t="str">
        <f>IF(tblAdjust[[#This Row],[วันที่]]="","","A"&amp;TEXT(tblAdjust[[#This Row],[วันที่]],"yymmdd")&amp;"-"&amp;TEXT(ROW()-5,"000"))</f>
        <v/>
      </c>
      <c r="B149" s="16"/>
      <c r="C149" s="6"/>
      <c r="D14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49" s="6"/>
      <c r="F149" s="18"/>
      <c r="G14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49" s="6"/>
      <c r="I149" s="6"/>
    </row>
    <row r="150" spans="1:9" x14ac:dyDescent="0.25">
      <c r="A150" s="4" t="str">
        <f>IF(tblAdjust[[#This Row],[วันที่]]="","","A"&amp;TEXT(tblAdjust[[#This Row],[วันที่]],"yymmdd")&amp;"-"&amp;TEXT(ROW()-5,"000"))</f>
        <v/>
      </c>
      <c r="B150" s="16"/>
      <c r="C150" s="6"/>
      <c r="D15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0" s="6"/>
      <c r="F150" s="18"/>
      <c r="G15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0" s="6"/>
      <c r="I150" s="6"/>
    </row>
    <row r="151" spans="1:9" x14ac:dyDescent="0.25">
      <c r="A151" s="4" t="str">
        <f>IF(tblAdjust[[#This Row],[วันที่]]="","","A"&amp;TEXT(tblAdjust[[#This Row],[วันที่]],"yymmdd")&amp;"-"&amp;TEXT(ROW()-5,"000"))</f>
        <v/>
      </c>
      <c r="B151" s="16"/>
      <c r="C151" s="6"/>
      <c r="D15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1" s="6"/>
      <c r="F151" s="18"/>
      <c r="G15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1" s="6"/>
      <c r="I151" s="6"/>
    </row>
    <row r="152" spans="1:9" x14ac:dyDescent="0.25">
      <c r="A152" s="4" t="str">
        <f>IF(tblAdjust[[#This Row],[วันที่]]="","","A"&amp;TEXT(tblAdjust[[#This Row],[วันที่]],"yymmdd")&amp;"-"&amp;TEXT(ROW()-5,"000"))</f>
        <v/>
      </c>
      <c r="B152" s="16"/>
      <c r="C152" s="6"/>
      <c r="D15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2" s="6"/>
      <c r="F152" s="18"/>
      <c r="G15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2" s="6"/>
      <c r="I152" s="6"/>
    </row>
    <row r="153" spans="1:9" x14ac:dyDescent="0.25">
      <c r="A153" s="4" t="str">
        <f>IF(tblAdjust[[#This Row],[วันที่]]="","","A"&amp;TEXT(tblAdjust[[#This Row],[วันที่]],"yymmdd")&amp;"-"&amp;TEXT(ROW()-5,"000"))</f>
        <v/>
      </c>
      <c r="B153" s="16"/>
      <c r="C153" s="6"/>
      <c r="D15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3" s="6"/>
      <c r="F153" s="18"/>
      <c r="G15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3" s="6"/>
      <c r="I153" s="6"/>
    </row>
    <row r="154" spans="1:9" x14ac:dyDescent="0.25">
      <c r="A154" s="4" t="str">
        <f>IF(tblAdjust[[#This Row],[วันที่]]="","","A"&amp;TEXT(tblAdjust[[#This Row],[วันที่]],"yymmdd")&amp;"-"&amp;TEXT(ROW()-5,"000"))</f>
        <v/>
      </c>
      <c r="B154" s="16"/>
      <c r="C154" s="6"/>
      <c r="D15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4" s="6"/>
      <c r="F154" s="18"/>
      <c r="G15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4" s="6"/>
      <c r="I154" s="6"/>
    </row>
    <row r="155" spans="1:9" x14ac:dyDescent="0.25">
      <c r="A155" s="4" t="str">
        <f>IF(tblAdjust[[#This Row],[วันที่]]="","","A"&amp;TEXT(tblAdjust[[#This Row],[วันที่]],"yymmdd")&amp;"-"&amp;TEXT(ROW()-5,"000"))</f>
        <v/>
      </c>
      <c r="B155" s="16"/>
      <c r="C155" s="6"/>
      <c r="D15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5" s="6"/>
      <c r="F155" s="18"/>
      <c r="G15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5" s="6"/>
      <c r="I155" s="6"/>
    </row>
    <row r="156" spans="1:9" x14ac:dyDescent="0.25">
      <c r="A156" s="4" t="str">
        <f>IF(tblAdjust[[#This Row],[วันที่]]="","","A"&amp;TEXT(tblAdjust[[#This Row],[วันที่]],"yymmdd")&amp;"-"&amp;TEXT(ROW()-5,"000"))</f>
        <v/>
      </c>
      <c r="B156" s="16"/>
      <c r="C156" s="6"/>
      <c r="D15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6" s="6"/>
      <c r="F156" s="18"/>
      <c r="G15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6" s="6"/>
      <c r="I156" s="6"/>
    </row>
    <row r="157" spans="1:9" x14ac:dyDescent="0.25">
      <c r="A157" s="4" t="str">
        <f>IF(tblAdjust[[#This Row],[วันที่]]="","","A"&amp;TEXT(tblAdjust[[#This Row],[วันที่]],"yymmdd")&amp;"-"&amp;TEXT(ROW()-5,"000"))</f>
        <v/>
      </c>
      <c r="B157" s="16"/>
      <c r="C157" s="6"/>
      <c r="D15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7" s="6"/>
      <c r="F157" s="18"/>
      <c r="G15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7" s="6"/>
      <c r="I157" s="6"/>
    </row>
    <row r="158" spans="1:9" x14ac:dyDescent="0.25">
      <c r="A158" s="4" t="str">
        <f>IF(tblAdjust[[#This Row],[วันที่]]="","","A"&amp;TEXT(tblAdjust[[#This Row],[วันที่]],"yymmdd")&amp;"-"&amp;TEXT(ROW()-5,"000"))</f>
        <v/>
      </c>
      <c r="B158" s="16"/>
      <c r="C158" s="6"/>
      <c r="D15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8" s="6"/>
      <c r="F158" s="18"/>
      <c r="G15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8" s="6"/>
      <c r="I158" s="6"/>
    </row>
    <row r="159" spans="1:9" x14ac:dyDescent="0.25">
      <c r="A159" s="4" t="str">
        <f>IF(tblAdjust[[#This Row],[วันที่]]="","","A"&amp;TEXT(tblAdjust[[#This Row],[วันที่]],"yymmdd")&amp;"-"&amp;TEXT(ROW()-5,"000"))</f>
        <v/>
      </c>
      <c r="B159" s="16"/>
      <c r="C159" s="6"/>
      <c r="D15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59" s="6"/>
      <c r="F159" s="18"/>
      <c r="G15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59" s="6"/>
      <c r="I159" s="6"/>
    </row>
    <row r="160" spans="1:9" x14ac:dyDescent="0.25">
      <c r="A160" s="4" t="str">
        <f>IF(tblAdjust[[#This Row],[วันที่]]="","","A"&amp;TEXT(tblAdjust[[#This Row],[วันที่]],"yymmdd")&amp;"-"&amp;TEXT(ROW()-5,"000"))</f>
        <v/>
      </c>
      <c r="B160" s="16"/>
      <c r="C160" s="6"/>
      <c r="D16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0" s="6"/>
      <c r="F160" s="18"/>
      <c r="G16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0" s="6"/>
      <c r="I160" s="6"/>
    </row>
    <row r="161" spans="1:9" x14ac:dyDescent="0.25">
      <c r="A161" s="4" t="str">
        <f>IF(tblAdjust[[#This Row],[วันที่]]="","","A"&amp;TEXT(tblAdjust[[#This Row],[วันที่]],"yymmdd")&amp;"-"&amp;TEXT(ROW()-5,"000"))</f>
        <v/>
      </c>
      <c r="B161" s="16"/>
      <c r="C161" s="6"/>
      <c r="D16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1" s="6"/>
      <c r="F161" s="18"/>
      <c r="G16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1" s="6"/>
      <c r="I161" s="6"/>
    </row>
    <row r="162" spans="1:9" x14ac:dyDescent="0.25">
      <c r="A162" s="4" t="str">
        <f>IF(tblAdjust[[#This Row],[วันที่]]="","","A"&amp;TEXT(tblAdjust[[#This Row],[วันที่]],"yymmdd")&amp;"-"&amp;TEXT(ROW()-5,"000"))</f>
        <v/>
      </c>
      <c r="B162" s="16"/>
      <c r="C162" s="6"/>
      <c r="D16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2" s="6"/>
      <c r="F162" s="18"/>
      <c r="G16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2" s="6"/>
      <c r="I162" s="6"/>
    </row>
    <row r="163" spans="1:9" x14ac:dyDescent="0.25">
      <c r="A163" s="4" t="str">
        <f>IF(tblAdjust[[#This Row],[วันที่]]="","","A"&amp;TEXT(tblAdjust[[#This Row],[วันที่]],"yymmdd")&amp;"-"&amp;TEXT(ROW()-5,"000"))</f>
        <v/>
      </c>
      <c r="B163" s="16"/>
      <c r="C163" s="6"/>
      <c r="D16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3" s="6"/>
      <c r="F163" s="18"/>
      <c r="G16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3" s="6"/>
      <c r="I163" s="6"/>
    </row>
    <row r="164" spans="1:9" x14ac:dyDescent="0.25">
      <c r="A164" s="4" t="str">
        <f>IF(tblAdjust[[#This Row],[วันที่]]="","","A"&amp;TEXT(tblAdjust[[#This Row],[วันที่]],"yymmdd")&amp;"-"&amp;TEXT(ROW()-5,"000"))</f>
        <v/>
      </c>
      <c r="B164" s="16"/>
      <c r="C164" s="6"/>
      <c r="D16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4" s="6"/>
      <c r="F164" s="18"/>
      <c r="G16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4" s="6"/>
      <c r="I164" s="6"/>
    </row>
    <row r="165" spans="1:9" x14ac:dyDescent="0.25">
      <c r="A165" s="4" t="str">
        <f>IF(tblAdjust[[#This Row],[วันที่]]="","","A"&amp;TEXT(tblAdjust[[#This Row],[วันที่]],"yymmdd")&amp;"-"&amp;TEXT(ROW()-5,"000"))</f>
        <v/>
      </c>
      <c r="B165" s="16"/>
      <c r="C165" s="6"/>
      <c r="D16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5" s="6"/>
      <c r="F165" s="18"/>
      <c r="G16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5" s="6"/>
      <c r="I165" s="6"/>
    </row>
    <row r="166" spans="1:9" x14ac:dyDescent="0.25">
      <c r="A166" s="4" t="str">
        <f>IF(tblAdjust[[#This Row],[วันที่]]="","","A"&amp;TEXT(tblAdjust[[#This Row],[วันที่]],"yymmdd")&amp;"-"&amp;TEXT(ROW()-5,"000"))</f>
        <v/>
      </c>
      <c r="B166" s="16"/>
      <c r="C166" s="6"/>
      <c r="D16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6" s="6"/>
      <c r="F166" s="18"/>
      <c r="G16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6" s="6"/>
      <c r="I166" s="6"/>
    </row>
    <row r="167" spans="1:9" x14ac:dyDescent="0.25">
      <c r="A167" s="4" t="str">
        <f>IF(tblAdjust[[#This Row],[วันที่]]="","","A"&amp;TEXT(tblAdjust[[#This Row],[วันที่]],"yymmdd")&amp;"-"&amp;TEXT(ROW()-5,"000"))</f>
        <v/>
      </c>
      <c r="B167" s="16"/>
      <c r="C167" s="6"/>
      <c r="D16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7" s="6"/>
      <c r="F167" s="18"/>
      <c r="G16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7" s="6"/>
      <c r="I167" s="6"/>
    </row>
    <row r="168" spans="1:9" x14ac:dyDescent="0.25">
      <c r="A168" s="4" t="str">
        <f>IF(tblAdjust[[#This Row],[วันที่]]="","","A"&amp;TEXT(tblAdjust[[#This Row],[วันที่]],"yymmdd")&amp;"-"&amp;TEXT(ROW()-5,"000"))</f>
        <v/>
      </c>
      <c r="B168" s="16"/>
      <c r="C168" s="6"/>
      <c r="D16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8" s="6"/>
      <c r="F168" s="18"/>
      <c r="G16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8" s="6"/>
      <c r="I168" s="6"/>
    </row>
    <row r="169" spans="1:9" x14ac:dyDescent="0.25">
      <c r="A169" s="4" t="str">
        <f>IF(tblAdjust[[#This Row],[วันที่]]="","","A"&amp;TEXT(tblAdjust[[#This Row],[วันที่]],"yymmdd")&amp;"-"&amp;TEXT(ROW()-5,"000"))</f>
        <v/>
      </c>
      <c r="B169" s="16"/>
      <c r="C169" s="6"/>
      <c r="D16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69" s="6"/>
      <c r="F169" s="18"/>
      <c r="G16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69" s="6"/>
      <c r="I169" s="6"/>
    </row>
    <row r="170" spans="1:9" x14ac:dyDescent="0.25">
      <c r="A170" s="4" t="str">
        <f>IF(tblAdjust[[#This Row],[วันที่]]="","","A"&amp;TEXT(tblAdjust[[#This Row],[วันที่]],"yymmdd")&amp;"-"&amp;TEXT(ROW()-5,"000"))</f>
        <v/>
      </c>
      <c r="B170" s="16"/>
      <c r="C170" s="6"/>
      <c r="D17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0" s="6"/>
      <c r="F170" s="18"/>
      <c r="G17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0" s="6"/>
      <c r="I170" s="6"/>
    </row>
    <row r="171" spans="1:9" x14ac:dyDescent="0.25">
      <c r="A171" s="4" t="str">
        <f>IF(tblAdjust[[#This Row],[วันที่]]="","","A"&amp;TEXT(tblAdjust[[#This Row],[วันที่]],"yymmdd")&amp;"-"&amp;TEXT(ROW()-5,"000"))</f>
        <v/>
      </c>
      <c r="B171" s="16"/>
      <c r="C171" s="6"/>
      <c r="D17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1" s="6"/>
      <c r="F171" s="18"/>
      <c r="G17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1" s="6"/>
      <c r="I171" s="6"/>
    </row>
    <row r="172" spans="1:9" x14ac:dyDescent="0.25">
      <c r="A172" s="4" t="str">
        <f>IF(tblAdjust[[#This Row],[วันที่]]="","","A"&amp;TEXT(tblAdjust[[#This Row],[วันที่]],"yymmdd")&amp;"-"&amp;TEXT(ROW()-5,"000"))</f>
        <v/>
      </c>
      <c r="B172" s="16"/>
      <c r="C172" s="6"/>
      <c r="D17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2" s="6"/>
      <c r="F172" s="18"/>
      <c r="G17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2" s="6"/>
      <c r="I172" s="6"/>
    </row>
    <row r="173" spans="1:9" x14ac:dyDescent="0.25">
      <c r="A173" s="4" t="str">
        <f>IF(tblAdjust[[#This Row],[วันที่]]="","","A"&amp;TEXT(tblAdjust[[#This Row],[วันที่]],"yymmdd")&amp;"-"&amp;TEXT(ROW()-5,"000"))</f>
        <v/>
      </c>
      <c r="B173" s="16"/>
      <c r="C173" s="6"/>
      <c r="D17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3" s="6"/>
      <c r="F173" s="18"/>
      <c r="G17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3" s="6"/>
      <c r="I173" s="6"/>
    </row>
    <row r="174" spans="1:9" x14ac:dyDescent="0.25">
      <c r="A174" s="4" t="str">
        <f>IF(tblAdjust[[#This Row],[วันที่]]="","","A"&amp;TEXT(tblAdjust[[#This Row],[วันที่]],"yymmdd")&amp;"-"&amp;TEXT(ROW()-5,"000"))</f>
        <v/>
      </c>
      <c r="B174" s="16"/>
      <c r="C174" s="6"/>
      <c r="D17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4" s="6"/>
      <c r="F174" s="18"/>
      <c r="G17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4" s="6"/>
      <c r="I174" s="6"/>
    </row>
    <row r="175" spans="1:9" x14ac:dyDescent="0.25">
      <c r="A175" s="4" t="str">
        <f>IF(tblAdjust[[#This Row],[วันที่]]="","","A"&amp;TEXT(tblAdjust[[#This Row],[วันที่]],"yymmdd")&amp;"-"&amp;TEXT(ROW()-5,"000"))</f>
        <v/>
      </c>
      <c r="B175" s="16"/>
      <c r="C175" s="6"/>
      <c r="D17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5" s="6"/>
      <c r="F175" s="18"/>
      <c r="G17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5" s="6"/>
      <c r="I175" s="6"/>
    </row>
    <row r="176" spans="1:9" x14ac:dyDescent="0.25">
      <c r="A176" s="4" t="str">
        <f>IF(tblAdjust[[#This Row],[วันที่]]="","","A"&amp;TEXT(tblAdjust[[#This Row],[วันที่]],"yymmdd")&amp;"-"&amp;TEXT(ROW()-5,"000"))</f>
        <v/>
      </c>
      <c r="B176" s="16"/>
      <c r="C176" s="6"/>
      <c r="D17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6" s="6"/>
      <c r="F176" s="18"/>
      <c r="G17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6" s="6"/>
      <c r="I176" s="6"/>
    </row>
    <row r="177" spans="1:9" x14ac:dyDescent="0.25">
      <c r="A177" s="4" t="str">
        <f>IF(tblAdjust[[#This Row],[วันที่]]="","","A"&amp;TEXT(tblAdjust[[#This Row],[วันที่]],"yymmdd")&amp;"-"&amp;TEXT(ROW()-5,"000"))</f>
        <v/>
      </c>
      <c r="B177" s="16"/>
      <c r="C177" s="6"/>
      <c r="D17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7" s="6"/>
      <c r="F177" s="18"/>
      <c r="G17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7" s="6"/>
      <c r="I177" s="6"/>
    </row>
    <row r="178" spans="1:9" x14ac:dyDescent="0.25">
      <c r="A178" s="4" t="str">
        <f>IF(tblAdjust[[#This Row],[วันที่]]="","","A"&amp;TEXT(tblAdjust[[#This Row],[วันที่]],"yymmdd")&amp;"-"&amp;TEXT(ROW()-5,"000"))</f>
        <v/>
      </c>
      <c r="B178" s="16"/>
      <c r="C178" s="6"/>
      <c r="D17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8" s="6"/>
      <c r="F178" s="18"/>
      <c r="G17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8" s="6"/>
      <c r="I178" s="6"/>
    </row>
    <row r="179" spans="1:9" x14ac:dyDescent="0.25">
      <c r="A179" s="4" t="str">
        <f>IF(tblAdjust[[#This Row],[วันที่]]="","","A"&amp;TEXT(tblAdjust[[#This Row],[วันที่]],"yymmdd")&amp;"-"&amp;TEXT(ROW()-5,"000"))</f>
        <v/>
      </c>
      <c r="B179" s="16"/>
      <c r="C179" s="6"/>
      <c r="D17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79" s="6"/>
      <c r="F179" s="18"/>
      <c r="G17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79" s="6"/>
      <c r="I179" s="6"/>
    </row>
    <row r="180" spans="1:9" x14ac:dyDescent="0.25">
      <c r="A180" s="4" t="str">
        <f>IF(tblAdjust[[#This Row],[วันที่]]="","","A"&amp;TEXT(tblAdjust[[#This Row],[วันที่]],"yymmdd")&amp;"-"&amp;TEXT(ROW()-5,"000"))</f>
        <v/>
      </c>
      <c r="B180" s="16"/>
      <c r="C180" s="6"/>
      <c r="D18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0" s="6"/>
      <c r="F180" s="18"/>
      <c r="G18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0" s="6"/>
      <c r="I180" s="6"/>
    </row>
    <row r="181" spans="1:9" x14ac:dyDescent="0.25">
      <c r="A181" s="4" t="str">
        <f>IF(tblAdjust[[#This Row],[วันที่]]="","","A"&amp;TEXT(tblAdjust[[#This Row],[วันที่]],"yymmdd")&amp;"-"&amp;TEXT(ROW()-5,"000"))</f>
        <v/>
      </c>
      <c r="B181" s="16"/>
      <c r="C181" s="6"/>
      <c r="D18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1" s="6"/>
      <c r="F181" s="18"/>
      <c r="G18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1" s="6"/>
      <c r="I181" s="6"/>
    </row>
    <row r="182" spans="1:9" x14ac:dyDescent="0.25">
      <c r="A182" s="4" t="str">
        <f>IF(tblAdjust[[#This Row],[วันที่]]="","","A"&amp;TEXT(tblAdjust[[#This Row],[วันที่]],"yymmdd")&amp;"-"&amp;TEXT(ROW()-5,"000"))</f>
        <v/>
      </c>
      <c r="B182" s="16"/>
      <c r="C182" s="6"/>
      <c r="D18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2" s="6"/>
      <c r="F182" s="18"/>
      <c r="G18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2" s="6"/>
      <c r="I182" s="6"/>
    </row>
    <row r="183" spans="1:9" x14ac:dyDescent="0.25">
      <c r="A183" s="4" t="str">
        <f>IF(tblAdjust[[#This Row],[วันที่]]="","","A"&amp;TEXT(tblAdjust[[#This Row],[วันที่]],"yymmdd")&amp;"-"&amp;TEXT(ROW()-5,"000"))</f>
        <v/>
      </c>
      <c r="B183" s="16"/>
      <c r="C183" s="6"/>
      <c r="D18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3" s="6"/>
      <c r="F183" s="18"/>
      <c r="G18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3" s="6"/>
      <c r="I183" s="6"/>
    </row>
    <row r="184" spans="1:9" x14ac:dyDescent="0.25">
      <c r="A184" s="4" t="str">
        <f>IF(tblAdjust[[#This Row],[วันที่]]="","","A"&amp;TEXT(tblAdjust[[#This Row],[วันที่]],"yymmdd")&amp;"-"&amp;TEXT(ROW()-5,"000"))</f>
        <v/>
      </c>
      <c r="B184" s="16"/>
      <c r="C184" s="6"/>
      <c r="D18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4" s="6"/>
      <c r="F184" s="18"/>
      <c r="G18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4" s="6"/>
      <c r="I184" s="6"/>
    </row>
    <row r="185" spans="1:9" x14ac:dyDescent="0.25">
      <c r="A185" s="4" t="str">
        <f>IF(tblAdjust[[#This Row],[วันที่]]="","","A"&amp;TEXT(tblAdjust[[#This Row],[วันที่]],"yymmdd")&amp;"-"&amp;TEXT(ROW()-5,"000"))</f>
        <v/>
      </c>
      <c r="B185" s="16"/>
      <c r="C185" s="6"/>
      <c r="D18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5" s="6"/>
      <c r="F185" s="18"/>
      <c r="G18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5" s="6"/>
      <c r="I185" s="6"/>
    </row>
    <row r="186" spans="1:9" x14ac:dyDescent="0.25">
      <c r="A186" s="4" t="str">
        <f>IF(tblAdjust[[#This Row],[วันที่]]="","","A"&amp;TEXT(tblAdjust[[#This Row],[วันที่]],"yymmdd")&amp;"-"&amp;TEXT(ROW()-5,"000"))</f>
        <v/>
      </c>
      <c r="B186" s="16"/>
      <c r="C186" s="6"/>
      <c r="D18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6" s="6"/>
      <c r="F186" s="18"/>
      <c r="G18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6" s="6"/>
      <c r="I186" s="6"/>
    </row>
    <row r="187" spans="1:9" x14ac:dyDescent="0.25">
      <c r="A187" s="4" t="str">
        <f>IF(tblAdjust[[#This Row],[วันที่]]="","","A"&amp;TEXT(tblAdjust[[#This Row],[วันที่]],"yymmdd")&amp;"-"&amp;TEXT(ROW()-5,"000"))</f>
        <v/>
      </c>
      <c r="B187" s="16"/>
      <c r="C187" s="6"/>
      <c r="D18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7" s="6"/>
      <c r="F187" s="18"/>
      <c r="G18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7" s="6"/>
      <c r="I187" s="6"/>
    </row>
    <row r="188" spans="1:9" x14ac:dyDescent="0.25">
      <c r="A188" s="4" t="str">
        <f>IF(tblAdjust[[#This Row],[วันที่]]="","","A"&amp;TEXT(tblAdjust[[#This Row],[วันที่]],"yymmdd")&amp;"-"&amp;TEXT(ROW()-5,"000"))</f>
        <v/>
      </c>
      <c r="B188" s="16"/>
      <c r="C188" s="6"/>
      <c r="D18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8" s="6"/>
      <c r="F188" s="18"/>
      <c r="G18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8" s="6"/>
      <c r="I188" s="6"/>
    </row>
    <row r="189" spans="1:9" x14ac:dyDescent="0.25">
      <c r="A189" s="4" t="str">
        <f>IF(tblAdjust[[#This Row],[วันที่]]="","","A"&amp;TEXT(tblAdjust[[#This Row],[วันที่]],"yymmdd")&amp;"-"&amp;TEXT(ROW()-5,"000"))</f>
        <v/>
      </c>
      <c r="B189" s="16"/>
      <c r="C189" s="6"/>
      <c r="D18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89" s="6"/>
      <c r="F189" s="18"/>
      <c r="G18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89" s="6"/>
      <c r="I189" s="6"/>
    </row>
    <row r="190" spans="1:9" x14ac:dyDescent="0.25">
      <c r="A190" s="4" t="str">
        <f>IF(tblAdjust[[#This Row],[วันที่]]="","","A"&amp;TEXT(tblAdjust[[#This Row],[วันที่]],"yymmdd")&amp;"-"&amp;TEXT(ROW()-5,"000"))</f>
        <v/>
      </c>
      <c r="B190" s="16"/>
      <c r="C190" s="6"/>
      <c r="D19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0" s="6"/>
      <c r="F190" s="18"/>
      <c r="G19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0" s="6"/>
      <c r="I190" s="6"/>
    </row>
    <row r="191" spans="1:9" x14ac:dyDescent="0.25">
      <c r="A191" s="4" t="str">
        <f>IF(tblAdjust[[#This Row],[วันที่]]="","","A"&amp;TEXT(tblAdjust[[#This Row],[วันที่]],"yymmdd")&amp;"-"&amp;TEXT(ROW()-5,"000"))</f>
        <v/>
      </c>
      <c r="B191" s="16"/>
      <c r="C191" s="6"/>
      <c r="D19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1" s="6"/>
      <c r="F191" s="18"/>
      <c r="G19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1" s="6"/>
      <c r="I191" s="6"/>
    </row>
    <row r="192" spans="1:9" x14ac:dyDescent="0.25">
      <c r="A192" s="4" t="str">
        <f>IF(tblAdjust[[#This Row],[วันที่]]="","","A"&amp;TEXT(tblAdjust[[#This Row],[วันที่]],"yymmdd")&amp;"-"&amp;TEXT(ROW()-5,"000"))</f>
        <v/>
      </c>
      <c r="B192" s="16"/>
      <c r="C192" s="6"/>
      <c r="D19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2" s="6"/>
      <c r="F192" s="18"/>
      <c r="G19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2" s="6"/>
      <c r="I192" s="6"/>
    </row>
    <row r="193" spans="1:9" x14ac:dyDescent="0.25">
      <c r="A193" s="4" t="str">
        <f>IF(tblAdjust[[#This Row],[วันที่]]="","","A"&amp;TEXT(tblAdjust[[#This Row],[วันที่]],"yymmdd")&amp;"-"&amp;TEXT(ROW()-5,"000"))</f>
        <v/>
      </c>
      <c r="B193" s="16"/>
      <c r="C193" s="6"/>
      <c r="D19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3" s="6"/>
      <c r="F193" s="18"/>
      <c r="G19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3" s="6"/>
      <c r="I193" s="6"/>
    </row>
    <row r="194" spans="1:9" x14ac:dyDescent="0.25">
      <c r="A194" s="4" t="str">
        <f>IF(tblAdjust[[#This Row],[วันที่]]="","","A"&amp;TEXT(tblAdjust[[#This Row],[วันที่]],"yymmdd")&amp;"-"&amp;TEXT(ROW()-5,"000"))</f>
        <v/>
      </c>
      <c r="B194" s="16"/>
      <c r="C194" s="6"/>
      <c r="D19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4" s="6"/>
      <c r="F194" s="18"/>
      <c r="G19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4" s="6"/>
      <c r="I194" s="6"/>
    </row>
    <row r="195" spans="1:9" x14ac:dyDescent="0.25">
      <c r="A195" s="4" t="str">
        <f>IF(tblAdjust[[#This Row],[วันที่]]="","","A"&amp;TEXT(tblAdjust[[#This Row],[วันที่]],"yymmdd")&amp;"-"&amp;TEXT(ROW()-5,"000"))</f>
        <v/>
      </c>
      <c r="B195" s="16"/>
      <c r="C195" s="6"/>
      <c r="D19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5" s="6"/>
      <c r="F195" s="18"/>
      <c r="G19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5" s="6"/>
      <c r="I195" s="6"/>
    </row>
    <row r="196" spans="1:9" x14ac:dyDescent="0.25">
      <c r="A196" s="4" t="str">
        <f>IF(tblAdjust[[#This Row],[วันที่]]="","","A"&amp;TEXT(tblAdjust[[#This Row],[วันที่]],"yymmdd")&amp;"-"&amp;TEXT(ROW()-5,"000"))</f>
        <v/>
      </c>
      <c r="B196" s="16"/>
      <c r="C196" s="6"/>
      <c r="D196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6" s="6"/>
      <c r="F196" s="18"/>
      <c r="G196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6" s="6"/>
      <c r="I196" s="6"/>
    </row>
    <row r="197" spans="1:9" x14ac:dyDescent="0.25">
      <c r="A197" s="4" t="str">
        <f>IF(tblAdjust[[#This Row],[วันที่]]="","","A"&amp;TEXT(tblAdjust[[#This Row],[วันที่]],"yymmdd")&amp;"-"&amp;TEXT(ROW()-5,"000"))</f>
        <v/>
      </c>
      <c r="B197" s="16"/>
      <c r="C197" s="6"/>
      <c r="D197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7" s="6"/>
      <c r="F197" s="18"/>
      <c r="G197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7" s="6"/>
      <c r="I197" s="6"/>
    </row>
    <row r="198" spans="1:9" x14ac:dyDescent="0.25">
      <c r="A198" s="4" t="str">
        <f>IF(tblAdjust[[#This Row],[วันที่]]="","","A"&amp;TEXT(tblAdjust[[#This Row],[วันที่]],"yymmdd")&amp;"-"&amp;TEXT(ROW()-5,"000"))</f>
        <v/>
      </c>
      <c r="B198" s="16"/>
      <c r="C198" s="6"/>
      <c r="D198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8" s="6"/>
      <c r="F198" s="18"/>
      <c r="G198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8" s="6"/>
      <c r="I198" s="6"/>
    </row>
    <row r="199" spans="1:9" x14ac:dyDescent="0.25">
      <c r="A199" s="4" t="str">
        <f>IF(tblAdjust[[#This Row],[วันที่]]="","","A"&amp;TEXT(tblAdjust[[#This Row],[วันที่]],"yymmdd")&amp;"-"&amp;TEXT(ROW()-5,"000"))</f>
        <v/>
      </c>
      <c r="B199" s="16"/>
      <c r="C199" s="6"/>
      <c r="D199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199" s="6"/>
      <c r="F199" s="18"/>
      <c r="G199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199" s="6"/>
      <c r="I199" s="6"/>
    </row>
    <row r="200" spans="1:9" x14ac:dyDescent="0.25">
      <c r="A200" s="4" t="str">
        <f>IF(tblAdjust[[#This Row],[วันที่]]="","","A"&amp;TEXT(tblAdjust[[#This Row],[วันที่]],"yymmdd")&amp;"-"&amp;TEXT(ROW()-5,"000"))</f>
        <v/>
      </c>
      <c r="B200" s="16"/>
      <c r="C200" s="6"/>
      <c r="D200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0" s="6"/>
      <c r="F200" s="18"/>
      <c r="G200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0" s="6"/>
      <c r="I200" s="6"/>
    </row>
    <row r="201" spans="1:9" x14ac:dyDescent="0.25">
      <c r="A201" s="4" t="str">
        <f>IF(tblAdjust[[#This Row],[วันที่]]="","","A"&amp;TEXT(tblAdjust[[#This Row],[วันที่]],"yymmdd")&amp;"-"&amp;TEXT(ROW()-5,"000"))</f>
        <v/>
      </c>
      <c r="B201" s="16"/>
      <c r="C201" s="6"/>
      <c r="D201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1" s="6"/>
      <c r="F201" s="18"/>
      <c r="G201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1" s="6"/>
      <c r="I201" s="6"/>
    </row>
    <row r="202" spans="1:9" x14ac:dyDescent="0.25">
      <c r="A202" s="4" t="str">
        <f>IF(tblAdjust[[#This Row],[วันที่]]="","","A"&amp;TEXT(tblAdjust[[#This Row],[วันที่]],"yymmdd")&amp;"-"&amp;TEXT(ROW()-5,"000"))</f>
        <v/>
      </c>
      <c r="B202" s="16"/>
      <c r="C202" s="6"/>
      <c r="D202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2" s="6"/>
      <c r="F202" s="18"/>
      <c r="G202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2" s="6"/>
      <c r="I202" s="6"/>
    </row>
    <row r="203" spans="1:9" x14ac:dyDescent="0.25">
      <c r="A203" s="4" t="str">
        <f>IF(tblAdjust[[#This Row],[วันที่]]="","","A"&amp;TEXT(tblAdjust[[#This Row],[วันที่]],"yymmdd")&amp;"-"&amp;TEXT(ROW()-5,"000"))</f>
        <v/>
      </c>
      <c r="B203" s="16"/>
      <c r="C203" s="6"/>
      <c r="D203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3" s="6"/>
      <c r="F203" s="18"/>
      <c r="G203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3" s="6"/>
      <c r="I203" s="6"/>
    </row>
    <row r="204" spans="1:9" x14ac:dyDescent="0.25">
      <c r="A204" s="4" t="str">
        <f>IF(tblAdjust[[#This Row],[วันที่]]="","","A"&amp;TEXT(tblAdjust[[#This Row],[วันที่]],"yymmdd")&amp;"-"&amp;TEXT(ROW()-5,"000"))</f>
        <v/>
      </c>
      <c r="B204" s="16"/>
      <c r="C204" s="6"/>
      <c r="D204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4" s="6"/>
      <c r="F204" s="18"/>
      <c r="G204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4" s="6"/>
      <c r="I204" s="6"/>
    </row>
    <row r="205" spans="1:9" x14ac:dyDescent="0.25">
      <c r="A205" s="4" t="str">
        <f>IF(tblAdjust[[#This Row],[วันที่]]="","","A"&amp;TEXT(tblAdjust[[#This Row],[วันที่]],"yymmdd")&amp;"-"&amp;TEXT(ROW()-5,"000"))</f>
        <v/>
      </c>
      <c r="B205" s="16"/>
      <c r="C205" s="6"/>
      <c r="D205" s="4" t="str">
        <f>IF(tblAdjust[[#This Row],[รหัสสินค้า]]="","",IFERROR(INDEX(tblItems[ชื่อสินค้า],MATCH(tblAdjust[[#This Row],[รหัสสินค้า]],tblItems[รหัสสินค้า],0)),"ไม่พบรหัส"))</f>
        <v/>
      </c>
      <c r="E205" s="6"/>
      <c r="F205" s="18"/>
      <c r="G205" s="4" t="str">
        <f>IF(tblAdjust[[#This Row],[รหัสสินค้า]]="","",IFERROR(INDEX(tblItems[หน่วยใช้],MATCH(tblAdjust[[#This Row],[รหัสสินค้า]],tblItems[รหัสสินค้า],0)),""))</f>
        <v/>
      </c>
      <c r="H205" s="6"/>
      <c r="I205" s="6"/>
    </row>
  </sheetData>
  <dataValidations count="1">
    <dataValidation type="date" allowBlank="1" showInputMessage="1" showErrorMessage="1" errorTitle="วันที่ไม่ถูกต้อง" error="กรอกวันที่รูปแบบ ปปปป-ดด-วว" sqref="B6:B205" xr:uid="{DA28C132-AA0A-C741-B2A0-FB708B0748E3}">
      <formula1>45292</formula1>
      <formula2>49674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8D0BB04-84EC-3B43-BAEE-5463F708DE18}">
          <x14:formula1>
            <xm:f>Lists!$K$2:$K$8</xm:f>
          </x14:formula1>
          <xm:sqref>E6:E205</xm:sqref>
        </x14:dataValidation>
        <x14:dataValidation type="list" allowBlank="1" showInputMessage="1" showErrorMessage="1" xr:uid="{9D7655C4-42D5-194C-B629-11760ACE7BF0}">
          <x14:formula1>
            <xm:f>สินค้าและสต็อก!$A$6:$A$307</xm:f>
          </x14:formula1>
          <xm:sqref>C6:C205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AF6D-B6BD-C94F-91B6-46F603BEED03}">
  <sheetPr>
    <tabColor rgb="FFED7D31"/>
  </sheetPr>
  <dimension ref="A1:K69"/>
  <sheetViews>
    <sheetView showGridLines="0" workbookViewId="0">
      <pane ySplit="5" topLeftCell="A6" activePane="bottomLeft" state="frozen"/>
      <selection pane="bottomLeft" activeCell="A15" sqref="A15:K24"/>
    </sheetView>
  </sheetViews>
  <sheetFormatPr defaultColWidth="10.85546875" defaultRowHeight="15" x14ac:dyDescent="0.25"/>
  <cols>
    <col min="1" max="1" width="10.42578125" customWidth="1"/>
    <col min="2" max="2" width="64.7109375" customWidth="1"/>
    <col min="3" max="4" width="12.85546875" customWidth="1"/>
    <col min="5" max="5" width="8.140625" customWidth="1"/>
    <col min="6" max="6" width="22.28515625" customWidth="1"/>
    <col min="7" max="7" width="11.7109375" customWidth="1"/>
    <col min="8" max="8" width="14" customWidth="1"/>
    <col min="9" max="9" width="12.85546875" customWidth="1"/>
    <col min="10" max="10" width="14" customWidth="1"/>
    <col min="11" max="11" width="66.42578125" bestFit="1" customWidth="1"/>
  </cols>
  <sheetData>
    <row r="1" spans="1:11" ht="18" x14ac:dyDescent="0.25">
      <c r="A1" s="2" t="s">
        <v>464</v>
      </c>
    </row>
    <row r="2" spans="1:11" x14ac:dyDescent="0.25">
      <c r="A2" s="3" t="s">
        <v>465</v>
      </c>
    </row>
    <row r="5" spans="1:11" ht="33.950000000000003" customHeight="1" x14ac:dyDescent="0.25">
      <c r="A5" s="5" t="s">
        <v>466</v>
      </c>
      <c r="B5" s="5" t="s">
        <v>467</v>
      </c>
      <c r="C5" s="5" t="s">
        <v>468</v>
      </c>
      <c r="D5" s="5" t="s">
        <v>469</v>
      </c>
      <c r="E5" s="5" t="s">
        <v>470</v>
      </c>
      <c r="F5" s="5" t="s">
        <v>458</v>
      </c>
      <c r="G5" s="5" t="s">
        <v>471</v>
      </c>
      <c r="H5" s="5" t="s">
        <v>472</v>
      </c>
      <c r="I5" s="5" t="s">
        <v>473</v>
      </c>
      <c r="J5" s="5" t="s">
        <v>474</v>
      </c>
      <c r="K5" s="5" t="s">
        <v>59</v>
      </c>
    </row>
    <row r="6" spans="1:11" x14ac:dyDescent="0.25">
      <c r="A6" s="4" t="str">
        <f>IF(tblEquip[[#This Row],[ชื่ออุปกรณ์]]="","","EQ-"&amp;TEXT(ROW()-5,"000"))</f>
        <v>EQ-001</v>
      </c>
      <c r="B6" s="6" t="s">
        <v>863</v>
      </c>
      <c r="C6" s="16"/>
      <c r="D6" s="7">
        <v>120</v>
      </c>
      <c r="E6" s="6">
        <v>1</v>
      </c>
      <c r="F6" s="6" t="s">
        <v>865</v>
      </c>
      <c r="G6" s="6">
        <v>3</v>
      </c>
      <c r="H6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3.3333333333333335</v>
      </c>
      <c r="I6" s="6" t="s">
        <v>346</v>
      </c>
      <c r="J6" s="6" t="s">
        <v>867</v>
      </c>
      <c r="K6" s="6" t="s">
        <v>858</v>
      </c>
    </row>
    <row r="7" spans="1:11" x14ac:dyDescent="0.25">
      <c r="A7" s="4" t="str">
        <f>IF(tblEquip[[#This Row],[ชื่ออุปกรณ์]]="","","EQ-"&amp;TEXT(ROW()-5,"000"))</f>
        <v>EQ-002</v>
      </c>
      <c r="B7" s="6" t="s">
        <v>860</v>
      </c>
      <c r="C7" s="16">
        <v>46265</v>
      </c>
      <c r="D7" s="7">
        <v>138</v>
      </c>
      <c r="E7" s="6">
        <v>1</v>
      </c>
      <c r="F7" s="6" t="s">
        <v>853</v>
      </c>
      <c r="G7" s="6">
        <v>3</v>
      </c>
      <c r="H7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3.8333333333333335</v>
      </c>
      <c r="I7" s="6" t="s">
        <v>346</v>
      </c>
      <c r="J7" s="6" t="s">
        <v>861</v>
      </c>
      <c r="K7" s="6" t="s">
        <v>858</v>
      </c>
    </row>
    <row r="8" spans="1:11" x14ac:dyDescent="0.25">
      <c r="A8" s="4" t="str">
        <f>IF(tblEquip[[#This Row],[ชื่ออุปกรณ์]]="","","EQ-"&amp;TEXT(ROW()-5,"000"))</f>
        <v>EQ-003</v>
      </c>
      <c r="B8" s="6" t="s">
        <v>844</v>
      </c>
      <c r="C8" s="16">
        <v>46265</v>
      </c>
      <c r="D8" s="7">
        <v>55</v>
      </c>
      <c r="E8" s="6">
        <v>1</v>
      </c>
      <c r="F8" s="6" t="s">
        <v>866</v>
      </c>
      <c r="G8" s="6">
        <v>5</v>
      </c>
      <c r="H8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0.91666666666666663</v>
      </c>
      <c r="I8" s="6" t="s">
        <v>346</v>
      </c>
      <c r="J8" s="6" t="s">
        <v>861</v>
      </c>
      <c r="K8" s="6" t="s">
        <v>858</v>
      </c>
    </row>
    <row r="9" spans="1:11" x14ac:dyDescent="0.25">
      <c r="A9" s="4" t="str">
        <f>IF(tblEquip[[#This Row],[ชื่ออุปกรณ์]]="","","EQ-"&amp;TEXT(ROW()-5,"000"))</f>
        <v>EQ-004</v>
      </c>
      <c r="B9" s="6" t="s">
        <v>845</v>
      </c>
      <c r="C9" s="16">
        <v>46265</v>
      </c>
      <c r="D9" s="7">
        <v>45</v>
      </c>
      <c r="E9" s="6">
        <v>1</v>
      </c>
      <c r="F9" s="6" t="s">
        <v>866</v>
      </c>
      <c r="G9" s="6">
        <v>5</v>
      </c>
      <c r="H9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0.75</v>
      </c>
      <c r="I9" s="6" t="s">
        <v>346</v>
      </c>
      <c r="J9" s="6" t="s">
        <v>861</v>
      </c>
      <c r="K9" s="6" t="s">
        <v>858</v>
      </c>
    </row>
    <row r="10" spans="1:11" x14ac:dyDescent="0.25">
      <c r="A10" s="4" t="str">
        <f>IF(tblEquip[[#This Row],[ชื่ออุปกรณ์]]="","","EQ-"&amp;TEXT(ROW()-5,"000"))</f>
        <v>EQ-005</v>
      </c>
      <c r="B10" s="6" t="s">
        <v>846</v>
      </c>
      <c r="C10" s="16">
        <v>46265</v>
      </c>
      <c r="D10" s="7">
        <v>10</v>
      </c>
      <c r="E10" s="6">
        <v>1</v>
      </c>
      <c r="F10" s="6" t="s">
        <v>864</v>
      </c>
      <c r="G10" s="6">
        <v>3</v>
      </c>
      <c r="H10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0.27777777777777779</v>
      </c>
      <c r="I10" s="6" t="s">
        <v>346</v>
      </c>
      <c r="J10" s="6" t="s">
        <v>861</v>
      </c>
      <c r="K10" s="6" t="s">
        <v>858</v>
      </c>
    </row>
    <row r="11" spans="1:11" x14ac:dyDescent="0.25">
      <c r="A11" s="4" t="str">
        <f>IF(tblEquip[[#This Row],[ชื่ออุปกรณ์]]="","","EQ-"&amp;TEXT(ROW()-5,"000"))</f>
        <v>EQ-006</v>
      </c>
      <c r="B11" s="6" t="s">
        <v>851</v>
      </c>
      <c r="C11" s="16"/>
      <c r="D11" s="7">
        <v>165</v>
      </c>
      <c r="E11" s="6">
        <v>1</v>
      </c>
      <c r="F11" s="6" t="s">
        <v>862</v>
      </c>
      <c r="G11" s="6">
        <v>5</v>
      </c>
      <c r="H11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2.75</v>
      </c>
      <c r="I11" s="6" t="s">
        <v>346</v>
      </c>
      <c r="J11" s="6" t="s">
        <v>867</v>
      </c>
      <c r="K11" s="6" t="s">
        <v>858</v>
      </c>
    </row>
    <row r="12" spans="1:11" x14ac:dyDescent="0.25">
      <c r="A12" s="4" t="str">
        <f>IF(tblEquip[[#This Row],[ชื่ออุปกรณ์]]="","","EQ-"&amp;TEXT(ROW()-5,"000"))</f>
        <v>EQ-007</v>
      </c>
      <c r="B12" s="6" t="s">
        <v>847</v>
      </c>
      <c r="C12" s="16"/>
      <c r="D12" s="7">
        <v>35</v>
      </c>
      <c r="E12" s="6">
        <v>1</v>
      </c>
      <c r="F12" s="6" t="s">
        <v>864</v>
      </c>
      <c r="G12" s="6">
        <v>5</v>
      </c>
      <c r="H12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0.58333333333333337</v>
      </c>
      <c r="I12" s="6" t="s">
        <v>346</v>
      </c>
      <c r="J12" s="6" t="s">
        <v>867</v>
      </c>
      <c r="K12" s="6" t="s">
        <v>858</v>
      </c>
    </row>
    <row r="13" spans="1:11" x14ac:dyDescent="0.25">
      <c r="A13" s="4" t="str">
        <f>IF(tblEquip[[#This Row],[ชื่ออุปกรณ์]]="","","EQ-"&amp;TEXT(ROW()-5,"000"))</f>
        <v>EQ-008</v>
      </c>
      <c r="B13" s="6" t="s">
        <v>852</v>
      </c>
      <c r="C13" s="16">
        <v>46258</v>
      </c>
      <c r="D13" s="7">
        <v>230</v>
      </c>
      <c r="E13" s="6">
        <v>1</v>
      </c>
      <c r="F13" s="6" t="s">
        <v>862</v>
      </c>
      <c r="G13" s="6">
        <v>3</v>
      </c>
      <c r="H13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6.3888888888888893</v>
      </c>
      <c r="I13" s="6" t="s">
        <v>346</v>
      </c>
      <c r="J13" s="6" t="s">
        <v>861</v>
      </c>
      <c r="K13" s="6" t="s">
        <v>858</v>
      </c>
    </row>
    <row r="14" spans="1:11" x14ac:dyDescent="0.25">
      <c r="A14" s="4" t="str">
        <f>IF(tblEquip[[#This Row],[ชื่ออุปกรณ์]]="","","EQ-"&amp;TEXT(ROW()-5,"000"))</f>
        <v>EQ-009</v>
      </c>
      <c r="B14" s="6" t="s">
        <v>848</v>
      </c>
      <c r="C14" s="16">
        <v>46265</v>
      </c>
      <c r="D14" s="7">
        <v>239</v>
      </c>
      <c r="E14" s="6">
        <v>1</v>
      </c>
      <c r="F14" s="6" t="s">
        <v>862</v>
      </c>
      <c r="G14" s="6">
        <v>1</v>
      </c>
      <c r="H14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19.916666666666668</v>
      </c>
      <c r="I14" s="6" t="s">
        <v>346</v>
      </c>
      <c r="J14" s="6" t="s">
        <v>861</v>
      </c>
      <c r="K14" s="6" t="s">
        <v>859</v>
      </c>
    </row>
    <row r="15" spans="1:11" x14ac:dyDescent="0.25">
      <c r="A15" s="4" t="str">
        <f>IF(tblEquip[[#This Row],[ชื่ออุปกรณ์]]="","","EQ-"&amp;TEXT(ROW()-5,"000"))</f>
        <v>EQ-010</v>
      </c>
      <c r="B15" s="6" t="s">
        <v>849</v>
      </c>
      <c r="C15" s="16">
        <v>46265</v>
      </c>
      <c r="D15" s="7">
        <v>50</v>
      </c>
      <c r="E15" s="6">
        <v>1</v>
      </c>
      <c r="F15" s="6" t="s">
        <v>864</v>
      </c>
      <c r="G15" s="6">
        <v>3</v>
      </c>
      <c r="H15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1.3888888888888888</v>
      </c>
      <c r="I15" s="6" t="s">
        <v>346</v>
      </c>
      <c r="J15" s="6" t="s">
        <v>861</v>
      </c>
      <c r="K15" s="6" t="s">
        <v>858</v>
      </c>
    </row>
    <row r="16" spans="1:11" x14ac:dyDescent="0.25">
      <c r="A16" s="4" t="str">
        <f>IF(tblEquip[[#This Row],[ชื่ออุปกรณ์]]="","","EQ-"&amp;TEXT(ROW()-5,"000"))</f>
        <v>EQ-011</v>
      </c>
      <c r="B16" s="6" t="s">
        <v>850</v>
      </c>
      <c r="C16" s="16">
        <v>46265</v>
      </c>
      <c r="D16" s="7">
        <v>10</v>
      </c>
      <c r="E16" s="6">
        <v>1</v>
      </c>
      <c r="F16" s="6" t="s">
        <v>864</v>
      </c>
      <c r="G16" s="6">
        <v>3</v>
      </c>
      <c r="H16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0.27777777777777779</v>
      </c>
      <c r="I16" s="6" t="s">
        <v>346</v>
      </c>
      <c r="J16" s="6" t="s">
        <v>861</v>
      </c>
      <c r="K16" s="6" t="s">
        <v>858</v>
      </c>
    </row>
    <row r="17" spans="1:11" x14ac:dyDescent="0.25">
      <c r="A17" s="4" t="str">
        <f>IF(tblEquip[[#This Row],[ชื่ออุปกรณ์]]="","","EQ-"&amp;TEXT(ROW()-5,"000"))</f>
        <v>EQ-012</v>
      </c>
      <c r="B17" s="6" t="s">
        <v>860</v>
      </c>
      <c r="C17" s="16">
        <v>46274</v>
      </c>
      <c r="D17" s="7">
        <v>138</v>
      </c>
      <c r="E17" s="6">
        <v>1</v>
      </c>
      <c r="F17" s="6" t="s">
        <v>853</v>
      </c>
      <c r="G17" s="6">
        <v>5</v>
      </c>
      <c r="H17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2.2999999999999998</v>
      </c>
      <c r="I17" s="6" t="s">
        <v>346</v>
      </c>
      <c r="J17" s="6" t="s">
        <v>861</v>
      </c>
      <c r="K17" s="6" t="s">
        <v>854</v>
      </c>
    </row>
    <row r="18" spans="1:11" x14ac:dyDescent="0.25">
      <c r="A18" s="4" t="str">
        <f>IF(tblEquip[[#This Row],[ชื่ออุปกรณ์]]="","","EQ-"&amp;TEXT(ROW()-5,"000"))</f>
        <v>EQ-013</v>
      </c>
      <c r="B18" s="6" t="s">
        <v>855</v>
      </c>
      <c r="C18" s="16">
        <v>46274</v>
      </c>
      <c r="D18" s="7">
        <v>37</v>
      </c>
      <c r="E18" s="6">
        <v>1</v>
      </c>
      <c r="F18" s="6" t="s">
        <v>853</v>
      </c>
      <c r="G18" s="6">
        <v>2</v>
      </c>
      <c r="H18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1.5416666666666667</v>
      </c>
      <c r="I18" s="6" t="s">
        <v>346</v>
      </c>
      <c r="J18" s="6" t="s">
        <v>861</v>
      </c>
      <c r="K18" s="6" t="s">
        <v>854</v>
      </c>
    </row>
    <row r="19" spans="1:11" x14ac:dyDescent="0.25">
      <c r="A19" s="4" t="str">
        <f>IF(tblEquip[[#This Row],[ชื่ออุปกรณ์]]="","","EQ-"&amp;TEXT(ROW()-5,"000"))</f>
        <v>EQ-014</v>
      </c>
      <c r="B19" s="6" t="s">
        <v>856</v>
      </c>
      <c r="C19" s="16">
        <v>46274</v>
      </c>
      <c r="D19" s="7">
        <v>25</v>
      </c>
      <c r="E19" s="6">
        <v>1</v>
      </c>
      <c r="F19" s="6" t="s">
        <v>853</v>
      </c>
      <c r="G19" s="6">
        <v>3</v>
      </c>
      <c r="H19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0.69444444444444442</v>
      </c>
      <c r="I19" s="6" t="s">
        <v>346</v>
      </c>
      <c r="J19" s="6" t="s">
        <v>861</v>
      </c>
      <c r="K19" s="6" t="s">
        <v>854</v>
      </c>
    </row>
    <row r="20" spans="1:11" x14ac:dyDescent="0.25">
      <c r="A20" s="4" t="str">
        <f>IF(tblEquip[[#This Row],[ชื่ออุปกรณ์]]="","","EQ-"&amp;TEXT(ROW()-5,"000"))</f>
        <v>EQ-015</v>
      </c>
      <c r="B20" s="6" t="s">
        <v>857</v>
      </c>
      <c r="C20" s="16">
        <v>46274</v>
      </c>
      <c r="D20" s="7">
        <v>16</v>
      </c>
      <c r="E20" s="6">
        <v>1</v>
      </c>
      <c r="F20" s="6" t="s">
        <v>853</v>
      </c>
      <c r="G20" s="6">
        <v>5</v>
      </c>
      <c r="H20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0.26666666666666666</v>
      </c>
      <c r="I20" s="6" t="s">
        <v>346</v>
      </c>
      <c r="J20" s="6" t="s">
        <v>861</v>
      </c>
      <c r="K20" s="6" t="s">
        <v>854</v>
      </c>
    </row>
    <row r="21" spans="1:11" x14ac:dyDescent="0.25">
      <c r="A21" s="4" t="str">
        <f>IF(tblEquip[[#This Row],[ชื่ออุปกรณ์]]="","","EQ-"&amp;TEXT(ROW()-5,"000"))</f>
        <v>EQ-016</v>
      </c>
      <c r="B21" s="6" t="s">
        <v>1135</v>
      </c>
      <c r="C21" s="16">
        <v>46282</v>
      </c>
      <c r="D21" s="7">
        <f>ROUND(34*$E$60,2)</f>
        <v>26.33</v>
      </c>
      <c r="E21" s="6">
        <v>1</v>
      </c>
      <c r="F21" s="6" t="s">
        <v>1136</v>
      </c>
      <c r="G21" s="6">
        <v>5</v>
      </c>
      <c r="H21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0.4388333333333333</v>
      </c>
      <c r="I21" s="6" t="s">
        <v>346</v>
      </c>
      <c r="J21" s="6" t="s">
        <v>861</v>
      </c>
      <c r="K21" s="6" t="s">
        <v>1137</v>
      </c>
    </row>
    <row r="22" spans="1:11" x14ac:dyDescent="0.25">
      <c r="A22" s="4" t="str">
        <f>IF(tblEquip[[#This Row],[ชื่ออุปกรณ์]]="","","EQ-"&amp;TEXT(ROW()-5,"000"))</f>
        <v>EQ-017</v>
      </c>
      <c r="B22" s="6" t="s">
        <v>1138</v>
      </c>
      <c r="C22" s="16">
        <v>46282</v>
      </c>
      <c r="D22" s="7">
        <f>ROUND(138*$E$60,2)</f>
        <v>106.86</v>
      </c>
      <c r="E22" s="6">
        <v>2</v>
      </c>
      <c r="F22" s="6" t="s">
        <v>1136</v>
      </c>
      <c r="G22" s="6">
        <v>3</v>
      </c>
      <c r="H22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5.9366666666666665</v>
      </c>
      <c r="I22" s="6" t="s">
        <v>346</v>
      </c>
      <c r="J22" s="6" t="s">
        <v>861</v>
      </c>
      <c r="K22" s="6" t="s">
        <v>1139</v>
      </c>
    </row>
    <row r="23" spans="1:11" x14ac:dyDescent="0.25">
      <c r="A23" s="4" t="str">
        <f>IF(tblEquip[[#This Row],[ชื่ออุปกรณ์]]="","","EQ-"&amp;TEXT(ROW()-5,"000"))</f>
        <v>EQ-018</v>
      </c>
      <c r="B23" s="6" t="s">
        <v>1140</v>
      </c>
      <c r="C23" s="16">
        <v>46282</v>
      </c>
      <c r="D23" s="7">
        <f>ROUND(45*$E$60,2)</f>
        <v>34.85</v>
      </c>
      <c r="E23" s="6">
        <v>1</v>
      </c>
      <c r="F23" s="6" t="s">
        <v>1136</v>
      </c>
      <c r="G23" s="6">
        <v>5</v>
      </c>
      <c r="H23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0.58083333333333331</v>
      </c>
      <c r="I23" s="6" t="s">
        <v>346</v>
      </c>
      <c r="J23" s="6" t="s">
        <v>861</v>
      </c>
      <c r="K23" s="6" t="s">
        <v>1141</v>
      </c>
    </row>
    <row r="24" spans="1:11" x14ac:dyDescent="0.25">
      <c r="A24" s="4" t="str">
        <f>IF(tblEquip[[#This Row],[ชื่ออุปกรณ์]]="","","EQ-"&amp;TEXT(ROW()-5,"000"))</f>
        <v>EQ-019</v>
      </c>
      <c r="B24" s="6" t="s">
        <v>1142</v>
      </c>
      <c r="C24" s="16">
        <v>46282</v>
      </c>
      <c r="D24" s="7">
        <f>ROUND(37*$E$60,2)</f>
        <v>28.65</v>
      </c>
      <c r="E24" s="6">
        <v>1</v>
      </c>
      <c r="F24" s="6" t="s">
        <v>1136</v>
      </c>
      <c r="G24" s="6">
        <v>1</v>
      </c>
      <c r="H24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2.3874999999999997</v>
      </c>
      <c r="I24" s="6" t="s">
        <v>346</v>
      </c>
      <c r="J24" s="6" t="s">
        <v>861</v>
      </c>
      <c r="K24" s="6" t="s">
        <v>1143</v>
      </c>
    </row>
    <row r="25" spans="1:11" x14ac:dyDescent="0.25">
      <c r="A25" s="4" t="str">
        <f>IF(tblEquip[[#This Row],[ชื่ออุปกรณ์]]="","","EQ-"&amp;TEXT(ROW()-5,"000"))</f>
        <v>EQ-020</v>
      </c>
      <c r="B25" s="6" t="s">
        <v>1144</v>
      </c>
      <c r="C25" s="16">
        <v>46282</v>
      </c>
      <c r="D25" s="7">
        <f>ROUND(30*$E$60,2)</f>
        <v>23.23</v>
      </c>
      <c r="E25" s="6">
        <v>2</v>
      </c>
      <c r="F25" s="6" t="s">
        <v>1136</v>
      </c>
      <c r="G25" s="6">
        <v>2</v>
      </c>
      <c r="H25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1.9358333333333333</v>
      </c>
      <c r="I25" s="6" t="s">
        <v>346</v>
      </c>
      <c r="J25" s="6" t="s">
        <v>861</v>
      </c>
      <c r="K25" s="6" t="s">
        <v>1145</v>
      </c>
    </row>
    <row r="26" spans="1:11" x14ac:dyDescent="0.25">
      <c r="A26" s="4" t="str">
        <f>IF(tblEquip[[#This Row],[ชื่ออุปกรณ์]]="","","EQ-"&amp;TEXT(ROW()-5,"000"))</f>
        <v>EQ-021</v>
      </c>
      <c r="B26" s="6" t="s">
        <v>1146</v>
      </c>
      <c r="C26" s="16">
        <v>46282</v>
      </c>
      <c r="D26" s="7">
        <f>ROUND(29*$E$61,2)</f>
        <v>22.27</v>
      </c>
      <c r="E26" s="6">
        <v>4</v>
      </c>
      <c r="F26" s="6" t="s">
        <v>1147</v>
      </c>
      <c r="G26" s="6">
        <v>2</v>
      </c>
      <c r="H26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3.7116666666666664</v>
      </c>
      <c r="I26" s="6" t="s">
        <v>346</v>
      </c>
      <c r="J26" s="6" t="s">
        <v>861</v>
      </c>
      <c r="K26" s="6" t="s">
        <v>1148</v>
      </c>
    </row>
    <row r="27" spans="1:11" x14ac:dyDescent="0.25">
      <c r="A27" s="4" t="str">
        <f>IF(tblEquip[[#This Row],[ชื่ออุปกรณ์]]="","","EQ-"&amp;TEXT(ROW()-5,"000"))</f>
        <v>EQ-022</v>
      </c>
      <c r="B27" s="6" t="s">
        <v>1149</v>
      </c>
      <c r="C27" s="16">
        <v>46282</v>
      </c>
      <c r="D27" s="7">
        <f>ROUND(39*$E$61,2)</f>
        <v>29.95</v>
      </c>
      <c r="E27" s="6">
        <v>1</v>
      </c>
      <c r="F27" s="6" t="s">
        <v>1147</v>
      </c>
      <c r="G27" s="6">
        <v>5</v>
      </c>
      <c r="H27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0.49916666666666665</v>
      </c>
      <c r="I27" s="6" t="s">
        <v>346</v>
      </c>
      <c r="J27" s="6" t="s">
        <v>861</v>
      </c>
      <c r="K27" s="6" t="s">
        <v>1150</v>
      </c>
    </row>
    <row r="28" spans="1:11" x14ac:dyDescent="0.25">
      <c r="A28" s="4" t="str">
        <f>IF(tblEquip[[#This Row],[ชื่ออุปกรณ์]]="","","EQ-"&amp;TEXT(ROW()-5,"000"))</f>
        <v>EQ-023</v>
      </c>
      <c r="B28" s="6" t="s">
        <v>1151</v>
      </c>
      <c r="C28" s="16">
        <v>46282</v>
      </c>
      <c r="D28" s="7">
        <f>ROUND(65*$E$61,2)</f>
        <v>49.91</v>
      </c>
      <c r="E28" s="6">
        <v>1</v>
      </c>
      <c r="F28" s="6" t="s">
        <v>1147</v>
      </c>
      <c r="G28" s="6">
        <v>3</v>
      </c>
      <c r="H28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1.3863888888888889</v>
      </c>
      <c r="I28" s="6" t="s">
        <v>346</v>
      </c>
      <c r="J28" s="6" t="s">
        <v>861</v>
      </c>
      <c r="K28" s="6" t="s">
        <v>1152</v>
      </c>
    </row>
    <row r="29" spans="1:11" x14ac:dyDescent="0.25">
      <c r="A29" s="4" t="str">
        <f>IF(tblEquip[[#This Row],[ชื่ออุปกรณ์]]="","","EQ-"&amp;TEXT(ROW()-5,"000"))</f>
        <v>EQ-024</v>
      </c>
      <c r="B29" s="6" t="s">
        <v>1153</v>
      </c>
      <c r="C29" s="16">
        <v>46282</v>
      </c>
      <c r="D29" s="7">
        <f>ROUND(30*$E$61,2)</f>
        <v>23.04</v>
      </c>
      <c r="E29" s="6">
        <v>1</v>
      </c>
      <c r="F29" s="6" t="s">
        <v>1147</v>
      </c>
      <c r="G29" s="6">
        <v>3</v>
      </c>
      <c r="H29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0.64</v>
      </c>
      <c r="I29" s="6" t="s">
        <v>346</v>
      </c>
      <c r="J29" s="6" t="s">
        <v>861</v>
      </c>
      <c r="K29" s="6" t="s">
        <v>1154</v>
      </c>
    </row>
    <row r="30" spans="1:11" x14ac:dyDescent="0.25">
      <c r="A30" s="4" t="str">
        <f>IF(tblEquip[[#This Row],[ชื่ออุปกรณ์]]="","","EQ-"&amp;TEXT(ROW()-5,"000"))</f>
        <v>EQ-025</v>
      </c>
      <c r="B30" s="6" t="s">
        <v>1155</v>
      </c>
      <c r="C30" s="16">
        <v>46282</v>
      </c>
      <c r="D30" s="7">
        <f>ROUND(95*$E$61,2)</f>
        <v>72.95</v>
      </c>
      <c r="E30" s="6">
        <v>1</v>
      </c>
      <c r="F30" s="6" t="s">
        <v>1147</v>
      </c>
      <c r="G30" s="6">
        <v>1</v>
      </c>
      <c r="H30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6.0791666666666666</v>
      </c>
      <c r="I30" s="6" t="s">
        <v>346</v>
      </c>
      <c r="J30" s="6" t="s">
        <v>861</v>
      </c>
      <c r="K30" s="6" t="s">
        <v>1156</v>
      </c>
    </row>
    <row r="31" spans="1:11" x14ac:dyDescent="0.25">
      <c r="A31" s="4" t="str">
        <f>IF(tblEquip[[#This Row],[ชื่ออุปกรณ์]]="","","EQ-"&amp;TEXT(ROW()-5,"000"))</f>
        <v>EQ-026</v>
      </c>
      <c r="B31" s="6" t="s">
        <v>1157</v>
      </c>
      <c r="C31" s="16">
        <v>46282</v>
      </c>
      <c r="D31" s="7">
        <f>ROUND(89*$E$61,2)</f>
        <v>68.34</v>
      </c>
      <c r="E31" s="6">
        <v>1</v>
      </c>
      <c r="F31" s="6" t="s">
        <v>1147</v>
      </c>
      <c r="G31" s="6">
        <v>3</v>
      </c>
      <c r="H31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1.8983333333333334</v>
      </c>
      <c r="I31" s="6" t="s">
        <v>346</v>
      </c>
      <c r="J31" s="6" t="s">
        <v>861</v>
      </c>
      <c r="K31" s="6" t="s">
        <v>1158</v>
      </c>
    </row>
    <row r="32" spans="1:11" x14ac:dyDescent="0.25">
      <c r="A32" s="4" t="str">
        <f>IF(tblEquip[[#This Row],[ชื่ออุปกรณ์]]="","","EQ-"&amp;TEXT(ROW()-5,"000"))</f>
        <v>EQ-027</v>
      </c>
      <c r="B32" s="6" t="s">
        <v>1159</v>
      </c>
      <c r="C32" s="16">
        <v>46282</v>
      </c>
      <c r="D32" s="7">
        <f>ROUND(2100*$E$62,2)</f>
        <v>1470</v>
      </c>
      <c r="E32" s="6">
        <v>1</v>
      </c>
      <c r="F32" s="6" t="s">
        <v>862</v>
      </c>
      <c r="G32" s="6">
        <v>3</v>
      </c>
      <c r="H32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40.833333333333336</v>
      </c>
      <c r="I32" s="6" t="s">
        <v>346</v>
      </c>
      <c r="J32" s="6" t="s">
        <v>861</v>
      </c>
      <c r="K32" s="6" t="s">
        <v>1160</v>
      </c>
    </row>
    <row r="33" spans="1:11" x14ac:dyDescent="0.25">
      <c r="A33" s="4" t="str">
        <f>IF(tblEquip[[#This Row],[ชื่ออุปกรณ์]]="","","EQ-"&amp;TEXT(ROW()-5,"000"))</f>
        <v>EQ-028</v>
      </c>
      <c r="B33" s="6" t="s">
        <v>1161</v>
      </c>
      <c r="C33" s="16">
        <v>46282</v>
      </c>
      <c r="D33" s="7">
        <f>ROUND(1180*$E$63,2)</f>
        <v>826</v>
      </c>
      <c r="E33" s="6">
        <v>1</v>
      </c>
      <c r="F33" s="6" t="s">
        <v>862</v>
      </c>
      <c r="G33" s="6">
        <v>5</v>
      </c>
      <c r="H33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13.766666666666667</v>
      </c>
      <c r="I33" s="6" t="s">
        <v>346</v>
      </c>
      <c r="J33" s="6" t="s">
        <v>861</v>
      </c>
      <c r="K33" s="6" t="s">
        <v>1162</v>
      </c>
    </row>
    <row r="34" spans="1:11" x14ac:dyDescent="0.25">
      <c r="A34" s="4" t="str">
        <f>IF(tblEquip[[#This Row],[ชื่ออุปกรณ์]]="","","EQ-"&amp;TEXT(ROW()-5,"000"))</f>
        <v>EQ-029</v>
      </c>
      <c r="B34" s="6" t="s">
        <v>1163</v>
      </c>
      <c r="C34" s="16">
        <v>46282</v>
      </c>
      <c r="D34" s="7">
        <f>ROUND(119*$E$65,2)</f>
        <v>93.5</v>
      </c>
      <c r="E34" s="6">
        <v>2</v>
      </c>
      <c r="F34" s="6" t="s">
        <v>1164</v>
      </c>
      <c r="G34" s="6">
        <v>2</v>
      </c>
      <c r="H34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7.791666666666667</v>
      </c>
      <c r="I34" s="6" t="s">
        <v>346</v>
      </c>
      <c r="J34" s="6" t="s">
        <v>861</v>
      </c>
      <c r="K34" s="6" t="s">
        <v>1165</v>
      </c>
    </row>
    <row r="35" spans="1:11" x14ac:dyDescent="0.25">
      <c r="A35" s="4" t="str">
        <f>IF(tblEquip[[#This Row],[ชื่ออุปกรณ์]]="","","EQ-"&amp;TEXT(ROW()-5,"000"))</f>
        <v>EQ-030</v>
      </c>
      <c r="B35" s="6" t="s">
        <v>1166</v>
      </c>
      <c r="C35" s="16">
        <v>46282</v>
      </c>
      <c r="D35" s="7">
        <f>ROUND(110*$E$66,2)</f>
        <v>84</v>
      </c>
      <c r="E35" s="6">
        <v>1</v>
      </c>
      <c r="F35" s="6" t="s">
        <v>1167</v>
      </c>
      <c r="G35" s="6">
        <v>2</v>
      </c>
      <c r="H35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3.5</v>
      </c>
      <c r="I35" s="6" t="s">
        <v>346</v>
      </c>
      <c r="J35" s="6" t="s">
        <v>861</v>
      </c>
      <c r="K35" s="6" t="s">
        <v>1168</v>
      </c>
    </row>
    <row r="36" spans="1:11" x14ac:dyDescent="0.25">
      <c r="A36" s="4" t="str">
        <f>IF(tblEquip[[#This Row],[ชื่ออุปกรณ์]]="","","EQ-"&amp;TEXT(ROW()-5,"000"))</f>
        <v>EQ-031</v>
      </c>
      <c r="B36" s="6" t="s">
        <v>1169</v>
      </c>
      <c r="C36" s="16">
        <v>46282</v>
      </c>
      <c r="D36" s="7">
        <f>ROUND(110*$E$66,2)</f>
        <v>84</v>
      </c>
      <c r="E36" s="6">
        <v>1</v>
      </c>
      <c r="F36" s="6" t="s">
        <v>1167</v>
      </c>
      <c r="G36" s="6">
        <v>2</v>
      </c>
      <c r="H36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3.5</v>
      </c>
      <c r="I36" s="6" t="s">
        <v>346</v>
      </c>
      <c r="J36" s="6" t="s">
        <v>861</v>
      </c>
      <c r="K36" s="6" t="s">
        <v>1170</v>
      </c>
    </row>
    <row r="37" spans="1:11" x14ac:dyDescent="0.25">
      <c r="A37" s="4" t="str">
        <f>IF(tblEquip[[#This Row],[ชื่ออุปกรณ์]]="","","EQ-"&amp;TEXT(ROW()-5,"000"))</f>
        <v>EQ-032</v>
      </c>
      <c r="B37" s="6" t="s">
        <v>1171</v>
      </c>
      <c r="C37" s="16">
        <v>46282</v>
      </c>
      <c r="D37" s="7">
        <f>ROUND(177*$E$67,2)</f>
        <v>109</v>
      </c>
      <c r="E37" s="6">
        <v>1</v>
      </c>
      <c r="F37" s="6" t="s">
        <v>1172</v>
      </c>
      <c r="G37" s="6">
        <v>3</v>
      </c>
      <c r="H37" s="8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>3.0277777777777777</v>
      </c>
      <c r="I37" s="6" t="s">
        <v>346</v>
      </c>
      <c r="J37" s="6" t="s">
        <v>861</v>
      </c>
      <c r="K37" s="6" t="s">
        <v>1173</v>
      </c>
    </row>
    <row r="38" spans="1:11" x14ac:dyDescent="0.25">
      <c r="A38" s="4" t="str">
        <f>IF(tblEquip[[#This Row],[ชื่ออุปกรณ์]]="","","EQ-"&amp;TEXT(ROW()-5,"000"))</f>
        <v/>
      </c>
      <c r="B38" s="6"/>
      <c r="C38" s="16"/>
      <c r="D38" s="7"/>
      <c r="E38" s="6"/>
      <c r="F38" s="6"/>
      <c r="G38" s="6"/>
      <c r="H38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38" s="6"/>
      <c r="J38" s="6"/>
      <c r="K38" s="6"/>
    </row>
    <row r="39" spans="1:11" x14ac:dyDescent="0.25">
      <c r="A39" s="4" t="str">
        <f>IF(tblEquip[[#This Row],[ชื่ออุปกรณ์]]="","","EQ-"&amp;TEXT(ROW()-5,"000"))</f>
        <v/>
      </c>
      <c r="B39" s="6"/>
      <c r="C39" s="16"/>
      <c r="D39" s="7"/>
      <c r="E39" s="6"/>
      <c r="F39" s="6"/>
      <c r="G39" s="6"/>
      <c r="H39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39" s="6"/>
      <c r="J39" s="6"/>
      <c r="K39" s="6"/>
    </row>
    <row r="40" spans="1:11" x14ac:dyDescent="0.25">
      <c r="A40" s="4" t="str">
        <f>IF(tblEquip[[#This Row],[ชื่ออุปกรณ์]]="","","EQ-"&amp;TEXT(ROW()-5,"000"))</f>
        <v/>
      </c>
      <c r="B40" s="6"/>
      <c r="C40" s="16"/>
      <c r="D40" s="7"/>
      <c r="E40" s="6"/>
      <c r="F40" s="6"/>
      <c r="G40" s="6"/>
      <c r="H40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0" s="6"/>
      <c r="J40" s="6"/>
      <c r="K40" s="6"/>
    </row>
    <row r="41" spans="1:11" x14ac:dyDescent="0.25">
      <c r="A41" s="4" t="str">
        <f>IF(tblEquip[[#This Row],[ชื่ออุปกรณ์]]="","","EQ-"&amp;TEXT(ROW()-5,"000"))</f>
        <v/>
      </c>
      <c r="B41" s="6"/>
      <c r="C41" s="16"/>
      <c r="D41" s="7"/>
      <c r="E41" s="6"/>
      <c r="F41" s="6"/>
      <c r="G41" s="6"/>
      <c r="H41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1" s="6"/>
      <c r="J41" s="6"/>
      <c r="K41" s="6"/>
    </row>
    <row r="42" spans="1:11" x14ac:dyDescent="0.25">
      <c r="A42" s="4" t="str">
        <f>IF(tblEquip[[#This Row],[ชื่ออุปกรณ์]]="","","EQ-"&amp;TEXT(ROW()-5,"000"))</f>
        <v/>
      </c>
      <c r="B42" s="6"/>
      <c r="C42" s="16"/>
      <c r="D42" s="7"/>
      <c r="E42" s="6"/>
      <c r="F42" s="6"/>
      <c r="G42" s="6"/>
      <c r="H42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2" s="6"/>
      <c r="J42" s="6"/>
      <c r="K42" s="6"/>
    </row>
    <row r="43" spans="1:11" x14ac:dyDescent="0.25">
      <c r="A43" s="4" t="str">
        <f>IF(tblEquip[[#This Row],[ชื่ออุปกรณ์]]="","","EQ-"&amp;TEXT(ROW()-5,"000"))</f>
        <v/>
      </c>
      <c r="B43" s="6"/>
      <c r="C43" s="16"/>
      <c r="D43" s="7"/>
      <c r="E43" s="6"/>
      <c r="F43" s="6"/>
      <c r="G43" s="6"/>
      <c r="H43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3" s="6"/>
      <c r="J43" s="6"/>
      <c r="K43" s="6"/>
    </row>
    <row r="44" spans="1:11" x14ac:dyDescent="0.25">
      <c r="A44" s="4" t="str">
        <f>IF(tblEquip[[#This Row],[ชื่ออุปกรณ์]]="","","EQ-"&amp;TEXT(ROW()-5,"000"))</f>
        <v/>
      </c>
      <c r="B44" s="6"/>
      <c r="C44" s="16"/>
      <c r="D44" s="7"/>
      <c r="E44" s="6"/>
      <c r="F44" s="6"/>
      <c r="G44" s="6"/>
      <c r="H44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4" s="6"/>
      <c r="J44" s="6"/>
      <c r="K44" s="6"/>
    </row>
    <row r="45" spans="1:11" x14ac:dyDescent="0.25">
      <c r="A45" s="4" t="str">
        <f>IF(tblEquip[[#This Row],[ชื่ออุปกรณ์]]="","","EQ-"&amp;TEXT(ROW()-5,"000"))</f>
        <v/>
      </c>
      <c r="B45" s="6"/>
      <c r="C45" s="16"/>
      <c r="D45" s="7"/>
      <c r="E45" s="6"/>
      <c r="F45" s="6"/>
      <c r="G45" s="6"/>
      <c r="H45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5" s="6"/>
      <c r="J45" s="6"/>
      <c r="K45" s="6"/>
    </row>
    <row r="46" spans="1:11" x14ac:dyDescent="0.25">
      <c r="A46" s="4" t="str">
        <f>IF(tblEquip[[#This Row],[ชื่ออุปกรณ์]]="","","EQ-"&amp;TEXT(ROW()-5,"000"))</f>
        <v/>
      </c>
      <c r="B46" s="6"/>
      <c r="C46" s="16"/>
      <c r="D46" s="7"/>
      <c r="E46" s="6"/>
      <c r="F46" s="6"/>
      <c r="G46" s="6"/>
      <c r="H46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6" s="6"/>
      <c r="J46" s="6"/>
      <c r="K46" s="6"/>
    </row>
    <row r="47" spans="1:11" x14ac:dyDescent="0.25">
      <c r="A47" s="4" t="str">
        <f>IF(tblEquip[[#This Row],[ชื่ออุปกรณ์]]="","","EQ-"&amp;TEXT(ROW()-5,"000"))</f>
        <v/>
      </c>
      <c r="B47" s="6"/>
      <c r="C47" s="16"/>
      <c r="D47" s="7"/>
      <c r="E47" s="6"/>
      <c r="F47" s="6"/>
      <c r="G47" s="6"/>
      <c r="H47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7" s="6"/>
      <c r="J47" s="6"/>
      <c r="K47" s="6"/>
    </row>
    <row r="48" spans="1:11" x14ac:dyDescent="0.25">
      <c r="A48" s="4" t="str">
        <f>IF(tblEquip[[#This Row],[ชื่ออุปกรณ์]]="","","EQ-"&amp;TEXT(ROW()-5,"000"))</f>
        <v/>
      </c>
      <c r="B48" s="6"/>
      <c r="C48" s="16"/>
      <c r="D48" s="7"/>
      <c r="E48" s="6"/>
      <c r="F48" s="6"/>
      <c r="G48" s="6"/>
      <c r="H48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8" s="6"/>
      <c r="J48" s="6"/>
      <c r="K48" s="6"/>
    </row>
    <row r="49" spans="1:11" x14ac:dyDescent="0.25">
      <c r="A49" s="4" t="str">
        <f>IF(tblEquip[[#This Row],[ชื่ออุปกรณ์]]="","","EQ-"&amp;TEXT(ROW()-5,"000"))</f>
        <v/>
      </c>
      <c r="B49" s="6"/>
      <c r="C49" s="16"/>
      <c r="D49" s="7"/>
      <c r="E49" s="6"/>
      <c r="F49" s="6"/>
      <c r="G49" s="6"/>
      <c r="H49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49" s="6"/>
      <c r="J49" s="6"/>
      <c r="K49" s="6"/>
    </row>
    <row r="50" spans="1:11" x14ac:dyDescent="0.25">
      <c r="A50" s="4" t="str">
        <f>IF(tblEquip[[#This Row],[ชื่ออุปกรณ์]]="","","EQ-"&amp;TEXT(ROW()-5,"000"))</f>
        <v/>
      </c>
      <c r="B50" s="6"/>
      <c r="C50" s="16"/>
      <c r="D50" s="7"/>
      <c r="E50" s="6"/>
      <c r="F50" s="6"/>
      <c r="G50" s="6"/>
      <c r="H50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0" s="6"/>
      <c r="J50" s="6"/>
      <c r="K50" s="6"/>
    </row>
    <row r="51" spans="1:11" x14ac:dyDescent="0.25">
      <c r="A51" s="4" t="str">
        <f>IF(tblEquip[[#This Row],[ชื่ออุปกรณ์]]="","","EQ-"&amp;TEXT(ROW()-5,"000"))</f>
        <v/>
      </c>
      <c r="B51" s="6"/>
      <c r="C51" s="16"/>
      <c r="D51" s="7"/>
      <c r="E51" s="6"/>
      <c r="F51" s="6"/>
      <c r="G51" s="6"/>
      <c r="H51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1" s="6"/>
      <c r="J51" s="6"/>
      <c r="K51" s="6"/>
    </row>
    <row r="52" spans="1:11" x14ac:dyDescent="0.25">
      <c r="A52" s="4" t="str">
        <f>IF(tblEquip[[#This Row],[ชื่ออุปกรณ์]]="","","EQ-"&amp;TEXT(ROW()-5,"000"))</f>
        <v/>
      </c>
      <c r="B52" s="6"/>
      <c r="C52" s="16"/>
      <c r="D52" s="7"/>
      <c r="E52" s="6"/>
      <c r="F52" s="6"/>
      <c r="G52" s="6"/>
      <c r="H52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2" s="6"/>
      <c r="J52" s="6"/>
      <c r="K52" s="6"/>
    </row>
    <row r="53" spans="1:11" x14ac:dyDescent="0.25">
      <c r="A53" s="4" t="str">
        <f>IF(tblEquip[[#This Row],[ชื่ออุปกรณ์]]="","","EQ-"&amp;TEXT(ROW()-5,"000"))</f>
        <v/>
      </c>
      <c r="B53" s="6"/>
      <c r="C53" s="16"/>
      <c r="D53" s="7"/>
      <c r="E53" s="6"/>
      <c r="F53" s="6"/>
      <c r="G53" s="6"/>
      <c r="H53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3" s="6"/>
      <c r="J53" s="6"/>
      <c r="K53" s="6"/>
    </row>
    <row r="54" spans="1:11" x14ac:dyDescent="0.25">
      <c r="A54" s="4" t="str">
        <f>IF(tblEquip[[#This Row],[ชื่ออุปกรณ์]]="","","EQ-"&amp;TEXT(ROW()-5,"000"))</f>
        <v/>
      </c>
      <c r="B54" s="6"/>
      <c r="C54" s="16"/>
      <c r="D54" s="7"/>
      <c r="E54" s="6"/>
      <c r="F54" s="6"/>
      <c r="G54" s="6"/>
      <c r="H54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4" s="6"/>
      <c r="J54" s="6"/>
      <c r="K54" s="6"/>
    </row>
    <row r="55" spans="1:11" x14ac:dyDescent="0.25">
      <c r="A55" s="4" t="str">
        <f>IF(tblEquip[[#This Row],[ชื่ออุปกรณ์]]="","","EQ-"&amp;TEXT(ROW()-5,"000"))</f>
        <v/>
      </c>
      <c r="B55" s="6"/>
      <c r="C55" s="16"/>
      <c r="D55" s="7"/>
      <c r="E55" s="6"/>
      <c r="F55" s="6"/>
      <c r="G55" s="6"/>
      <c r="H55" s="8" t="str">
        <f>IF(OR(tblEquip[[#This Row],[ชื่ออุปกรณ์]]="",N(tblEquip[[#This Row],[อายุใช้งาน (ปี)]])=0),"",tblEquip[[#This Row],[ราคา (บาท)]]*tblEquip[[#This Row],[จำนวน]]/(tblEquip[[#This Row],[อายุใช้งาน (ปี)]]*12))</f>
        <v/>
      </c>
      <c r="I55" s="6"/>
      <c r="J55" s="6"/>
      <c r="K55" s="6"/>
    </row>
    <row r="58" spans="1:11" ht="18" x14ac:dyDescent="0.25">
      <c r="A58" s="183" t="s">
        <v>1110</v>
      </c>
    </row>
    <row r="59" spans="1:11" ht="25.5" x14ac:dyDescent="0.25">
      <c r="A59" s="184" t="s">
        <v>1111</v>
      </c>
      <c r="B59" s="185" t="s">
        <v>1112</v>
      </c>
      <c r="C59" s="185" t="s">
        <v>1113</v>
      </c>
      <c r="D59" s="185" t="s">
        <v>1114</v>
      </c>
      <c r="E59" s="185" t="s">
        <v>1115</v>
      </c>
      <c r="F59" s="185" t="s">
        <v>59</v>
      </c>
    </row>
    <row r="60" spans="1:11" x14ac:dyDescent="0.25">
      <c r="A60" s="186" t="s">
        <v>1116</v>
      </c>
      <c r="B60" s="186" t="s">
        <v>1117</v>
      </c>
      <c r="C60" s="187">
        <v>350</v>
      </c>
      <c r="D60" s="187">
        <f>34*1+138*2+45*1+37*1+30*2</f>
        <v>452</v>
      </c>
      <c r="E60" s="188">
        <f>IFERROR(C60/D60,"")</f>
        <v>0.77433628318584069</v>
      </c>
      <c r="F60" s="186"/>
    </row>
    <row r="61" spans="1:11" x14ac:dyDescent="0.25">
      <c r="A61" s="189" t="s">
        <v>1118</v>
      </c>
      <c r="B61" s="189" t="s">
        <v>1119</v>
      </c>
      <c r="C61" s="190">
        <v>397</v>
      </c>
      <c r="D61" s="190">
        <f>29*4+39*1+65*1+30*1+95*1+89*1+83*1</f>
        <v>517</v>
      </c>
      <c r="E61" s="191">
        <f>IFERROR(C61/D61,"")</f>
        <v>0.76789168278529985</v>
      </c>
      <c r="F61" s="189"/>
    </row>
    <row r="62" spans="1:11" x14ac:dyDescent="0.25">
      <c r="A62" s="189" t="s">
        <v>1120</v>
      </c>
      <c r="B62" s="189" t="s">
        <v>1121</v>
      </c>
      <c r="C62" s="190">
        <v>1470</v>
      </c>
      <c r="D62" s="190">
        <f>2100*1</f>
        <v>2100</v>
      </c>
      <c r="E62" s="191">
        <f>IFERROR(C62/D62,"")</f>
        <v>0.7</v>
      </c>
      <c r="F62" s="189"/>
    </row>
    <row r="63" spans="1:11" x14ac:dyDescent="0.25">
      <c r="A63" s="189" t="s">
        <v>1122</v>
      </c>
      <c r="B63" s="189" t="s">
        <v>1123</v>
      </c>
      <c r="C63" s="190">
        <v>826</v>
      </c>
      <c r="D63" s="190">
        <f>1180*1</f>
        <v>1180</v>
      </c>
      <c r="E63" s="191">
        <f>IFERROR(C63/D63,"")</f>
        <v>0.7</v>
      </c>
      <c r="F63" s="189"/>
    </row>
    <row r="64" spans="1:11" x14ac:dyDescent="0.25">
      <c r="A64" s="189" t="s">
        <v>1124</v>
      </c>
      <c r="B64" s="189" t="s">
        <v>1125</v>
      </c>
      <c r="C64" s="190">
        <v>287</v>
      </c>
      <c r="D64" s="190">
        <f>410*1</f>
        <v>410</v>
      </c>
      <c r="E64" s="191">
        <f>IFERROR(C64/D64,"")</f>
        <v>0.7</v>
      </c>
      <c r="F64" s="189"/>
    </row>
    <row r="65" spans="1:6" x14ac:dyDescent="0.25">
      <c r="A65" s="189" t="s">
        <v>1126</v>
      </c>
      <c r="B65" s="189" t="s">
        <v>1127</v>
      </c>
      <c r="C65" s="190">
        <v>187</v>
      </c>
      <c r="D65" s="190">
        <f>119*2</f>
        <v>238</v>
      </c>
      <c r="E65" s="191">
        <f>IFERROR(C65/D65,"")</f>
        <v>0.7857142857142857</v>
      </c>
      <c r="F65" s="189"/>
    </row>
    <row r="66" spans="1:6" x14ac:dyDescent="0.25">
      <c r="A66" s="189" t="s">
        <v>1128</v>
      </c>
      <c r="B66" s="189" t="s">
        <v>1129</v>
      </c>
      <c r="C66" s="190">
        <v>168</v>
      </c>
      <c r="D66" s="190">
        <f>110*1+110*1</f>
        <v>220</v>
      </c>
      <c r="E66" s="191">
        <f>IFERROR(C66/D66,"")</f>
        <v>0.76363636363636367</v>
      </c>
      <c r="F66" s="189"/>
    </row>
    <row r="67" spans="1:6" x14ac:dyDescent="0.25">
      <c r="A67" s="189" t="s">
        <v>1130</v>
      </c>
      <c r="B67" s="189" t="s">
        <v>1131</v>
      </c>
      <c r="C67" s="190">
        <v>109</v>
      </c>
      <c r="D67" s="190">
        <f>177*1</f>
        <v>177</v>
      </c>
      <c r="E67" s="191">
        <f>IFERROR(C67/D67,"")</f>
        <v>0.61581920903954801</v>
      </c>
      <c r="F67" s="189"/>
    </row>
    <row r="68" spans="1:6" x14ac:dyDescent="0.25">
      <c r="A68" s="189" t="s">
        <v>1132</v>
      </c>
      <c r="B68" s="189" t="s">
        <v>1133</v>
      </c>
      <c r="C68" s="190">
        <v>297</v>
      </c>
      <c r="D68" s="190">
        <f>198*2</f>
        <v>396</v>
      </c>
      <c r="E68" s="191">
        <f>IFERROR(C68/D68,"")</f>
        <v>0.75</v>
      </c>
      <c r="F68" s="189"/>
    </row>
    <row r="69" spans="1:6" x14ac:dyDescent="0.25">
      <c r="A69" s="189" t="s">
        <v>1134</v>
      </c>
      <c r="B69" s="189" t="s">
        <v>1187</v>
      </c>
      <c r="C69" s="190">
        <v>149.94</v>
      </c>
      <c r="D69" s="190">
        <f>24.99*6</f>
        <v>149.94</v>
      </c>
      <c r="E69" s="191">
        <f>IFERROR(C69/D69,"")</f>
        <v>1</v>
      </c>
      <c r="F69" s="189"/>
    </row>
  </sheetData>
  <dataValidations count="3">
    <dataValidation type="decimal" operator="greaterThanOrEqual" allowBlank="1" showInputMessage="1" showErrorMessage="1" errorTitle="ค่าไม่ถูกต้อง" error="กรอกตัวเลข ≥ 0" prompt="ตัวเลขเท่านั้น" sqref="G6:G55 D6:D55" xr:uid="{C27D21EB-5DCD-F244-A882-3A5178E7B947}">
      <formula1>0</formula1>
    </dataValidation>
    <dataValidation type="whole" operator="greaterThanOrEqual" allowBlank="1" showInputMessage="1" showErrorMessage="1" errorTitle="ค่าไม่ถูกต้อง" error="กรอกจำนวนเต็ม ≥ 1" prompt="จำนวนเต็มเท่านั้น" sqref="E6:E55" xr:uid="{C4029A75-2BAD-9C4C-A221-5C6A5FDF1C3A}">
      <formula1>1</formula1>
    </dataValidation>
    <dataValidation type="date" allowBlank="1" showInputMessage="1" showErrorMessage="1" errorTitle="วันที่ไม่ถูกต้อง" error="กรอกวันที่รูปแบบ ปปปป-ดด-วว" sqref="C6:C55" xr:uid="{7A05684C-60EB-F440-A4E5-D7F1BBC3C53E}">
      <formula1>45292</formula1>
      <formula2>49674</formula2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FA3DDD-1A29-E840-A378-2B6EE3366BB7}">
          <x14:formula1>
            <xm:f>Lists!$M$2:$M$5</xm:f>
          </x14:formula1>
          <xm:sqref>I6:I55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L5"/>
  <sheetViews>
    <sheetView showGridLines="0" zoomScaleNormal="100" workbookViewId="0">
      <selection activeCell="M29" sqref="M29"/>
    </sheetView>
  </sheetViews>
  <sheetFormatPr defaultColWidth="8.7109375" defaultRowHeight="15" x14ac:dyDescent="0.25"/>
  <cols>
    <col min="1" max="1" width="12" customWidth="1"/>
    <col min="2" max="2" width="20" customWidth="1"/>
    <col min="3" max="3" width="9" customWidth="1"/>
    <col min="4" max="4" width="11" customWidth="1"/>
    <col min="5" max="5" width="12" customWidth="1"/>
    <col min="6" max="6" width="11" customWidth="1"/>
    <col min="7" max="8" width="10" customWidth="1"/>
    <col min="9" max="9" width="11" customWidth="1"/>
    <col min="10" max="10" width="10" customWidth="1"/>
    <col min="11" max="11" width="11" customWidth="1"/>
    <col min="12" max="12" width="73.42578125" bestFit="1" customWidth="1"/>
  </cols>
  <sheetData>
    <row r="1" spans="1:12" ht="25.5" customHeight="1" x14ac:dyDescent="0.3">
      <c r="A1" s="149" t="s">
        <v>190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</row>
    <row r="2" spans="1:12" x14ac:dyDescent="0.25">
      <c r="A2" s="48" t="s">
        <v>191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33.75" customHeight="1" x14ac:dyDescent="0.25">
      <c r="A4" s="79" t="s">
        <v>192</v>
      </c>
      <c r="B4" s="79" t="s">
        <v>2</v>
      </c>
      <c r="C4" s="79" t="s">
        <v>40</v>
      </c>
      <c r="D4" s="79" t="s">
        <v>41</v>
      </c>
      <c r="E4" s="79" t="s">
        <v>193</v>
      </c>
      <c r="F4" s="79" t="s">
        <v>194</v>
      </c>
      <c r="G4" s="79" t="s">
        <v>195</v>
      </c>
      <c r="H4" s="79" t="s">
        <v>196</v>
      </c>
      <c r="I4" s="79" t="s">
        <v>197</v>
      </c>
      <c r="J4" s="79" t="s">
        <v>198</v>
      </c>
      <c r="K4" s="79" t="s">
        <v>199</v>
      </c>
      <c r="L4" s="79" t="s">
        <v>200</v>
      </c>
    </row>
    <row r="5" spans="1:12" x14ac:dyDescent="0.25">
      <c r="A5" s="80" t="s">
        <v>201</v>
      </c>
      <c r="B5" s="80" t="s">
        <v>76</v>
      </c>
      <c r="C5" s="80" t="s">
        <v>5</v>
      </c>
      <c r="D5" s="84" t="s">
        <v>7</v>
      </c>
      <c r="E5" s="80" t="s">
        <v>202</v>
      </c>
      <c r="F5" s="80">
        <v>20</v>
      </c>
      <c r="G5" s="80">
        <v>3.4</v>
      </c>
      <c r="H5" s="80">
        <v>3</v>
      </c>
      <c r="I5" s="80">
        <v>3.2</v>
      </c>
      <c r="J5" s="80">
        <v>4.2</v>
      </c>
      <c r="K5" s="80">
        <v>4.0999999999999996</v>
      </c>
      <c r="L5" s="80" t="s">
        <v>203</v>
      </c>
    </row>
  </sheetData>
  <mergeCells count="1">
    <mergeCell ref="A1:L1"/>
  </mergeCells>
  <dataValidations count="2">
    <dataValidation type="whole" allowBlank="1" showInputMessage="1" showErrorMessage="1" errorTitle="คะแนน 1–5" error="กรอกคะแนน 1 ถึง 5 เท่านั้น (3 = พอดี)" sqref="G5:J200" xr:uid="{E3D8EE2A-7D10-754E-B87B-651A76570F0F}">
      <formula1>1</formula1>
      <formula2>5</formula2>
    </dataValidation>
    <dataValidation type="date" allowBlank="1" showInputMessage="1" showErrorMessage="1" errorTitle="วันที่ไม่ถูกต้อง" error="กรอกวันที่รูปแบบ ปปปป-ดด-วว" sqref="A5:A200" xr:uid="{DD6182BF-DD37-5D48-B0F1-79702D49C87B}">
      <formula1>45292</formula1>
      <formula2>49674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F31BCA-CC69-434B-99F0-74E93D998FCA}">
          <x14:formula1>
            <xm:f>Lists!$A$2:$A$60</xm:f>
          </x14:formula1>
          <xm:sqref>B5:B200</xm:sqref>
        </x14:dataValidation>
        <x14:dataValidation type="list" allowBlank="1" showInputMessage="1" showErrorMessage="1" xr:uid="{24A93E70-63A5-0246-8958-D0CF1F586110}">
          <x14:formula1>
            <xm:f>Lists!$E$2:$E$3</xm:f>
          </x14:formula1>
          <xm:sqref>C5:C200</xm:sqref>
        </x14:dataValidation>
        <x14:dataValidation type="list" allowBlank="1" showInputMessage="1" showErrorMessage="1" xr:uid="{0F1D36F6-3803-444C-B141-75F8B6BC8B75}">
          <x14:formula1>
            <xm:f>Lists!$F$2:$F$6</xm:f>
          </x14:formula1>
          <xm:sqref>D5:D200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DAD8-1313-7A49-8DFA-8DFE42396D2D}">
  <sheetPr>
    <tabColor rgb="FFC55A11"/>
  </sheetPr>
  <dimension ref="A1:L64"/>
  <sheetViews>
    <sheetView showGridLines="0" workbookViewId="0">
      <selection activeCell="H34" sqref="H34"/>
    </sheetView>
  </sheetViews>
  <sheetFormatPr defaultColWidth="10.85546875" defaultRowHeight="15" x14ac:dyDescent="0.25"/>
  <cols>
    <col min="1" max="1" width="48.5703125" customWidth="1"/>
    <col min="2" max="2" width="30.28515625" customWidth="1"/>
    <col min="3" max="9" width="10.42578125" customWidth="1"/>
    <col min="10" max="10" width="39.7109375" customWidth="1"/>
    <col min="11" max="11" width="35" customWidth="1"/>
    <col min="12" max="12" width="16.28515625" customWidth="1"/>
  </cols>
  <sheetData>
    <row r="1" spans="1:12" ht="18" x14ac:dyDescent="0.25">
      <c r="A1" s="2" t="s">
        <v>794</v>
      </c>
    </row>
    <row r="2" spans="1:12" x14ac:dyDescent="0.25">
      <c r="A2" s="85" t="s">
        <v>795</v>
      </c>
    </row>
    <row r="4" spans="1:12" ht="25.5" x14ac:dyDescent="0.25">
      <c r="A4" s="36" t="s">
        <v>2</v>
      </c>
      <c r="B4" s="36" t="s">
        <v>173</v>
      </c>
      <c r="C4" s="36" t="s">
        <v>796</v>
      </c>
      <c r="D4" s="36" t="s">
        <v>797</v>
      </c>
      <c r="E4" s="36" t="s">
        <v>798</v>
      </c>
      <c r="F4" s="36" t="s">
        <v>799</v>
      </c>
      <c r="G4" s="36" t="s">
        <v>800</v>
      </c>
      <c r="H4" s="36" t="s">
        <v>801</v>
      </c>
      <c r="I4" s="36" t="s">
        <v>802</v>
      </c>
      <c r="J4" s="36" t="s">
        <v>803</v>
      </c>
      <c r="K4" s="36" t="s">
        <v>804</v>
      </c>
      <c r="L4" s="36" t="s">
        <v>370</v>
      </c>
    </row>
    <row r="5" spans="1:12" x14ac:dyDescent="0.25">
      <c r="A5" s="87" t="str">
        <f>IF(Lists!$A$2="","",Lists!$A$2)</f>
        <v>Original</v>
      </c>
      <c r="B5" s="87" t="str">
        <f>IF(A5="","",Lists!$B$2)</f>
        <v>ชาไทยเย็น</v>
      </c>
      <c r="C5" s="87">
        <f>IF(A5="","",COUNTIFS('R&amp;D Log'!$B$5:$B$500,A5))</f>
        <v>0</v>
      </c>
      <c r="D5" s="87">
        <f>IF(A5="","",SUMIFS('R&amp;D Log'!$F$5:$F$500,'R&amp;D Log'!$B$5:$B$500,A5))</f>
        <v>0</v>
      </c>
      <c r="E5" s="112" t="str">
        <f>IF(C5=0,"",AVERAGEIFS('R&amp;D Log'!$G$5:$G$500,'R&amp;D Log'!$B$5:$B$500,A5))</f>
        <v/>
      </c>
      <c r="F5" s="112" t="str">
        <f>IF(C5=0,"",AVERAGEIFS('R&amp;D Log'!$H$5:$H$500,'R&amp;D Log'!$B$5:$B$500,A5))</f>
        <v/>
      </c>
      <c r="G5" s="112" t="str">
        <f>IF(C5=0,"",AVERAGEIFS('R&amp;D Log'!$I$5:$I$500,'R&amp;D Log'!$B$5:$B$500,A5))</f>
        <v/>
      </c>
      <c r="H5" s="112" t="str">
        <f>IF(C5=0,"",AVERAGEIFS('R&amp;D Log'!$J$5:$J$500,'R&amp;D Log'!$B$5:$B$500,A5))</f>
        <v/>
      </c>
      <c r="I5" s="112" t="str">
        <f>IF(C5=0,"",AVERAGEIFS('R&amp;D Log'!$K$5:$K$500,'R&amp;D Log'!$B$5:$B$500,A5))</f>
        <v/>
      </c>
      <c r="J5" s="87" t="str">
        <f t="shared" ref="J5:J28" si="0">IF(E5="","ยังไม่มีข้อมูล",IF(E5&gt;$B$31,"หวานไป → ลดตัวหวาน ~"&amp;TEXT((E5-3)*10,"0")&amp;"%",IF(E5&lt;$B$32,"หวานน้อยไป → เพิ่มตัวหวาน ~"&amp;TEXT((3-E5)*10,"0")&amp;"%","พอดี")))</f>
        <v>ยังไม่มีข้อมูล</v>
      </c>
      <c r="K5" s="87" t="str">
        <f t="shared" ref="K5:K28" si="1">IF(F5="","ยังไม่มีข้อมูล",IF(F5&gt;$B$31,"ชาเข้มไป → ลดเบสชา 5–10 ml",IF(F5&lt;$B$32,"ชาอ่อนไป → เพิ่มเบสชา 5–10 ml","พอดี")))</f>
        <v>ยังไม่มีข้อมูล</v>
      </c>
      <c r="L5" s="87" t="str">
        <f t="shared" ref="L5:L28" si="2">IF(C5=0,"รอชิม",IF(AND(ABS(E5-3)&lt;=3-$B$32,ABS(F5-3)&lt;=3-$B$32,ABS(G5-3)&lt;=3-$B$32,I5&gt;=$B$33),"✅ ผ่าน",IF(I5&lt;$B$34,"🔴 ต้องแก้ด่วน","🟡 ปรับแก้")))</f>
        <v>รอชิม</v>
      </c>
    </row>
    <row r="6" spans="1:12" x14ac:dyDescent="0.25">
      <c r="A6" s="87" t="str">
        <f>IF(Lists!$A$3="","",Lists!$A$3)</f>
        <v>Latte</v>
      </c>
      <c r="B6" s="87" t="str">
        <f>IF(A6="","",Lists!$B$3)</f>
        <v>ชาไทยนมสด</v>
      </c>
      <c r="C6" s="87">
        <f>IF(A6="","",COUNTIFS('R&amp;D Log'!$B$5:$B$500,A6))</f>
        <v>0</v>
      </c>
      <c r="D6" s="87">
        <f>IF(A6="","",SUMIFS('R&amp;D Log'!$F$5:$F$500,'R&amp;D Log'!$B$5:$B$500,A6))</f>
        <v>0</v>
      </c>
      <c r="E6" s="112" t="str">
        <f>IF(C6=0,"",AVERAGEIFS('R&amp;D Log'!$G$5:$G$500,'R&amp;D Log'!$B$5:$B$500,A6))</f>
        <v/>
      </c>
      <c r="F6" s="112" t="str">
        <f>IF(C6=0,"",AVERAGEIFS('R&amp;D Log'!$H$5:$H$500,'R&amp;D Log'!$B$5:$B$500,A6))</f>
        <v/>
      </c>
      <c r="G6" s="112" t="str">
        <f>IF(C6=0,"",AVERAGEIFS('R&amp;D Log'!$I$5:$I$500,'R&amp;D Log'!$B$5:$B$500,A6))</f>
        <v/>
      </c>
      <c r="H6" s="112" t="str">
        <f>IF(C6=0,"",AVERAGEIFS('R&amp;D Log'!$J$5:$J$500,'R&amp;D Log'!$B$5:$B$500,A6))</f>
        <v/>
      </c>
      <c r="I6" s="112" t="str">
        <f>IF(C6=0,"",AVERAGEIFS('R&amp;D Log'!$K$5:$K$500,'R&amp;D Log'!$B$5:$B$500,A6))</f>
        <v/>
      </c>
      <c r="J6" s="87" t="str">
        <f t="shared" si="0"/>
        <v>ยังไม่มีข้อมูล</v>
      </c>
      <c r="K6" s="87" t="str">
        <f t="shared" si="1"/>
        <v>ยังไม่มีข้อมูล</v>
      </c>
      <c r="L6" s="87" t="str">
        <f t="shared" si="2"/>
        <v>รอชิม</v>
      </c>
    </row>
    <row r="7" spans="1:12" x14ac:dyDescent="0.25">
      <c r="A7" s="87" t="str">
        <f>IF(Lists!$A$4="","",Lists!$A$4)</f>
        <v>Cream Cheese</v>
      </c>
      <c r="B7" s="87" t="str">
        <f>IF(A7="","",Lists!$B$4)</f>
        <v>ชาไทยครีมชีสโฟม</v>
      </c>
      <c r="C7" s="87">
        <f>IF(A7="","",COUNTIFS('R&amp;D Log'!$B$5:$B$500,A7))</f>
        <v>0</v>
      </c>
      <c r="D7" s="87">
        <f>IF(A7="","",SUMIFS('R&amp;D Log'!$F$5:$F$500,'R&amp;D Log'!$B$5:$B$500,A7))</f>
        <v>0</v>
      </c>
      <c r="E7" s="112" t="str">
        <f>IF(C7=0,"",AVERAGEIFS('R&amp;D Log'!$G$5:$G$500,'R&amp;D Log'!$B$5:$B$500,A7))</f>
        <v/>
      </c>
      <c r="F7" s="112" t="str">
        <f>IF(C7=0,"",AVERAGEIFS('R&amp;D Log'!$H$5:$H$500,'R&amp;D Log'!$B$5:$B$500,A7))</f>
        <v/>
      </c>
      <c r="G7" s="112" t="str">
        <f>IF(C7=0,"",AVERAGEIFS('R&amp;D Log'!$I$5:$I$500,'R&amp;D Log'!$B$5:$B$500,A7))</f>
        <v/>
      </c>
      <c r="H7" s="112" t="str">
        <f>IF(C7=0,"",AVERAGEIFS('R&amp;D Log'!$J$5:$J$500,'R&amp;D Log'!$B$5:$B$500,A7))</f>
        <v/>
      </c>
      <c r="I7" s="112" t="str">
        <f>IF(C7=0,"",AVERAGEIFS('R&amp;D Log'!$K$5:$K$500,'R&amp;D Log'!$B$5:$B$500,A7))</f>
        <v/>
      </c>
      <c r="J7" s="87" t="str">
        <f t="shared" si="0"/>
        <v>ยังไม่มีข้อมูล</v>
      </c>
      <c r="K7" s="87" t="str">
        <f t="shared" si="1"/>
        <v>ยังไม่มีข้อมูล</v>
      </c>
      <c r="L7" s="87" t="str">
        <f t="shared" si="2"/>
        <v>รอชิม</v>
      </c>
    </row>
    <row r="8" spans="1:12" x14ac:dyDescent="0.25">
      <c r="A8" s="87" t="str">
        <f>IF(Lists!$A$5="","",Lists!$A$5)</f>
        <v>Whip Cheese</v>
      </c>
      <c r="B8" s="87" t="str">
        <f>IF(A8="","",Lists!$B$5)</f>
        <v>ชาไทยวิปชีส</v>
      </c>
      <c r="C8" s="87">
        <f>IF(A8="","",COUNTIFS('R&amp;D Log'!$B$5:$B$500,A8))</f>
        <v>0</v>
      </c>
      <c r="D8" s="87">
        <f>IF(A8="","",SUMIFS('R&amp;D Log'!$F$5:$F$500,'R&amp;D Log'!$B$5:$B$500,A8))</f>
        <v>0</v>
      </c>
      <c r="E8" s="112" t="str">
        <f>IF(C8=0,"",AVERAGEIFS('R&amp;D Log'!$G$5:$G$500,'R&amp;D Log'!$B$5:$B$500,A8))</f>
        <v/>
      </c>
      <c r="F8" s="112" t="str">
        <f>IF(C8=0,"",AVERAGEIFS('R&amp;D Log'!$H$5:$H$500,'R&amp;D Log'!$B$5:$B$500,A8))</f>
        <v/>
      </c>
      <c r="G8" s="112" t="str">
        <f>IF(C8=0,"",AVERAGEIFS('R&amp;D Log'!$I$5:$I$500,'R&amp;D Log'!$B$5:$B$500,A8))</f>
        <v/>
      </c>
      <c r="H8" s="112" t="str">
        <f>IF(C8=0,"",AVERAGEIFS('R&amp;D Log'!$J$5:$J$500,'R&amp;D Log'!$B$5:$B$500,A8))</f>
        <v/>
      </c>
      <c r="I8" s="112" t="str">
        <f>IF(C8=0,"",AVERAGEIFS('R&amp;D Log'!$K$5:$K$500,'R&amp;D Log'!$B$5:$B$500,A8))</f>
        <v/>
      </c>
      <c r="J8" s="87" t="str">
        <f t="shared" si="0"/>
        <v>ยังไม่มีข้อมูล</v>
      </c>
      <c r="K8" s="87" t="str">
        <f t="shared" si="1"/>
        <v>ยังไม่มีข้อมูล</v>
      </c>
      <c r="L8" s="87" t="str">
        <f t="shared" si="2"/>
        <v>รอชิม</v>
      </c>
    </row>
    <row r="9" spans="1:12" x14ac:dyDescent="0.25">
      <c r="A9" s="87" t="str">
        <f>IF(Lists!$A$6="","",Lists!$A$6)</f>
        <v>Orange Latte</v>
      </c>
      <c r="B9" s="87" t="str">
        <f>IF(A9="","",Lists!$B$6)</f>
        <v>ชาไทยส้ม</v>
      </c>
      <c r="C9" s="87">
        <f>IF(A9="","",COUNTIFS('R&amp;D Log'!$B$5:$B$500,A9))</f>
        <v>0</v>
      </c>
      <c r="D9" s="87">
        <f>IF(A9="","",SUMIFS('R&amp;D Log'!$F$5:$F$500,'R&amp;D Log'!$B$5:$B$500,A9))</f>
        <v>0</v>
      </c>
      <c r="E9" s="112" t="str">
        <f>IF(C9=0,"",AVERAGEIFS('R&amp;D Log'!$G$5:$G$500,'R&amp;D Log'!$B$5:$B$500,A9))</f>
        <v/>
      </c>
      <c r="F9" s="112" t="str">
        <f>IF(C9=0,"",AVERAGEIFS('R&amp;D Log'!$H$5:$H$500,'R&amp;D Log'!$B$5:$B$500,A9))</f>
        <v/>
      </c>
      <c r="G9" s="112" t="str">
        <f>IF(C9=0,"",AVERAGEIFS('R&amp;D Log'!$I$5:$I$500,'R&amp;D Log'!$B$5:$B$500,A9))</f>
        <v/>
      </c>
      <c r="H9" s="112" t="str">
        <f>IF(C9=0,"",AVERAGEIFS('R&amp;D Log'!$J$5:$J$500,'R&amp;D Log'!$B$5:$B$500,A9))</f>
        <v/>
      </c>
      <c r="I9" s="112" t="str">
        <f>IF(C9=0,"",AVERAGEIFS('R&amp;D Log'!$K$5:$K$500,'R&amp;D Log'!$B$5:$B$500,A9))</f>
        <v/>
      </c>
      <c r="J9" s="87" t="str">
        <f t="shared" si="0"/>
        <v>ยังไม่มีข้อมูล</v>
      </c>
      <c r="K9" s="87" t="str">
        <f t="shared" si="1"/>
        <v>ยังไม่มีข้อมูล</v>
      </c>
      <c r="L9" s="87" t="str">
        <f t="shared" si="2"/>
        <v>รอชิม</v>
      </c>
    </row>
    <row r="10" spans="1:12" x14ac:dyDescent="0.25">
      <c r="A10" s="87" t="str">
        <f>IF(Lists!$A$7="","",Lists!$A$7)</f>
        <v>Cocoa</v>
      </c>
      <c r="B10" s="87" t="str">
        <f>IF(A10="","",Lists!$B$7)</f>
        <v>ชาไทยโกโก้</v>
      </c>
      <c r="C10" s="87">
        <f>IF(A10="","",COUNTIFS('R&amp;D Log'!$B$5:$B$500,A10))</f>
        <v>0</v>
      </c>
      <c r="D10" s="87">
        <f>IF(A10="","",SUMIFS('R&amp;D Log'!$F$5:$F$500,'R&amp;D Log'!$B$5:$B$500,A10))</f>
        <v>0</v>
      </c>
      <c r="E10" s="112" t="str">
        <f>IF(C10=0,"",AVERAGEIFS('R&amp;D Log'!$G$5:$G$500,'R&amp;D Log'!$B$5:$B$500,A10))</f>
        <v/>
      </c>
      <c r="F10" s="112" t="str">
        <f>IF(C10=0,"",AVERAGEIFS('R&amp;D Log'!$H$5:$H$500,'R&amp;D Log'!$B$5:$B$500,A10))</f>
        <v/>
      </c>
      <c r="G10" s="112" t="str">
        <f>IF(C10=0,"",AVERAGEIFS('R&amp;D Log'!$I$5:$I$500,'R&amp;D Log'!$B$5:$B$500,A10))</f>
        <v/>
      </c>
      <c r="H10" s="112" t="str">
        <f>IF(C10=0,"",AVERAGEIFS('R&amp;D Log'!$J$5:$J$500,'R&amp;D Log'!$B$5:$B$500,A10))</f>
        <v/>
      </c>
      <c r="I10" s="112" t="str">
        <f>IF(C10=0,"",AVERAGEIFS('R&amp;D Log'!$K$5:$K$500,'R&amp;D Log'!$B$5:$B$500,A10))</f>
        <v/>
      </c>
      <c r="J10" s="87" t="str">
        <f t="shared" si="0"/>
        <v>ยังไม่มีข้อมูล</v>
      </c>
      <c r="K10" s="87" t="str">
        <f t="shared" si="1"/>
        <v>ยังไม่มีข้อมูล</v>
      </c>
      <c r="L10" s="87" t="str">
        <f t="shared" si="2"/>
        <v>รอชิม</v>
      </c>
    </row>
    <row r="11" spans="1:12" x14ac:dyDescent="0.25">
      <c r="A11" s="87" t="str">
        <f>IF(Lists!$A$8="","",Lists!$A$8)</f>
        <v>Thai Tea Frappe</v>
      </c>
      <c r="B11" s="87" t="str">
        <f>IF(A11="","",Lists!$B$8)</f>
        <v>ชาไทยปั่น</v>
      </c>
      <c r="C11" s="87">
        <f>IF(A11="","",COUNTIFS('R&amp;D Log'!$B$5:$B$500,A11))</f>
        <v>0</v>
      </c>
      <c r="D11" s="87">
        <f>IF(A11="","",SUMIFS('R&amp;D Log'!$F$5:$F$500,'R&amp;D Log'!$B$5:$B$500,A11))</f>
        <v>0</v>
      </c>
      <c r="E11" s="112" t="str">
        <f>IF(C11=0,"",AVERAGEIFS('R&amp;D Log'!$G$5:$G$500,'R&amp;D Log'!$B$5:$B$500,A11))</f>
        <v/>
      </c>
      <c r="F11" s="112" t="str">
        <f>IF(C11=0,"",AVERAGEIFS('R&amp;D Log'!$H$5:$H$500,'R&amp;D Log'!$B$5:$B$500,A11))</f>
        <v/>
      </c>
      <c r="G11" s="112" t="str">
        <f>IF(C11=0,"",AVERAGEIFS('R&amp;D Log'!$I$5:$I$500,'R&amp;D Log'!$B$5:$B$500,A11))</f>
        <v/>
      </c>
      <c r="H11" s="112" t="str">
        <f>IF(C11=0,"",AVERAGEIFS('R&amp;D Log'!$J$5:$J$500,'R&amp;D Log'!$B$5:$B$500,A11))</f>
        <v/>
      </c>
      <c r="I11" s="112" t="str">
        <f>IF(C11=0,"",AVERAGEIFS('R&amp;D Log'!$K$5:$K$500,'R&amp;D Log'!$B$5:$B$500,A11))</f>
        <v/>
      </c>
      <c r="J11" s="87" t="str">
        <f t="shared" si="0"/>
        <v>ยังไม่มีข้อมูล</v>
      </c>
      <c r="K11" s="87" t="str">
        <f t="shared" si="1"/>
        <v>ยังไม่มีข้อมูล</v>
      </c>
      <c r="L11" s="87" t="str">
        <f t="shared" si="2"/>
        <v>รอชิม</v>
      </c>
    </row>
    <row r="12" spans="1:12" x14ac:dyDescent="0.25">
      <c r="A12" s="87" t="str">
        <f>IF(Lists!$A$9="","",Lists!$A$9)</f>
        <v>Coconut Frappe</v>
      </c>
      <c r="B12" s="87" t="str">
        <f>IF(A12="","",Lists!$B$9)</f>
        <v>ชาไทยมะพร้าวปั่น</v>
      </c>
      <c r="C12" s="87">
        <f>IF(A12="","",COUNTIFS('R&amp;D Log'!$B$5:$B$500,A12))</f>
        <v>0</v>
      </c>
      <c r="D12" s="87">
        <f>IF(A12="","",SUMIFS('R&amp;D Log'!$F$5:$F$500,'R&amp;D Log'!$B$5:$B$500,A12))</f>
        <v>0</v>
      </c>
      <c r="E12" s="112" t="str">
        <f>IF(C12=0,"",AVERAGEIFS('R&amp;D Log'!$G$5:$G$500,'R&amp;D Log'!$B$5:$B$500,A12))</f>
        <v/>
      </c>
      <c r="F12" s="112" t="str">
        <f>IF(C12=0,"",AVERAGEIFS('R&amp;D Log'!$H$5:$H$500,'R&amp;D Log'!$B$5:$B$500,A12))</f>
        <v/>
      </c>
      <c r="G12" s="112" t="str">
        <f>IF(C12=0,"",AVERAGEIFS('R&amp;D Log'!$I$5:$I$500,'R&amp;D Log'!$B$5:$B$500,A12))</f>
        <v/>
      </c>
      <c r="H12" s="112" t="str">
        <f>IF(C12=0,"",AVERAGEIFS('R&amp;D Log'!$J$5:$J$500,'R&amp;D Log'!$B$5:$B$500,A12))</f>
        <v/>
      </c>
      <c r="I12" s="112" t="str">
        <f>IF(C12=0,"",AVERAGEIFS('R&amp;D Log'!$K$5:$K$500,'R&amp;D Log'!$B$5:$B$500,A12))</f>
        <v/>
      </c>
      <c r="J12" s="87" t="str">
        <f t="shared" si="0"/>
        <v>ยังไม่มีข้อมูล</v>
      </c>
      <c r="K12" s="87" t="str">
        <f t="shared" si="1"/>
        <v>ยังไม่มีข้อมูล</v>
      </c>
      <c r="L12" s="87" t="str">
        <f t="shared" si="2"/>
        <v>รอชิม</v>
      </c>
    </row>
    <row r="13" spans="1:12" x14ac:dyDescent="0.25">
      <c r="A13" s="87" t="str">
        <f>IF(Lists!$A$10="","",Lists!$A$10)</f>
        <v>Honey Milk</v>
      </c>
      <c r="B13" s="87" t="str">
        <f>IF(A13="","",Lists!$B$10)</f>
        <v>ชาไทยนมสดน้ำผึ้ง</v>
      </c>
      <c r="C13" s="87">
        <f>IF(A13="","",COUNTIFS('R&amp;D Log'!$B$5:$B$500,A13))</f>
        <v>0</v>
      </c>
      <c r="D13" s="87">
        <f>IF(A13="","",SUMIFS('R&amp;D Log'!$F$5:$F$500,'R&amp;D Log'!$B$5:$B$500,A13))</f>
        <v>0</v>
      </c>
      <c r="E13" s="112" t="str">
        <f>IF(C13=0,"",AVERAGEIFS('R&amp;D Log'!$G$5:$G$500,'R&amp;D Log'!$B$5:$B$500,A13))</f>
        <v/>
      </c>
      <c r="F13" s="112" t="str">
        <f>IF(C13=0,"",AVERAGEIFS('R&amp;D Log'!$H$5:$H$500,'R&amp;D Log'!$B$5:$B$500,A13))</f>
        <v/>
      </c>
      <c r="G13" s="112" t="str">
        <f>IF(C13=0,"",AVERAGEIFS('R&amp;D Log'!$I$5:$I$500,'R&amp;D Log'!$B$5:$B$500,A13))</f>
        <v/>
      </c>
      <c r="H13" s="112" t="str">
        <f>IF(C13=0,"",AVERAGEIFS('R&amp;D Log'!$J$5:$J$500,'R&amp;D Log'!$B$5:$B$500,A13))</f>
        <v/>
      </c>
      <c r="I13" s="112" t="str">
        <f>IF(C13=0,"",AVERAGEIFS('R&amp;D Log'!$K$5:$K$500,'R&amp;D Log'!$B$5:$B$500,A13))</f>
        <v/>
      </c>
      <c r="J13" s="87" t="str">
        <f t="shared" si="0"/>
        <v>ยังไม่มีข้อมูล</v>
      </c>
      <c r="K13" s="87" t="str">
        <f t="shared" si="1"/>
        <v>ยังไม่มีข้อมูล</v>
      </c>
      <c r="L13" s="87" t="str">
        <f t="shared" si="2"/>
        <v>รอชิม</v>
      </c>
    </row>
    <row r="14" spans="1:12" x14ac:dyDescent="0.25">
      <c r="A14" s="87" t="str">
        <f>IF(Lists!$A$11="","",Lists!$A$11)</f>
        <v>Coconut Tea</v>
      </c>
      <c r="B14" s="87" t="str">
        <f>IF(A14="","",Lists!$B$11)</f>
        <v>ชาไทยมะพร้าวน้ำหอม (เย็น)</v>
      </c>
      <c r="C14" s="87">
        <f>IF(A14="","",COUNTIFS('R&amp;D Log'!$B$5:$B$500,A14))</f>
        <v>1</v>
      </c>
      <c r="D14" s="87">
        <f>IF(A14="","",SUMIFS('R&amp;D Log'!$F$5:$F$500,'R&amp;D Log'!$B$5:$B$500,A14))</f>
        <v>20</v>
      </c>
      <c r="E14" s="112">
        <f>IF(C14=0,"",AVERAGEIFS('R&amp;D Log'!$G$5:$G$500,'R&amp;D Log'!$B$5:$B$500,A14))</f>
        <v>3.4</v>
      </c>
      <c r="F14" s="112">
        <f>IF(C14=0,"",AVERAGEIFS('R&amp;D Log'!$H$5:$H$500,'R&amp;D Log'!$B$5:$B$500,A14))</f>
        <v>3</v>
      </c>
      <c r="G14" s="112">
        <f>IF(C14=0,"",AVERAGEIFS('R&amp;D Log'!$I$5:$I$500,'R&amp;D Log'!$B$5:$B$500,A14))</f>
        <v>3.2</v>
      </c>
      <c r="H14" s="112">
        <f>IF(C14=0,"",AVERAGEIFS('R&amp;D Log'!$J$5:$J$500,'R&amp;D Log'!$B$5:$B$500,A14))</f>
        <v>4.2</v>
      </c>
      <c r="I14" s="112">
        <f>IF(C14=0,"",AVERAGEIFS('R&amp;D Log'!$K$5:$K$500,'R&amp;D Log'!$B$5:$B$500,A14))</f>
        <v>4.0999999999999996</v>
      </c>
      <c r="J14" s="87" t="str">
        <f t="shared" si="0"/>
        <v>พอดี</v>
      </c>
      <c r="K14" s="87" t="str">
        <f t="shared" si="1"/>
        <v>พอดี</v>
      </c>
      <c r="L14" s="87" t="str">
        <f t="shared" si="2"/>
        <v>✅ ผ่าน</v>
      </c>
    </row>
    <row r="15" spans="1:12" x14ac:dyDescent="0.25">
      <c r="A15" s="87" t="str">
        <f>IF(Lists!$A$12="","",Lists!$A$12)</f>
        <v>Lemon Tea</v>
      </c>
      <c r="B15" s="87" t="str">
        <f>IF(A15="","",Lists!$B$12)</f>
        <v>ชามะนาว</v>
      </c>
      <c r="C15" s="87">
        <f>IF(A15="","",COUNTIFS('R&amp;D Log'!$B$5:$B$500,A15))</f>
        <v>0</v>
      </c>
      <c r="D15" s="87">
        <f>IF(A15="","",SUMIFS('R&amp;D Log'!$F$5:$F$500,'R&amp;D Log'!$B$5:$B$500,A15))</f>
        <v>0</v>
      </c>
      <c r="E15" s="112" t="str">
        <f>IF(C15=0,"",AVERAGEIFS('R&amp;D Log'!$G$5:$G$500,'R&amp;D Log'!$B$5:$B$500,A15))</f>
        <v/>
      </c>
      <c r="F15" s="112" t="str">
        <f>IF(C15=0,"",AVERAGEIFS('R&amp;D Log'!$H$5:$H$500,'R&amp;D Log'!$B$5:$B$500,A15))</f>
        <v/>
      </c>
      <c r="G15" s="112" t="str">
        <f>IF(C15=0,"",AVERAGEIFS('R&amp;D Log'!$I$5:$I$500,'R&amp;D Log'!$B$5:$B$500,A15))</f>
        <v/>
      </c>
      <c r="H15" s="112" t="str">
        <f>IF(C15=0,"",AVERAGEIFS('R&amp;D Log'!$J$5:$J$500,'R&amp;D Log'!$B$5:$B$500,A15))</f>
        <v/>
      </c>
      <c r="I15" s="112" t="str">
        <f>IF(C15=0,"",AVERAGEIFS('R&amp;D Log'!$K$5:$K$500,'R&amp;D Log'!$B$5:$B$500,A15))</f>
        <v/>
      </c>
      <c r="J15" s="87" t="str">
        <f t="shared" si="0"/>
        <v>ยังไม่มีข้อมูล</v>
      </c>
      <c r="K15" s="87" t="str">
        <f t="shared" si="1"/>
        <v>ยังไม่มีข้อมูล</v>
      </c>
      <c r="L15" s="87" t="str">
        <f t="shared" si="2"/>
        <v>รอชิม</v>
      </c>
    </row>
    <row r="16" spans="1:12" x14ac:dyDescent="0.25">
      <c r="A16" s="87" t="str">
        <f>IF(Lists!$A$13="","",Lists!$A$13)</f>
        <v>Green Tea</v>
      </c>
      <c r="B16" s="87" t="str">
        <f>IF(A16="","",Lists!$B$13)</f>
        <v>ชาเขียวเย็น</v>
      </c>
      <c r="C16" s="87">
        <f>IF(A16="","",COUNTIFS('R&amp;D Log'!$B$5:$B$500,A16))</f>
        <v>0</v>
      </c>
      <c r="D16" s="87">
        <f>IF(A16="","",SUMIFS('R&amp;D Log'!$F$5:$F$500,'R&amp;D Log'!$B$5:$B$500,A16))</f>
        <v>0</v>
      </c>
      <c r="E16" s="112" t="str">
        <f>IF(C16=0,"",AVERAGEIFS('R&amp;D Log'!$G$5:$G$500,'R&amp;D Log'!$B$5:$B$500,A16))</f>
        <v/>
      </c>
      <c r="F16" s="112" t="str">
        <f>IF(C16=0,"",AVERAGEIFS('R&amp;D Log'!$H$5:$H$500,'R&amp;D Log'!$B$5:$B$500,A16))</f>
        <v/>
      </c>
      <c r="G16" s="112" t="str">
        <f>IF(C16=0,"",AVERAGEIFS('R&amp;D Log'!$I$5:$I$500,'R&amp;D Log'!$B$5:$B$500,A16))</f>
        <v/>
      </c>
      <c r="H16" s="112" t="str">
        <f>IF(C16=0,"",AVERAGEIFS('R&amp;D Log'!$J$5:$J$500,'R&amp;D Log'!$B$5:$B$500,A16))</f>
        <v/>
      </c>
      <c r="I16" s="112" t="str">
        <f>IF(C16=0,"",AVERAGEIFS('R&amp;D Log'!$K$5:$K$500,'R&amp;D Log'!$B$5:$B$500,A16))</f>
        <v/>
      </c>
      <c r="J16" s="87" t="str">
        <f t="shared" si="0"/>
        <v>ยังไม่มีข้อมูล</v>
      </c>
      <c r="K16" s="87" t="str">
        <f t="shared" si="1"/>
        <v>ยังไม่มีข้อมูล</v>
      </c>
      <c r="L16" s="87" t="str">
        <f t="shared" si="2"/>
        <v>รอชิม</v>
      </c>
    </row>
    <row r="17" spans="1:12" x14ac:dyDescent="0.25">
      <c r="A17" s="87" t="str">
        <f>IF(Lists!$A$14="","",Lists!$A$14)</f>
        <v>Green Coconut</v>
      </c>
      <c r="B17" s="87" t="str">
        <f>IF(A17="","",Lists!$B$14)</f>
        <v>ชาเขียวมะพร้าว</v>
      </c>
      <c r="C17" s="87">
        <f>IF(A17="","",COUNTIFS('R&amp;D Log'!$B$5:$B$500,A17))</f>
        <v>0</v>
      </c>
      <c r="D17" s="87">
        <f>IF(A17="","",SUMIFS('R&amp;D Log'!$F$5:$F$500,'R&amp;D Log'!$B$5:$B$500,A17))</f>
        <v>0</v>
      </c>
      <c r="E17" s="112" t="str">
        <f>IF(C17=0,"",AVERAGEIFS('R&amp;D Log'!$G$5:$G$500,'R&amp;D Log'!$B$5:$B$500,A17))</f>
        <v/>
      </c>
      <c r="F17" s="112" t="str">
        <f>IF(C17=0,"",AVERAGEIFS('R&amp;D Log'!$H$5:$H$500,'R&amp;D Log'!$B$5:$B$500,A17))</f>
        <v/>
      </c>
      <c r="G17" s="112" t="str">
        <f>IF(C17=0,"",AVERAGEIFS('R&amp;D Log'!$I$5:$I$500,'R&amp;D Log'!$B$5:$B$500,A17))</f>
        <v/>
      </c>
      <c r="H17" s="112" t="str">
        <f>IF(C17=0,"",AVERAGEIFS('R&amp;D Log'!$J$5:$J$500,'R&amp;D Log'!$B$5:$B$500,A17))</f>
        <v/>
      </c>
      <c r="I17" s="112" t="str">
        <f>IF(C17=0,"",AVERAGEIFS('R&amp;D Log'!$K$5:$K$500,'R&amp;D Log'!$B$5:$B$500,A17))</f>
        <v/>
      </c>
      <c r="J17" s="87" t="str">
        <f t="shared" si="0"/>
        <v>ยังไม่มีข้อมูล</v>
      </c>
      <c r="K17" s="87" t="str">
        <f t="shared" si="1"/>
        <v>ยังไม่มีข้อมูล</v>
      </c>
      <c r="L17" s="87" t="str">
        <f t="shared" si="2"/>
        <v>รอชิม</v>
      </c>
    </row>
    <row r="18" spans="1:12" x14ac:dyDescent="0.25">
      <c r="A18" s="87" t="str">
        <f>IF(Lists!$A$15="","",Lists!$A$15)</f>
        <v>Green Honey Milk</v>
      </c>
      <c r="B18" s="87" t="str">
        <f>IF(A18="","",Lists!$B$15)</f>
        <v>ชาเขียวนมสดน้ำผึ้ง</v>
      </c>
      <c r="C18" s="87">
        <f>IF(A18="","",COUNTIFS('R&amp;D Log'!$B$5:$B$500,A18))</f>
        <v>0</v>
      </c>
      <c r="D18" s="87">
        <f>IF(A18="","",SUMIFS('R&amp;D Log'!$F$5:$F$500,'R&amp;D Log'!$B$5:$B$500,A18))</f>
        <v>0</v>
      </c>
      <c r="E18" s="112" t="str">
        <f>IF(C18=0,"",AVERAGEIFS('R&amp;D Log'!$G$5:$G$500,'R&amp;D Log'!$B$5:$B$500,A18))</f>
        <v/>
      </c>
      <c r="F18" s="112" t="str">
        <f>IF(C18=0,"",AVERAGEIFS('R&amp;D Log'!$H$5:$H$500,'R&amp;D Log'!$B$5:$B$500,A18))</f>
        <v/>
      </c>
      <c r="G18" s="112" t="str">
        <f>IF(C18=0,"",AVERAGEIFS('R&amp;D Log'!$I$5:$I$500,'R&amp;D Log'!$B$5:$B$500,A18))</f>
        <v/>
      </c>
      <c r="H18" s="112" t="str">
        <f>IF(C18=0,"",AVERAGEIFS('R&amp;D Log'!$J$5:$J$500,'R&amp;D Log'!$B$5:$B$500,A18))</f>
        <v/>
      </c>
      <c r="I18" s="112" t="str">
        <f>IF(C18=0,"",AVERAGEIFS('R&amp;D Log'!$K$5:$K$500,'R&amp;D Log'!$B$5:$B$500,A18))</f>
        <v/>
      </c>
      <c r="J18" s="87" t="str">
        <f t="shared" si="0"/>
        <v>ยังไม่มีข้อมูล</v>
      </c>
      <c r="K18" s="87" t="str">
        <f t="shared" si="1"/>
        <v>ยังไม่มีข้อมูล</v>
      </c>
      <c r="L18" s="87" t="str">
        <f t="shared" si="2"/>
        <v>รอชิม</v>
      </c>
    </row>
    <row r="19" spans="1:12" x14ac:dyDescent="0.25">
      <c r="A19" s="87" t="str">
        <f>IF(Lists!$A$16="","",Lists!$A$16)</f>
        <v>Green Berry Soda</v>
      </c>
      <c r="B19" s="87" t="str">
        <f>IF(A19="","",Lists!$B$16)</f>
        <v>ชาเขียวสตรอว์เบอร์รี่โซดา</v>
      </c>
      <c r="C19" s="87">
        <f>IF(A19="","",COUNTIFS('R&amp;D Log'!$B$5:$B$500,A19))</f>
        <v>0</v>
      </c>
      <c r="D19" s="87">
        <f>IF(A19="","",SUMIFS('R&amp;D Log'!$F$5:$F$500,'R&amp;D Log'!$B$5:$B$500,A19))</f>
        <v>0</v>
      </c>
      <c r="E19" s="112" t="str">
        <f>IF(C19=0,"",AVERAGEIFS('R&amp;D Log'!$G$5:$G$500,'R&amp;D Log'!$B$5:$B$500,A19))</f>
        <v/>
      </c>
      <c r="F19" s="112" t="str">
        <f>IF(C19=0,"",AVERAGEIFS('R&amp;D Log'!$H$5:$H$500,'R&amp;D Log'!$B$5:$B$500,A19))</f>
        <v/>
      </c>
      <c r="G19" s="112" t="str">
        <f>IF(C19=0,"",AVERAGEIFS('R&amp;D Log'!$I$5:$I$500,'R&amp;D Log'!$B$5:$B$500,A19))</f>
        <v/>
      </c>
      <c r="H19" s="112" t="str">
        <f>IF(C19=0,"",AVERAGEIFS('R&amp;D Log'!$J$5:$J$500,'R&amp;D Log'!$B$5:$B$500,A19))</f>
        <v/>
      </c>
      <c r="I19" s="112" t="str">
        <f>IF(C19=0,"",AVERAGEIFS('R&amp;D Log'!$K$5:$K$500,'R&amp;D Log'!$B$5:$B$500,A19))</f>
        <v/>
      </c>
      <c r="J19" s="87" t="str">
        <f t="shared" si="0"/>
        <v>ยังไม่มีข้อมูล</v>
      </c>
      <c r="K19" s="87" t="str">
        <f t="shared" si="1"/>
        <v>ยังไม่มีข้อมูล</v>
      </c>
      <c r="L19" s="87" t="str">
        <f t="shared" si="2"/>
        <v>รอชิม</v>
      </c>
    </row>
    <row r="20" spans="1:12" x14ac:dyDescent="0.25">
      <c r="A20" s="87" t="str">
        <f>IF(Lists!$A$17="","",Lists!$A$17)</f>
        <v>Green Tea Frappe</v>
      </c>
      <c r="B20" s="87" t="str">
        <f>IF(A20="","",Lists!$B$17)</f>
        <v>ชาเขียวปั่น</v>
      </c>
      <c r="C20" s="87">
        <f>IF(A20="","",COUNTIFS('R&amp;D Log'!$B$5:$B$500,A20))</f>
        <v>0</v>
      </c>
      <c r="D20" s="87">
        <f>IF(A20="","",SUMIFS('R&amp;D Log'!$F$5:$F$500,'R&amp;D Log'!$B$5:$B$500,A20))</f>
        <v>0</v>
      </c>
      <c r="E20" s="112" t="str">
        <f>IF(C20=0,"",AVERAGEIFS('R&amp;D Log'!$G$5:$G$500,'R&amp;D Log'!$B$5:$B$500,A20))</f>
        <v/>
      </c>
      <c r="F20" s="112" t="str">
        <f>IF(C20=0,"",AVERAGEIFS('R&amp;D Log'!$H$5:$H$500,'R&amp;D Log'!$B$5:$B$500,A20))</f>
        <v/>
      </c>
      <c r="G20" s="112" t="str">
        <f>IF(C20=0,"",AVERAGEIFS('R&amp;D Log'!$I$5:$I$500,'R&amp;D Log'!$B$5:$B$500,A20))</f>
        <v/>
      </c>
      <c r="H20" s="112" t="str">
        <f>IF(C20=0,"",AVERAGEIFS('R&amp;D Log'!$J$5:$J$500,'R&amp;D Log'!$B$5:$B$500,A20))</f>
        <v/>
      </c>
      <c r="I20" s="112" t="str">
        <f>IF(C20=0,"",AVERAGEIFS('R&amp;D Log'!$K$5:$K$500,'R&amp;D Log'!$B$5:$B$500,A20))</f>
        <v/>
      </c>
      <c r="J20" s="87" t="str">
        <f t="shared" si="0"/>
        <v>ยังไม่มีข้อมูล</v>
      </c>
      <c r="K20" s="87" t="str">
        <f t="shared" si="1"/>
        <v>ยังไม่มีข้อมูล</v>
      </c>
      <c r="L20" s="87" t="str">
        <f t="shared" si="2"/>
        <v>รอชิม</v>
      </c>
    </row>
    <row r="21" spans="1:12" x14ac:dyDescent="0.25">
      <c r="A21" s="87" t="str">
        <f>IF(Lists!$A$18="","",Lists!$A$18)</f>
        <v>Green Latte</v>
      </c>
      <c r="B21" s="87" t="str">
        <f>IF(A21="","",Lists!$B$18)</f>
        <v>ชาเขียวนมสด (มัทฉะลาเต้)</v>
      </c>
      <c r="C21" s="87">
        <f>IF(A21="","",COUNTIFS('R&amp;D Log'!$B$5:$B$500,A21))</f>
        <v>0</v>
      </c>
      <c r="D21" s="87">
        <f>IF(A21="","",SUMIFS('R&amp;D Log'!$F$5:$F$500,'R&amp;D Log'!$B$5:$B$500,A21))</f>
        <v>0</v>
      </c>
      <c r="E21" s="112" t="str">
        <f>IF(C21=0,"",AVERAGEIFS('R&amp;D Log'!$G$5:$G$500,'R&amp;D Log'!$B$5:$B$500,A21))</f>
        <v/>
      </c>
      <c r="F21" s="112" t="str">
        <f>IF(C21=0,"",AVERAGEIFS('R&amp;D Log'!$H$5:$H$500,'R&amp;D Log'!$B$5:$B$500,A21))</f>
        <v/>
      </c>
      <c r="G21" s="112" t="str">
        <f>IF(C21=0,"",AVERAGEIFS('R&amp;D Log'!$I$5:$I$500,'R&amp;D Log'!$B$5:$B$500,A21))</f>
        <v/>
      </c>
      <c r="H21" s="112" t="str">
        <f>IF(C21=0,"",AVERAGEIFS('R&amp;D Log'!$J$5:$J$500,'R&amp;D Log'!$B$5:$B$500,A21))</f>
        <v/>
      </c>
      <c r="I21" s="112" t="str">
        <f>IF(C21=0,"",AVERAGEIFS('R&amp;D Log'!$K$5:$K$500,'R&amp;D Log'!$B$5:$B$500,A21))</f>
        <v/>
      </c>
      <c r="J21" s="87" t="str">
        <f t="shared" si="0"/>
        <v>ยังไม่มีข้อมูล</v>
      </c>
      <c r="K21" s="87" t="str">
        <f t="shared" si="1"/>
        <v>ยังไม่มีข้อมูล</v>
      </c>
      <c r="L21" s="87" t="str">
        <f t="shared" si="2"/>
        <v>รอชิม</v>
      </c>
    </row>
    <row r="22" spans="1:12" x14ac:dyDescent="0.25">
      <c r="A22" s="87" t="str">
        <f>IF(Lists!$A$19="","",Lists!$A$19)</f>
        <v>Green Lemon Tea</v>
      </c>
      <c r="B22" s="87" t="str">
        <f>IF(A22="","",Lists!$B$19)</f>
        <v>ชาเขียวมะนาว</v>
      </c>
      <c r="C22" s="87">
        <f>IF(A22="","",COUNTIFS('R&amp;D Log'!$B$5:$B$500,A22))</f>
        <v>0</v>
      </c>
      <c r="D22" s="87">
        <f>IF(A22="","",SUMIFS('R&amp;D Log'!$F$5:$F$500,'R&amp;D Log'!$B$5:$B$500,A22))</f>
        <v>0</v>
      </c>
      <c r="E22" s="112" t="str">
        <f>IF(C22=0,"",AVERAGEIFS('R&amp;D Log'!$G$5:$G$500,'R&amp;D Log'!$B$5:$B$500,A22))</f>
        <v/>
      </c>
      <c r="F22" s="112" t="str">
        <f>IF(C22=0,"",AVERAGEIFS('R&amp;D Log'!$H$5:$H$500,'R&amp;D Log'!$B$5:$B$500,A22))</f>
        <v/>
      </c>
      <c r="G22" s="112" t="str">
        <f>IF(C22=0,"",AVERAGEIFS('R&amp;D Log'!$I$5:$I$500,'R&amp;D Log'!$B$5:$B$500,A22))</f>
        <v/>
      </c>
      <c r="H22" s="112" t="str">
        <f>IF(C22=0,"",AVERAGEIFS('R&amp;D Log'!$J$5:$J$500,'R&amp;D Log'!$B$5:$B$500,A22))</f>
        <v/>
      </c>
      <c r="I22" s="112" t="str">
        <f>IF(C22=0,"",AVERAGEIFS('R&amp;D Log'!$K$5:$K$500,'R&amp;D Log'!$B$5:$B$500,A22))</f>
        <v/>
      </c>
      <c r="J22" s="87" t="str">
        <f t="shared" si="0"/>
        <v>ยังไม่มีข้อมูล</v>
      </c>
      <c r="K22" s="87" t="str">
        <f t="shared" si="1"/>
        <v>ยังไม่มีข้อมูล</v>
      </c>
      <c r="L22" s="87" t="str">
        <f t="shared" si="2"/>
        <v>รอชิม</v>
      </c>
    </row>
    <row r="23" spans="1:12" x14ac:dyDescent="0.25">
      <c r="A23" s="87" t="str">
        <f>IF(Lists!$A$20="","",Lists!$A$20)</f>
        <v>Green Honey Lemon</v>
      </c>
      <c r="B23" s="87" t="str">
        <f>IF(A23="","",Lists!$B$20)</f>
        <v>ชาเขียวน้ำผึ้งมะนาว</v>
      </c>
      <c r="C23" s="87">
        <f>IF(A23="","",COUNTIFS('R&amp;D Log'!$B$5:$B$500,A23))</f>
        <v>0</v>
      </c>
      <c r="D23" s="87">
        <f>IF(A23="","",SUMIFS('R&amp;D Log'!$F$5:$F$500,'R&amp;D Log'!$B$5:$B$500,A23))</f>
        <v>0</v>
      </c>
      <c r="E23" s="112" t="str">
        <f>IF(C23=0,"",AVERAGEIFS('R&amp;D Log'!$G$5:$G$500,'R&amp;D Log'!$B$5:$B$500,A23))</f>
        <v/>
      </c>
      <c r="F23" s="112" t="str">
        <f>IF(C23=0,"",AVERAGEIFS('R&amp;D Log'!$H$5:$H$500,'R&amp;D Log'!$B$5:$B$500,A23))</f>
        <v/>
      </c>
      <c r="G23" s="112" t="str">
        <f>IF(C23=0,"",AVERAGEIFS('R&amp;D Log'!$I$5:$I$500,'R&amp;D Log'!$B$5:$B$500,A23))</f>
        <v/>
      </c>
      <c r="H23" s="112" t="str">
        <f>IF(C23=0,"",AVERAGEIFS('R&amp;D Log'!$J$5:$J$500,'R&amp;D Log'!$B$5:$B$500,A23))</f>
        <v/>
      </c>
      <c r="I23" s="112" t="str">
        <f>IF(C23=0,"",AVERAGEIFS('R&amp;D Log'!$K$5:$K$500,'R&amp;D Log'!$B$5:$B$500,A23))</f>
        <v/>
      </c>
      <c r="J23" s="87" t="str">
        <f t="shared" si="0"/>
        <v>ยังไม่มีข้อมูล</v>
      </c>
      <c r="K23" s="87" t="str">
        <f t="shared" si="1"/>
        <v>ยังไม่มีข้อมูล</v>
      </c>
      <c r="L23" s="87" t="str">
        <f t="shared" si="2"/>
        <v>รอชิม</v>
      </c>
    </row>
    <row r="24" spans="1:12" x14ac:dyDescent="0.25">
      <c r="A24" s="87" t="str">
        <f>IF(Lists!$A$21="","",Lists!$A$21)</f>
        <v>Green Cream Cheese</v>
      </c>
      <c r="B24" s="87" t="str">
        <f>IF(A24="","",Lists!$B$21)</f>
        <v>ชาเขียวครีมชีสโฟม</v>
      </c>
      <c r="C24" s="87">
        <f>IF(A24="","",COUNTIFS('R&amp;D Log'!$B$5:$B$500,A24))</f>
        <v>0</v>
      </c>
      <c r="D24" s="87">
        <f>IF(A24="","",SUMIFS('R&amp;D Log'!$F$5:$F$500,'R&amp;D Log'!$B$5:$B$500,A24))</f>
        <v>0</v>
      </c>
      <c r="E24" s="112" t="str">
        <f>IF(C24=0,"",AVERAGEIFS('R&amp;D Log'!$G$5:$G$500,'R&amp;D Log'!$B$5:$B$500,A24))</f>
        <v/>
      </c>
      <c r="F24" s="112" t="str">
        <f>IF(C24=0,"",AVERAGEIFS('R&amp;D Log'!$H$5:$H$500,'R&amp;D Log'!$B$5:$B$500,A24))</f>
        <v/>
      </c>
      <c r="G24" s="112" t="str">
        <f>IF(C24=0,"",AVERAGEIFS('R&amp;D Log'!$I$5:$I$500,'R&amp;D Log'!$B$5:$B$500,A24))</f>
        <v/>
      </c>
      <c r="H24" s="112" t="str">
        <f>IF(C24=0,"",AVERAGEIFS('R&amp;D Log'!$J$5:$J$500,'R&amp;D Log'!$B$5:$B$500,A24))</f>
        <v/>
      </c>
      <c r="I24" s="112" t="str">
        <f>IF(C24=0,"",AVERAGEIFS('R&amp;D Log'!$K$5:$K$500,'R&amp;D Log'!$B$5:$B$500,A24))</f>
        <v/>
      </c>
      <c r="J24" s="87" t="str">
        <f t="shared" si="0"/>
        <v>ยังไม่มีข้อมูล</v>
      </c>
      <c r="K24" s="87" t="str">
        <f t="shared" si="1"/>
        <v>ยังไม่มีข้อมูล</v>
      </c>
      <c r="L24" s="87" t="str">
        <f t="shared" si="2"/>
        <v>รอชิม</v>
      </c>
    </row>
    <row r="25" spans="1:12" x14ac:dyDescent="0.25">
      <c r="A25" s="87" t="str">
        <f>IF(Lists!$A$22="","",Lists!$A$22)</f>
        <v>Pure Matcha Premium</v>
      </c>
      <c r="B25" s="87" t="str">
        <f>IF(A25="","",Lists!$B$22)</f>
        <v>เพียวมัทฉะ (มัทฉะน้ำใส)</v>
      </c>
      <c r="C25" s="87">
        <f>IF(A25="","",COUNTIFS('R&amp;D Log'!$B$5:$B$500,A25))</f>
        <v>0</v>
      </c>
      <c r="D25" s="87">
        <f>IF(A25="","",SUMIFS('R&amp;D Log'!$F$5:$F$500,'R&amp;D Log'!$B$5:$B$500,A25))</f>
        <v>0</v>
      </c>
      <c r="E25" s="112" t="str">
        <f>IF(C25=0,"",AVERAGEIFS('R&amp;D Log'!$G$5:$G$500,'R&amp;D Log'!$B$5:$B$500,A25))</f>
        <v/>
      </c>
      <c r="F25" s="112" t="str">
        <f>IF(C25=0,"",AVERAGEIFS('R&amp;D Log'!$H$5:$H$500,'R&amp;D Log'!$B$5:$B$500,A25))</f>
        <v/>
      </c>
      <c r="G25" s="112" t="str">
        <f>IF(C25=0,"",AVERAGEIFS('R&amp;D Log'!$I$5:$I$500,'R&amp;D Log'!$B$5:$B$500,A25))</f>
        <v/>
      </c>
      <c r="H25" s="112" t="str">
        <f>IF(C25=0,"",AVERAGEIFS('R&amp;D Log'!$J$5:$J$500,'R&amp;D Log'!$B$5:$B$500,A25))</f>
        <v/>
      </c>
      <c r="I25" s="112" t="str">
        <f>IF(C25=0,"",AVERAGEIFS('R&amp;D Log'!$K$5:$K$500,'R&amp;D Log'!$B$5:$B$500,A25))</f>
        <v/>
      </c>
      <c r="J25" s="87" t="str">
        <f t="shared" si="0"/>
        <v>ยังไม่มีข้อมูล</v>
      </c>
      <c r="K25" s="87" t="str">
        <f t="shared" si="1"/>
        <v>ยังไม่มีข้อมูล</v>
      </c>
      <c r="L25" s="87" t="str">
        <f t="shared" si="2"/>
        <v>รอชิม</v>
      </c>
    </row>
    <row r="26" spans="1:12" x14ac:dyDescent="0.25">
      <c r="A26" s="87" t="str">
        <f>IF(Lists!$A$23="","",Lists!$A$23)</f>
        <v>Matcha Latte Premium</v>
      </c>
      <c r="B26" s="87" t="str">
        <f>IF(A26="","",Lists!$B$23)</f>
        <v>มัทฉะลาเต้พรีเมียม</v>
      </c>
      <c r="C26" s="87">
        <f>IF(A26="","",COUNTIFS('R&amp;D Log'!$B$5:$B$500,A26))</f>
        <v>0</v>
      </c>
      <c r="D26" s="87">
        <f>IF(A26="","",SUMIFS('R&amp;D Log'!$F$5:$F$500,'R&amp;D Log'!$B$5:$B$500,A26))</f>
        <v>0</v>
      </c>
      <c r="E26" s="112" t="str">
        <f>IF(C26=0,"",AVERAGEIFS('R&amp;D Log'!$G$5:$G$500,'R&amp;D Log'!$B$5:$B$500,A26))</f>
        <v/>
      </c>
      <c r="F26" s="112" t="str">
        <f>IF(C26=0,"",AVERAGEIFS('R&amp;D Log'!$H$5:$H$500,'R&amp;D Log'!$B$5:$B$500,A26))</f>
        <v/>
      </c>
      <c r="G26" s="112" t="str">
        <f>IF(C26=0,"",AVERAGEIFS('R&amp;D Log'!$I$5:$I$500,'R&amp;D Log'!$B$5:$B$500,A26))</f>
        <v/>
      </c>
      <c r="H26" s="112" t="str">
        <f>IF(C26=0,"",AVERAGEIFS('R&amp;D Log'!$J$5:$J$500,'R&amp;D Log'!$B$5:$B$500,A26))</f>
        <v/>
      </c>
      <c r="I26" s="112" t="str">
        <f>IF(C26=0,"",AVERAGEIFS('R&amp;D Log'!$K$5:$K$500,'R&amp;D Log'!$B$5:$B$500,A26))</f>
        <v/>
      </c>
      <c r="J26" s="87" t="str">
        <f t="shared" si="0"/>
        <v>ยังไม่มีข้อมูล</v>
      </c>
      <c r="K26" s="87" t="str">
        <f t="shared" si="1"/>
        <v>ยังไม่มีข้อมูล</v>
      </c>
      <c r="L26" s="87" t="str">
        <f t="shared" si="2"/>
        <v>รอชิม</v>
      </c>
    </row>
    <row r="27" spans="1:12" x14ac:dyDescent="0.25">
      <c r="A27" s="87" t="str">
        <f>IF(Lists!$A$24="","",Lists!$A$24)</f>
        <v>Matcha Coconut Premium</v>
      </c>
      <c r="B27" s="87" t="str">
        <f>IF(A27="","",Lists!$B$24)</f>
        <v>มัทฉะน้ำมะพร้าวพรีเมียม</v>
      </c>
      <c r="C27" s="87">
        <f>IF(A27="","",COUNTIFS('R&amp;D Log'!$B$5:$B$500,A27))</f>
        <v>0</v>
      </c>
      <c r="D27" s="87">
        <f>IF(A27="","",SUMIFS('R&amp;D Log'!$F$5:$F$500,'R&amp;D Log'!$B$5:$B$500,A27))</f>
        <v>0</v>
      </c>
      <c r="E27" s="112" t="str">
        <f>IF(C27=0,"",AVERAGEIFS('R&amp;D Log'!$G$5:$G$500,'R&amp;D Log'!$B$5:$B$500,A27))</f>
        <v/>
      </c>
      <c r="F27" s="112" t="str">
        <f>IF(C27=0,"",AVERAGEIFS('R&amp;D Log'!$H$5:$H$500,'R&amp;D Log'!$B$5:$B$500,A27))</f>
        <v/>
      </c>
      <c r="G27" s="112" t="str">
        <f>IF(C27=0,"",AVERAGEIFS('R&amp;D Log'!$I$5:$I$500,'R&amp;D Log'!$B$5:$B$500,A27))</f>
        <v/>
      </c>
      <c r="H27" s="112" t="str">
        <f>IF(C27=0,"",AVERAGEIFS('R&amp;D Log'!$J$5:$J$500,'R&amp;D Log'!$B$5:$B$500,A27))</f>
        <v/>
      </c>
      <c r="I27" s="112" t="str">
        <f>IF(C27=0,"",AVERAGEIFS('R&amp;D Log'!$K$5:$K$500,'R&amp;D Log'!$B$5:$B$500,A27))</f>
        <v/>
      </c>
      <c r="J27" s="87" t="str">
        <f t="shared" si="0"/>
        <v>ยังไม่มีข้อมูล</v>
      </c>
      <c r="K27" s="87" t="str">
        <f t="shared" si="1"/>
        <v>ยังไม่มีข้อมูล</v>
      </c>
      <c r="L27" s="87" t="str">
        <f t="shared" si="2"/>
        <v>รอชิม</v>
      </c>
    </row>
    <row r="28" spans="1:12" x14ac:dyDescent="0.25">
      <c r="A28" s="87" t="str">
        <f>IF(Lists!$A$25="","",Lists!$A$25)</f>
        <v>Matcha Strawberry Premium</v>
      </c>
      <c r="B28" s="87" t="str">
        <f>IF(A28="","",Lists!$B$25)</f>
        <v>สตรอว์เบอร์รี่มัทฉะลาเต้พรีเมียม</v>
      </c>
      <c r="C28" s="87">
        <f>IF(A28="","",COUNTIFS('R&amp;D Log'!$B$5:$B$500,A28))</f>
        <v>0</v>
      </c>
      <c r="D28" s="87">
        <f>IF(A28="","",SUMIFS('R&amp;D Log'!$F$5:$F$500,'R&amp;D Log'!$B$5:$B$500,A28))</f>
        <v>0</v>
      </c>
      <c r="E28" s="112" t="str">
        <f>IF(C28=0,"",AVERAGEIFS('R&amp;D Log'!$G$5:$G$500,'R&amp;D Log'!$B$5:$B$500,A28))</f>
        <v/>
      </c>
      <c r="F28" s="112" t="str">
        <f>IF(C28=0,"",AVERAGEIFS('R&amp;D Log'!$H$5:$H$500,'R&amp;D Log'!$B$5:$B$500,A28))</f>
        <v/>
      </c>
      <c r="G28" s="112" t="str">
        <f>IF(C28=0,"",AVERAGEIFS('R&amp;D Log'!$I$5:$I$500,'R&amp;D Log'!$B$5:$B$500,A28))</f>
        <v/>
      </c>
      <c r="H28" s="112" t="str">
        <f>IF(C28=0,"",AVERAGEIFS('R&amp;D Log'!$J$5:$J$500,'R&amp;D Log'!$B$5:$B$500,A28))</f>
        <v/>
      </c>
      <c r="I28" s="112" t="str">
        <f>IF(C28=0,"",AVERAGEIFS('R&amp;D Log'!$K$5:$K$500,'R&amp;D Log'!$B$5:$B$500,A28))</f>
        <v/>
      </c>
      <c r="J28" s="87" t="str">
        <f t="shared" si="0"/>
        <v>ยังไม่มีข้อมูล</v>
      </c>
      <c r="K28" s="87" t="str">
        <f t="shared" si="1"/>
        <v>ยังไม่มีข้อมูล</v>
      </c>
      <c r="L28" s="87" t="str">
        <f t="shared" si="2"/>
        <v>รอชิม</v>
      </c>
    </row>
    <row r="29" spans="1:12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</row>
    <row r="30" spans="1:12" ht="51" x14ac:dyDescent="0.25">
      <c r="A30" s="36" t="s">
        <v>805</v>
      </c>
      <c r="B30" s="36"/>
      <c r="C30" s="81"/>
      <c r="D30" s="36" t="s">
        <v>810</v>
      </c>
      <c r="E30" s="87"/>
      <c r="F30" s="87"/>
      <c r="G30" s="87"/>
      <c r="H30" s="87"/>
      <c r="I30" s="87"/>
      <c r="J30" s="81"/>
      <c r="K30" s="81"/>
      <c r="L30" s="81"/>
    </row>
    <row r="31" spans="1:12" ht="25.5" x14ac:dyDescent="0.25">
      <c r="A31" s="87" t="s">
        <v>806</v>
      </c>
      <c r="B31" s="89">
        <v>3.4</v>
      </c>
      <c r="C31" s="81"/>
      <c r="D31" s="87" t="s">
        <v>2</v>
      </c>
      <c r="E31" s="89" t="s">
        <v>76</v>
      </c>
      <c r="F31" s="87"/>
      <c r="G31" s="87"/>
      <c r="H31" s="87"/>
      <c r="I31" s="87"/>
      <c r="J31" s="81"/>
      <c r="K31" s="81"/>
      <c r="L31" s="81"/>
    </row>
    <row r="32" spans="1:12" x14ac:dyDescent="0.25">
      <c r="A32" s="87" t="s">
        <v>807</v>
      </c>
      <c r="B32" s="89">
        <v>2.6</v>
      </c>
      <c r="C32" s="81"/>
      <c r="D32" s="87" t="s">
        <v>40</v>
      </c>
      <c r="E32" s="89" t="s">
        <v>5</v>
      </c>
      <c r="F32" s="87"/>
      <c r="G32" s="87"/>
      <c r="H32" s="87"/>
      <c r="I32" s="87"/>
      <c r="J32" s="81"/>
      <c r="K32" s="81"/>
      <c r="L32" s="81"/>
    </row>
    <row r="33" spans="1:11" x14ac:dyDescent="0.25">
      <c r="A33" s="87" t="s">
        <v>808</v>
      </c>
      <c r="B33" s="89">
        <v>3.8</v>
      </c>
      <c r="C33" s="81"/>
      <c r="D33" s="87" t="s">
        <v>41</v>
      </c>
      <c r="E33" s="111" t="s">
        <v>7</v>
      </c>
      <c r="F33" s="87"/>
      <c r="G33" s="87"/>
      <c r="H33" s="87"/>
      <c r="I33" s="87"/>
      <c r="J33" s="81"/>
      <c r="K33" s="81"/>
    </row>
    <row r="34" spans="1:11" ht="89.25" x14ac:dyDescent="0.25">
      <c r="A34" s="87" t="s">
        <v>809</v>
      </c>
      <c r="B34" s="89">
        <v>3</v>
      </c>
      <c r="C34" s="81"/>
      <c r="D34" s="87" t="s">
        <v>811</v>
      </c>
      <c r="E34" s="113">
        <f>IFERROR(AVERAGEIFS('R&amp;D Log'!$G$5:$G$500,'R&amp;D Log'!$B$5:$B$500,$E$31,'R&amp;D Log'!$C$5:$C$500,$E$32,'R&amp;D Log'!$D$5:$D$500,$E$33),"-")</f>
        <v>3.4</v>
      </c>
      <c r="F34" s="113">
        <f>IFERROR(AVERAGEIFS('R&amp;D Log'!$H$5:$H$500,'R&amp;D Log'!$B$5:$B$500,$E$31,'R&amp;D Log'!$C$5:$C$500,$E$32,'R&amp;D Log'!$D$5:$D$500,$E$33),"-")</f>
        <v>3</v>
      </c>
      <c r="G34" s="113">
        <f>IFERROR(AVERAGEIFS('R&amp;D Log'!$I$5:$I$500,'R&amp;D Log'!$B$5:$B$500,$E$31,'R&amp;D Log'!$C$5:$C$500,$E$32,'R&amp;D Log'!$D$5:$D$500,$E$33),"-")</f>
        <v>3.2</v>
      </c>
      <c r="H34" s="113">
        <f>IFERROR(AVERAGEIFS('R&amp;D Log'!$J$5:$J$500,'R&amp;D Log'!$B$5:$B$500,$E$31,'R&amp;D Log'!$C$5:$C$500,$E$32,'R&amp;D Log'!$D$5:$D$500,$E$33),"-")</f>
        <v>4.2</v>
      </c>
      <c r="I34" s="113">
        <f>IFERROR(AVERAGEIFS('R&amp;D Log'!$K$5:$K$500,'R&amp;D Log'!$B$5:$B$500,$E$31,'R&amp;D Log'!$C$5:$C$500,$E$32,'R&amp;D Log'!$D$5:$D$500,$E$33),"-")</f>
        <v>4.0999999999999996</v>
      </c>
      <c r="J34" s="81"/>
      <c r="K34" s="81"/>
    </row>
    <row r="37" spans="1:11" ht="94.5" x14ac:dyDescent="0.25">
      <c r="A37" s="127" t="s">
        <v>916</v>
      </c>
    </row>
    <row r="38" spans="1:11" x14ac:dyDescent="0.25">
      <c r="A38" t="s">
        <v>917</v>
      </c>
      <c r="B38" s="129">
        <v>500</v>
      </c>
      <c r="C38" t="s">
        <v>918</v>
      </c>
    </row>
    <row r="39" spans="1:11" x14ac:dyDescent="0.25">
      <c r="A39" s="130" t="s">
        <v>919</v>
      </c>
      <c r="B39" s="130" t="s">
        <v>920</v>
      </c>
      <c r="C39" s="130" t="s">
        <v>921</v>
      </c>
      <c r="D39" s="130" t="s">
        <v>922</v>
      </c>
      <c r="E39" s="130" t="s">
        <v>923</v>
      </c>
      <c r="F39" s="130" t="s">
        <v>924</v>
      </c>
      <c r="G39" s="130" t="s">
        <v>925</v>
      </c>
      <c r="H39" s="130" t="s">
        <v>926</v>
      </c>
      <c r="I39" s="130" t="s">
        <v>927</v>
      </c>
      <c r="J39" s="130" t="s">
        <v>928</v>
      </c>
      <c r="K39" s="130" t="s">
        <v>929</v>
      </c>
    </row>
    <row r="40" spans="1:11" x14ac:dyDescent="0.25">
      <c r="A40" t="s">
        <v>930</v>
      </c>
      <c r="B40" s="131">
        <v>0.6</v>
      </c>
      <c r="C40">
        <f>ROUND(เบสและซับสูตร!$B$16*$B$38/เบสและซับสูตร!$B$8*$B40,1)</f>
        <v>30</v>
      </c>
      <c r="D40">
        <f>ROUND(เบสและซับสูตร!$B$16*$B$38/เบสและซับสูตร!$B$8-$C40,1)</f>
        <v>20</v>
      </c>
      <c r="E40">
        <f>ROUND(เบสและซับสูตร!$B$12*$B$38/เบสและซับสูตร!$B$8,0)</f>
        <v>550</v>
      </c>
      <c r="J40" t="str">
        <f>IF(COUNT(F40:I40)=0,"",ROUND(AVERAGE(F40:I40),2))</f>
        <v/>
      </c>
      <c r="K40" t="str">
        <f>IF($J40="","รอชิม",IF($J40=MAX($J$40:$J$42),"⭐ ดีที่สุด — เอา % นี้ไปใส่ B17","-"))</f>
        <v>รอชิม</v>
      </c>
    </row>
    <row r="41" spans="1:11" x14ac:dyDescent="0.25">
      <c r="A41" t="s">
        <v>931</v>
      </c>
      <c r="B41" s="131">
        <v>0.7</v>
      </c>
      <c r="C41">
        <f>ROUND(เบสและซับสูตร!$B$16*$B$38/เบสและซับสูตร!$B$8*$B41,1)</f>
        <v>35</v>
      </c>
      <c r="D41">
        <f>ROUND(เบสและซับสูตร!$B$16*$B$38/เบสและซับสูตร!$B$8-$C41,1)</f>
        <v>15</v>
      </c>
      <c r="E41">
        <f>ROUND(เบสและซับสูตร!$B$12*$B$38/เบสและซับสูตร!$B$8,0)</f>
        <v>550</v>
      </c>
      <c r="J41" t="str">
        <f>IF(COUNT(F41:I41)=0,"",ROUND(AVERAGE(F41:I41),2))</f>
        <v/>
      </c>
      <c r="K41" t="str">
        <f>IF($J41="","รอชิม",IF($J41=MAX($J$40:$J$42),"⭐ ดีที่สุด — เอา % นี้ไปใส่ B17","-"))</f>
        <v>รอชิม</v>
      </c>
    </row>
    <row r="42" spans="1:11" x14ac:dyDescent="0.25">
      <c r="A42" t="s">
        <v>932</v>
      </c>
      <c r="B42" s="131">
        <v>0.8</v>
      </c>
      <c r="C42">
        <f>ROUND(เบสและซับสูตร!$B$16*$B$38/เบสและซับสูตร!$B$8*$B42,1)</f>
        <v>40</v>
      </c>
      <c r="D42">
        <f>ROUND(เบสและซับสูตร!$B$16*$B$38/เบสและซับสูตร!$B$8-$C42,1)</f>
        <v>10</v>
      </c>
      <c r="E42">
        <f>ROUND(เบสและซับสูตร!$B$12*$B$38/เบสและซับสูตร!$B$8,0)</f>
        <v>550</v>
      </c>
      <c r="J42" t="str">
        <f>IF(COUNT(F42:I42)=0,"",ROUND(AVERAGE(F42:I42),2))</f>
        <v/>
      </c>
      <c r="K42" t="str">
        <f>IF($J42="","รอชิม",IF($J42=MAX($J$40:$J$42),"⭐ ดีที่สุด — เอา % นี้ไปใส่ B17","-"))</f>
        <v>รอชิม</v>
      </c>
    </row>
    <row r="44" spans="1:11" ht="15.75" x14ac:dyDescent="0.25">
      <c r="A44" s="179" t="s">
        <v>933</v>
      </c>
    </row>
    <row r="45" spans="1:11" x14ac:dyDescent="0.25">
      <c r="A45" s="180" t="s">
        <v>934</v>
      </c>
      <c r="B45">
        <f>ตารางรวม!D7</f>
        <v>130</v>
      </c>
      <c r="C45" t="s">
        <v>935</v>
      </c>
    </row>
    <row r="46" spans="1:11" x14ac:dyDescent="0.25">
      <c r="A46" s="180" t="s">
        <v>936</v>
      </c>
      <c r="B46" s="128">
        <v>240</v>
      </c>
      <c r="C46" t="s">
        <v>937</v>
      </c>
    </row>
    <row r="47" spans="1:11" x14ac:dyDescent="0.25">
      <c r="A47" s="180" t="s">
        <v>938</v>
      </c>
      <c r="B47">
        <f>ROUND($B$46/เบสและซับสูตร!$B$8*$B$45,2)</f>
        <v>10.4</v>
      </c>
    </row>
    <row r="48" spans="1:11" x14ac:dyDescent="0.25">
      <c r="A48" s="180" t="s">
        <v>939</v>
      </c>
      <c r="B48">
        <f>ROUND(SUMIFS(tblBOM[ปริมาณต่อ batch],tblBOM[วัตถุดิบในสูตร],"น้ำเชื่อม 1:1",tblBOM[รหัสสินค้า],"RM-SWT-01")/INDEX(tblIng[ขนาด batch มาตรฐาน],MATCH("น้ำเชื่อม 1:1",tblIng[วัตถุดิบในสูตร],0)),3)</f>
        <v>0.625</v>
      </c>
    </row>
    <row r="49" spans="1:4" x14ac:dyDescent="0.25">
      <c r="A49" s="181" t="s">
        <v>940</v>
      </c>
      <c r="B49" s="132">
        <f>ROUND($B$47/$B$48,1)</f>
        <v>16.600000000000001</v>
      </c>
    </row>
    <row r="50" spans="1:4" x14ac:dyDescent="0.25">
      <c r="A50" s="180" t="s">
        <v>941</v>
      </c>
      <c r="B50">
        <f>ROUND($B$49*INDEX(tblIng[ต้นทุนที่ใช้],MATCH("น้ำเชื่อม 1:1",tblIng[วัตถุดิบในสูตร],0)),3)</f>
        <v>0.27800000000000002</v>
      </c>
    </row>
    <row r="51" spans="1:4" x14ac:dyDescent="0.25">
      <c r="A51" s="180" t="s">
        <v>942</v>
      </c>
      <c r="B51">
        <f>ROUND($B$47*INDEX(tblItems[ต้นทุนต่อหน่วยใช้],MATCH("RM-SWT-01",tblItems[รหัสสินค้า],0)),3)</f>
        <v>0.27</v>
      </c>
    </row>
    <row r="52" spans="1:4" x14ac:dyDescent="0.25">
      <c r="A52" s="181" t="s">
        <v>943</v>
      </c>
      <c r="B52" s="130">
        <f>ROUND($B$50-$B$51,3)</f>
        <v>8.0000000000000002E-3</v>
      </c>
    </row>
    <row r="53" spans="1:4" x14ac:dyDescent="0.25">
      <c r="A53" s="180" t="s">
        <v>944</v>
      </c>
    </row>
    <row r="54" spans="1:4" x14ac:dyDescent="0.25">
      <c r="A54" s="180"/>
    </row>
    <row r="55" spans="1:4" ht="15.75" x14ac:dyDescent="0.25">
      <c r="A55" s="179" t="s">
        <v>945</v>
      </c>
    </row>
    <row r="56" spans="1:4" x14ac:dyDescent="0.25">
      <c r="A56" s="181" t="s">
        <v>665</v>
      </c>
      <c r="B56" s="130" t="s">
        <v>946</v>
      </c>
      <c r="C56" s="130" t="s">
        <v>947</v>
      </c>
      <c r="D56" s="130" t="s">
        <v>948</v>
      </c>
    </row>
    <row r="57" spans="1:4" x14ac:dyDescent="0.25">
      <c r="A57" s="180" t="s">
        <v>949</v>
      </c>
      <c r="B57">
        <f>INDEX(tblItems[ราคาตั้งต้นต่อหน่วยซื้อ],MATCH("RM-TEA-02",tblItems[รหัสสินค้า],0))</f>
        <v>191.25</v>
      </c>
      <c r="C57" s="129">
        <v>170</v>
      </c>
      <c r="D57">
        <f>$C57-$B57</f>
        <v>-21.25</v>
      </c>
    </row>
    <row r="58" spans="1:4" x14ac:dyDescent="0.25">
      <c r="A58" s="180" t="s">
        <v>950</v>
      </c>
      <c r="B58">
        <f>INDEX(tblItems[ราคาตั้งต้นต่อหน่วยซื้อ],MATCH("RM-TEA-01",tblItems[รหัสสินค้า],0))</f>
        <v>77</v>
      </c>
      <c r="C58" s="129">
        <v>70</v>
      </c>
      <c r="D58">
        <f>$C58-$B58</f>
        <v>-7</v>
      </c>
    </row>
    <row r="59" spans="1:4" x14ac:dyDescent="0.25">
      <c r="A59" s="180" t="s">
        <v>951</v>
      </c>
      <c r="B59">
        <f>ROUND((เบสและซับสูตร!$B$10*B$57/INDEX(tblItems[ปริมาณต่อหน่วยซื้อ],MATCH("RM-TEA-02",tblItems[รหัสสินค้า],0))+เบสและซับสูตร!$B$11*B$58/INDEX(tblItems[ปริมาณต่อหน่วยซื้อ],MATCH("RM-TEA-01",tblItems[รหัสสินค้า],0))+เบสและซับสูตร!$B$12*INDEX(tblItems[ต้นทุนต่อหน่วยใช้],MATCH("RM-WTR-02",tblItems[รหัสสินค้า],0)))/เบสและซับสูตร!$B$8,5)</f>
        <v>0.02</v>
      </c>
      <c r="C59">
        <f>ROUND((เบสและซับสูตร!$B$10*C$57/INDEX(tblItems[ปริมาณต่อหน่วยซื้อ],MATCH("RM-TEA-02",tblItems[รหัสสินค้า],0))+เบสและซับสูตร!$B$11*C$58/INDEX(tblItems[ปริมาณต่อหน่วยซื้อ],MATCH("RM-TEA-01",tblItems[รหัสสินค้า],0))+เบสและซับสูตร!$B$12*INDEX(tblItems[ต้นทุนต่อหน่วยใช้],MATCH("RM-WTR-02",tblItems[รหัสสินค้า],0)))/เบสและซับสูตร!$B$8,5)</f>
        <v>1.8030000000000001E-2</v>
      </c>
      <c r="D59">
        <f>ROUND($C59-$B59,5)</f>
        <v>-1.97E-3</v>
      </c>
    </row>
    <row r="60" spans="1:4" x14ac:dyDescent="0.25">
      <c r="A60" s="180" t="s">
        <v>952</v>
      </c>
      <c r="B60">
        <f>ROUND(B$59*$B$45,3)</f>
        <v>2.6</v>
      </c>
      <c r="C60">
        <f>ROUND(C$59*$B$45,3)</f>
        <v>2.3439999999999999</v>
      </c>
      <c r="D60">
        <f>ROUND($C60-$B60,3)</f>
        <v>-0.25600000000000001</v>
      </c>
    </row>
    <row r="61" spans="1:4" x14ac:dyDescent="0.25">
      <c r="A61" s="180" t="s">
        <v>953</v>
      </c>
      <c r="B61" s="129">
        <v>60</v>
      </c>
    </row>
    <row r="62" spans="1:4" x14ac:dyDescent="0.25">
      <c r="A62" s="181" t="s">
        <v>954</v>
      </c>
      <c r="B62" s="133">
        <f>ROUND(($B$60-$C$60)*$B$61*30,0)</f>
        <v>461</v>
      </c>
    </row>
    <row r="63" spans="1:4" x14ac:dyDescent="0.25">
      <c r="A63" s="180" t="s">
        <v>955</v>
      </c>
      <c r="B63">
        <f>ROUND(1000/เบสและซับสูตร!$B$10*เบสและซับสูตร!$B$8/1000,1)</f>
        <v>16.7</v>
      </c>
      <c r="C63">
        <f>ROUND(1000/เบสและซับสูตร!$B$10*เบสและซับสูตร!$B$8/$B$45,0)</f>
        <v>128</v>
      </c>
      <c r="D63" t="s">
        <v>956</v>
      </c>
    </row>
    <row r="64" spans="1:4" x14ac:dyDescent="0.25">
      <c r="A64" s="180" t="s">
        <v>957</v>
      </c>
    </row>
  </sheetData>
  <conditionalFormatting sqref="L5:L28">
    <cfRule type="containsText" dxfId="2" priority="1" operator="containsText" text="ผ่าน">
      <formula>NOT(ISERROR(SEARCH("ผ่าน",L5)))</formula>
    </cfRule>
    <cfRule type="containsText" dxfId="1" priority="2" operator="containsText" text="ด่วน">
      <formula>NOT(ISERROR(SEARCH("ด่วน",L5)))</formula>
    </cfRule>
    <cfRule type="containsText" dxfId="0" priority="3" operator="containsText" text="ปรับแก้">
      <formula>NOT(ISERROR(SEARCH("ปรับแก้",L5)))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5C2488-9618-B445-B2D7-49EED788D036}">
          <x14:formula1>
            <xm:f>Lists!$A$2:$A$60</xm:f>
          </x14:formula1>
          <xm:sqref>E31</xm:sqref>
        </x14:dataValidation>
        <x14:dataValidation type="list" allowBlank="1" showInputMessage="1" showErrorMessage="1" xr:uid="{8E0574F2-3024-8940-9D43-2CF4E772C172}">
          <x14:formula1>
            <xm:f>Lists!$E$2:$E$3</xm:f>
          </x14:formula1>
          <xm:sqref>E32</xm:sqref>
        </x14:dataValidation>
        <x14:dataValidation type="list" allowBlank="1" showInputMessage="1" showErrorMessage="1" xr:uid="{80ED84D7-753D-984A-8D2B-A1E659534B45}">
          <x14:formula1>
            <xm:f>Lists!$F$2:$F$6</xm:f>
          </x14:formula1>
          <xm:sqref>E33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1CD2-5D7E-CA49-A6C0-780B132CCE6B}">
  <sheetPr>
    <tabColor rgb="FF2E9B9B"/>
  </sheetPr>
  <dimension ref="A1:H56"/>
  <sheetViews>
    <sheetView showGridLines="0" workbookViewId="0">
      <selection activeCell="C13" sqref="C13"/>
    </sheetView>
  </sheetViews>
  <sheetFormatPr defaultColWidth="10.85546875" defaultRowHeight="15" x14ac:dyDescent="0.25"/>
  <cols>
    <col min="1" max="1" width="47.5703125" customWidth="1"/>
    <col min="2" max="4" width="18.140625" customWidth="1"/>
    <col min="5" max="5" width="57.140625" customWidth="1"/>
    <col min="6" max="6" width="32.7109375" customWidth="1"/>
    <col min="7" max="7" width="35" customWidth="1"/>
    <col min="8" max="8" width="56" customWidth="1"/>
  </cols>
  <sheetData>
    <row r="1" spans="1:8" ht="18" x14ac:dyDescent="0.25">
      <c r="A1" s="2" t="s">
        <v>625</v>
      </c>
    </row>
    <row r="2" spans="1:8" x14ac:dyDescent="0.25">
      <c r="A2" s="85" t="s">
        <v>626</v>
      </c>
    </row>
    <row r="4" spans="1:8" ht="30" x14ac:dyDescent="0.25">
      <c r="A4" s="86" t="s">
        <v>627</v>
      </c>
      <c r="B4" s="81"/>
      <c r="C4" s="81"/>
      <c r="D4" s="81"/>
      <c r="E4" s="81"/>
      <c r="F4" s="81"/>
      <c r="G4" s="81"/>
      <c r="H4" s="81"/>
    </row>
    <row r="5" spans="1:8" x14ac:dyDescent="0.25">
      <c r="A5" s="36" t="s">
        <v>628</v>
      </c>
      <c r="B5" s="36" t="s">
        <v>629</v>
      </c>
      <c r="C5" s="36" t="s">
        <v>630</v>
      </c>
      <c r="D5" s="36" t="s">
        <v>631</v>
      </c>
      <c r="E5" s="36" t="s">
        <v>632</v>
      </c>
      <c r="F5" s="36" t="s">
        <v>633</v>
      </c>
      <c r="G5" s="36" t="s">
        <v>634</v>
      </c>
      <c r="H5" s="36" t="s">
        <v>635</v>
      </c>
    </row>
    <row r="6" spans="1:8" ht="25.5" x14ac:dyDescent="0.25">
      <c r="A6" s="87" t="s">
        <v>636</v>
      </c>
      <c r="B6" s="87" t="s">
        <v>637</v>
      </c>
      <c r="C6" s="88">
        <v>1490</v>
      </c>
      <c r="D6" s="89">
        <v>100</v>
      </c>
      <c r="E6" s="90">
        <f t="shared" ref="E6:E11" si="0">IFERROR(C6/D6,"")</f>
        <v>14.9</v>
      </c>
      <c r="F6" s="87" t="s">
        <v>646</v>
      </c>
      <c r="G6" s="87" t="s">
        <v>647</v>
      </c>
      <c r="H6" s="87" t="s">
        <v>648</v>
      </c>
    </row>
    <row r="7" spans="1:8" ht="25.5" x14ac:dyDescent="0.25">
      <c r="A7" s="87" t="s">
        <v>636</v>
      </c>
      <c r="B7" s="87" t="s">
        <v>638</v>
      </c>
      <c r="C7" s="88">
        <v>1490</v>
      </c>
      <c r="D7" s="89">
        <v>100</v>
      </c>
      <c r="E7" s="90">
        <f t="shared" si="0"/>
        <v>14.9</v>
      </c>
      <c r="F7" s="87" t="s">
        <v>649</v>
      </c>
      <c r="G7" s="87" t="s">
        <v>650</v>
      </c>
      <c r="H7" s="87" t="s">
        <v>651</v>
      </c>
    </row>
    <row r="8" spans="1:8" ht="25.5" x14ac:dyDescent="0.25">
      <c r="A8" s="91" t="s">
        <v>639</v>
      </c>
      <c r="B8" s="91" t="s">
        <v>640</v>
      </c>
      <c r="C8" s="92">
        <v>2200</v>
      </c>
      <c r="D8" s="93">
        <v>500</v>
      </c>
      <c r="E8" s="94">
        <f t="shared" si="0"/>
        <v>4.4000000000000004</v>
      </c>
      <c r="F8" s="91" t="s">
        <v>652</v>
      </c>
      <c r="G8" s="91" t="s">
        <v>653</v>
      </c>
      <c r="H8" s="91" t="s">
        <v>654</v>
      </c>
    </row>
    <row r="9" spans="1:8" ht="25.5" x14ac:dyDescent="0.25">
      <c r="A9" s="87" t="s">
        <v>639</v>
      </c>
      <c r="B9" s="87" t="s">
        <v>641</v>
      </c>
      <c r="C9" s="88">
        <v>1200</v>
      </c>
      <c r="D9" s="89">
        <v>100</v>
      </c>
      <c r="E9" s="90">
        <f t="shared" si="0"/>
        <v>12</v>
      </c>
      <c r="F9" s="87" t="s">
        <v>655</v>
      </c>
      <c r="G9" s="87" t="s">
        <v>656</v>
      </c>
      <c r="H9" s="87" t="s">
        <v>657</v>
      </c>
    </row>
    <row r="10" spans="1:8" x14ac:dyDescent="0.25">
      <c r="A10" s="87" t="s">
        <v>642</v>
      </c>
      <c r="B10" s="87" t="s">
        <v>643</v>
      </c>
      <c r="C10" s="88">
        <v>900</v>
      </c>
      <c r="D10" s="89">
        <v>500</v>
      </c>
      <c r="E10" s="90">
        <f t="shared" si="0"/>
        <v>1.8</v>
      </c>
      <c r="F10" s="87" t="s">
        <v>658</v>
      </c>
      <c r="G10" s="87" t="s">
        <v>659</v>
      </c>
      <c r="H10" s="87" t="s">
        <v>660</v>
      </c>
    </row>
    <row r="11" spans="1:8" x14ac:dyDescent="0.25">
      <c r="A11" s="87" t="s">
        <v>644</v>
      </c>
      <c r="B11" s="87" t="s">
        <v>645</v>
      </c>
      <c r="C11" s="88">
        <v>650</v>
      </c>
      <c r="D11" s="89">
        <v>1000</v>
      </c>
      <c r="E11" s="90">
        <f t="shared" si="0"/>
        <v>0.65</v>
      </c>
      <c r="F11" s="87" t="s">
        <v>661</v>
      </c>
      <c r="G11" s="87" t="s">
        <v>662</v>
      </c>
      <c r="H11" s="87" t="s">
        <v>663</v>
      </c>
    </row>
    <row r="12" spans="1:8" x14ac:dyDescent="0.25">
      <c r="A12" s="81"/>
      <c r="B12" s="81"/>
      <c r="C12" s="81"/>
      <c r="D12" s="81"/>
      <c r="E12" s="81"/>
      <c r="F12" s="81"/>
      <c r="G12" s="81"/>
      <c r="H12" s="81"/>
    </row>
    <row r="13" spans="1:8" ht="30" customHeight="1" x14ac:dyDescent="0.25">
      <c r="A13" s="158" t="s">
        <v>664</v>
      </c>
      <c r="B13" s="158"/>
      <c r="C13" s="81"/>
      <c r="D13" s="81"/>
      <c r="E13" s="81"/>
      <c r="F13" s="81"/>
      <c r="G13" s="81"/>
      <c r="H13" s="81"/>
    </row>
    <row r="14" spans="1:8" x14ac:dyDescent="0.25">
      <c r="A14" s="36" t="s">
        <v>665</v>
      </c>
      <c r="B14" s="36" t="s">
        <v>666</v>
      </c>
      <c r="C14" s="36" t="s">
        <v>667</v>
      </c>
      <c r="D14" s="81"/>
      <c r="E14" s="81"/>
      <c r="F14" s="81"/>
      <c r="G14" s="81"/>
      <c r="H14" s="81"/>
    </row>
    <row r="15" spans="1:8" x14ac:dyDescent="0.25">
      <c r="A15" s="87" t="s">
        <v>668</v>
      </c>
      <c r="B15" s="95">
        <f>IFERROR(INDEX(tblItems[ต้นทุนเฉลี่ยต่อหน่วยซื้อ],MATCH("RM-MAT-01",tblItems[รหัสสินค้า],0)),0)</f>
        <v>2200</v>
      </c>
      <c r="C15" s="178" t="s">
        <v>1107</v>
      </c>
      <c r="D15" s="81"/>
      <c r="E15" s="81"/>
      <c r="F15" s="81"/>
      <c r="G15" s="81"/>
      <c r="H15" s="81"/>
    </row>
    <row r="16" spans="1:8" x14ac:dyDescent="0.25">
      <c r="A16" s="87" t="s">
        <v>669</v>
      </c>
      <c r="B16" s="87">
        <f>IFERROR(INDEX(tblItems[ปริมาณต่อหน่วยซื้อ],MATCH("RM-MAT-01",tblItems[รหัสสินค้า],0)),0)</f>
        <v>500</v>
      </c>
      <c r="C16" s="178" t="s">
        <v>1108</v>
      </c>
      <c r="D16" s="81"/>
      <c r="E16" s="81"/>
      <c r="F16" s="81"/>
      <c r="G16" s="81"/>
      <c r="H16" s="81"/>
    </row>
    <row r="17" spans="1:8" x14ac:dyDescent="0.25">
      <c r="A17" s="87" t="s">
        <v>670</v>
      </c>
      <c r="B17" s="96">
        <f>IFERROR(B15/B16,0)</f>
        <v>4.4000000000000004</v>
      </c>
      <c r="C17" s="178" t="s">
        <v>674</v>
      </c>
      <c r="D17" s="81"/>
      <c r="E17" s="81"/>
      <c r="F17" s="81"/>
      <c r="G17" s="81"/>
      <c r="H17" s="81"/>
    </row>
    <row r="18" spans="1:8" x14ac:dyDescent="0.25">
      <c r="A18" s="87" t="s">
        <v>671</v>
      </c>
      <c r="B18" s="89">
        <v>4</v>
      </c>
      <c r="C18" s="178" t="s">
        <v>675</v>
      </c>
      <c r="D18" s="81"/>
      <c r="E18" s="81"/>
      <c r="F18" s="81"/>
      <c r="G18" s="81"/>
      <c r="H18" s="81"/>
    </row>
    <row r="19" spans="1:8" x14ac:dyDescent="0.25">
      <c r="A19" s="87" t="s">
        <v>1105</v>
      </c>
      <c r="B19" s="96">
        <f>ROUND(B18*ข้อมูลสูตร!$AB$2,0)</f>
        <v>5</v>
      </c>
      <c r="C19" s="178" t="s">
        <v>1106</v>
      </c>
      <c r="D19" s="81"/>
      <c r="E19" s="81"/>
      <c r="F19" s="81"/>
      <c r="G19" s="81"/>
      <c r="H19" s="81"/>
    </row>
    <row r="20" spans="1:8" x14ac:dyDescent="0.25">
      <c r="A20" s="87" t="s">
        <v>672</v>
      </c>
      <c r="B20" s="89">
        <v>5</v>
      </c>
      <c r="C20" s="178" t="s">
        <v>676</v>
      </c>
      <c r="D20" s="81"/>
      <c r="E20" s="81"/>
      <c r="F20" s="81"/>
      <c r="G20" s="81"/>
      <c r="H20" s="81"/>
    </row>
    <row r="21" spans="1:8" x14ac:dyDescent="0.25">
      <c r="A21" s="87" t="s">
        <v>673</v>
      </c>
      <c r="B21" s="89">
        <v>10</v>
      </c>
      <c r="C21" s="178" t="s">
        <v>677</v>
      </c>
      <c r="D21" s="81"/>
      <c r="E21" s="81"/>
      <c r="F21" s="81"/>
      <c r="G21" s="81"/>
      <c r="H21" s="81"/>
    </row>
    <row r="22" spans="1:8" x14ac:dyDescent="0.25">
      <c r="A22" s="81"/>
      <c r="B22" s="81"/>
      <c r="C22" s="81"/>
      <c r="D22" s="81"/>
      <c r="E22" s="81"/>
      <c r="F22" s="81"/>
      <c r="G22" s="81"/>
      <c r="H22" s="81"/>
    </row>
    <row r="23" spans="1:8" x14ac:dyDescent="0.25">
      <c r="A23" s="36" t="s">
        <v>678</v>
      </c>
      <c r="B23" s="36" t="s">
        <v>5</v>
      </c>
      <c r="C23" s="36" t="s">
        <v>1046</v>
      </c>
      <c r="D23" s="36" t="s">
        <v>67</v>
      </c>
      <c r="E23" s="36" t="s">
        <v>59</v>
      </c>
      <c r="F23" s="81"/>
      <c r="G23" s="81"/>
      <c r="H23" s="81"/>
    </row>
    <row r="24" spans="1:8" x14ac:dyDescent="0.25">
      <c r="A24" s="87" t="s">
        <v>679</v>
      </c>
      <c r="B24" s="95">
        <f>B17*B18</f>
        <v>17.600000000000001</v>
      </c>
      <c r="C24" s="95">
        <f>B17*B19</f>
        <v>22</v>
      </c>
      <c r="D24" s="95">
        <f>B17*B20</f>
        <v>22</v>
      </c>
      <c r="E24" s="87" t="s">
        <v>1109</v>
      </c>
      <c r="F24" s="81"/>
      <c r="G24" s="81"/>
      <c r="H24" s="81"/>
    </row>
    <row r="25" spans="1:8" x14ac:dyDescent="0.25">
      <c r="A25" s="87" t="s">
        <v>680</v>
      </c>
      <c r="B25" s="95">
        <f>IFERROR(INDEX(ตารางรวม!$V:$V,MATCH("Matcha Latte Premium|16 oz|50%",ตารางรวม!$Z:$Z,0)),"")</f>
        <v>52.81</v>
      </c>
      <c r="C25" s="95">
        <f>IFERROR(INDEX(ตารางรวม!$V:$V,MATCH("Matcha Latte Premium"&amp;Lists!$S$2&amp;"20 oz"&amp;Lists!$S$2&amp;"50%",ตารางรวม!$Z:$Z,0)),"")</f>
        <v>65.62</v>
      </c>
      <c r="D25" s="95">
        <f>IFERROR(INDEX(ตารางรวม!$V:$V,MATCH("Matcha Latte Premium"&amp;Lists!$S$2&amp;"22 oz"&amp;Lists!$S$2&amp;"50%",ตารางรวม!$Z:$Z,0)),"")</f>
        <v>67.430000000000007</v>
      </c>
      <c r="E25" s="87" t="s">
        <v>682</v>
      </c>
      <c r="F25" s="81"/>
      <c r="G25" s="81"/>
      <c r="H25" s="81"/>
    </row>
    <row r="26" spans="1:8" x14ac:dyDescent="0.25">
      <c r="A26" s="87" t="s">
        <v>681</v>
      </c>
      <c r="B26" s="97">
        <f>IFERROR(B24/B25,"")</f>
        <v>0.33327021397462603</v>
      </c>
      <c r="C26" s="97">
        <f>IFERROR(C24/C25,"")</f>
        <v>0.33526363913441021</v>
      </c>
      <c r="D26" s="97">
        <f>IFERROR(D24/D25,"")</f>
        <v>0.32626427406199016</v>
      </c>
      <c r="E26" s="87" t="s">
        <v>683</v>
      </c>
      <c r="F26" s="81"/>
      <c r="G26" s="81"/>
      <c r="H26" s="81"/>
    </row>
    <row r="27" spans="1:8" x14ac:dyDescent="0.25">
      <c r="A27" s="81"/>
      <c r="B27" s="81"/>
      <c r="C27" s="81"/>
      <c r="D27" s="81"/>
      <c r="E27" s="81"/>
      <c r="F27" s="81"/>
      <c r="G27" s="81"/>
      <c r="H27" s="81"/>
    </row>
    <row r="28" spans="1:8" ht="45" x14ac:dyDescent="0.25">
      <c r="A28" s="86" t="s">
        <v>684</v>
      </c>
      <c r="B28" s="81"/>
      <c r="C28" s="81"/>
      <c r="D28" s="81"/>
      <c r="E28" s="81"/>
      <c r="F28" s="81"/>
      <c r="G28" s="81"/>
      <c r="H28" s="81"/>
    </row>
    <row r="29" spans="1:8" x14ac:dyDescent="0.25">
      <c r="A29" s="36" t="s">
        <v>685</v>
      </c>
      <c r="B29" s="36">
        <v>3</v>
      </c>
      <c r="C29" s="36">
        <v>4</v>
      </c>
      <c r="D29" s="36">
        <v>5</v>
      </c>
      <c r="E29" s="36">
        <v>6</v>
      </c>
      <c r="F29" s="36">
        <v>7</v>
      </c>
      <c r="G29" s="81"/>
      <c r="H29" s="81" t="s">
        <v>686</v>
      </c>
    </row>
    <row r="30" spans="1:8" x14ac:dyDescent="0.25">
      <c r="A30" s="98">
        <v>2</v>
      </c>
      <c r="B30" s="99">
        <f t="shared" ref="B30:F36" si="1">$A30*B$29</f>
        <v>6</v>
      </c>
      <c r="C30" s="99">
        <f t="shared" si="1"/>
        <v>8</v>
      </c>
      <c r="D30" s="99">
        <f t="shared" si="1"/>
        <v>10</v>
      </c>
      <c r="E30" s="99">
        <f t="shared" si="1"/>
        <v>12</v>
      </c>
      <c r="F30" s="99">
        <f t="shared" si="1"/>
        <v>14</v>
      </c>
      <c r="G30" s="81"/>
      <c r="H30" s="81" t="s">
        <v>687</v>
      </c>
    </row>
    <row r="31" spans="1:8" x14ac:dyDescent="0.25">
      <c r="A31" s="98">
        <v>3</v>
      </c>
      <c r="B31" s="99">
        <f t="shared" si="1"/>
        <v>9</v>
      </c>
      <c r="C31" s="99">
        <f t="shared" si="1"/>
        <v>12</v>
      </c>
      <c r="D31" s="99">
        <f t="shared" si="1"/>
        <v>15</v>
      </c>
      <c r="E31" s="99">
        <f t="shared" si="1"/>
        <v>18</v>
      </c>
      <c r="F31" s="99">
        <f t="shared" si="1"/>
        <v>21</v>
      </c>
      <c r="G31" s="81"/>
      <c r="H31" s="81"/>
    </row>
    <row r="32" spans="1:8" x14ac:dyDescent="0.25">
      <c r="A32" s="100">
        <v>4.4000000000000004</v>
      </c>
      <c r="B32" s="101">
        <f t="shared" si="1"/>
        <v>13.200000000000001</v>
      </c>
      <c r="C32" s="101">
        <f t="shared" si="1"/>
        <v>17.600000000000001</v>
      </c>
      <c r="D32" s="101">
        <f t="shared" si="1"/>
        <v>22</v>
      </c>
      <c r="E32" s="101">
        <f t="shared" si="1"/>
        <v>26.400000000000002</v>
      </c>
      <c r="F32" s="101">
        <f t="shared" si="1"/>
        <v>30.800000000000004</v>
      </c>
      <c r="G32" s="81"/>
      <c r="H32" s="81"/>
    </row>
    <row r="33" spans="1:8" x14ac:dyDescent="0.25">
      <c r="A33" s="98">
        <v>6</v>
      </c>
      <c r="B33" s="99">
        <f t="shared" si="1"/>
        <v>18</v>
      </c>
      <c r="C33" s="99">
        <f t="shared" si="1"/>
        <v>24</v>
      </c>
      <c r="D33" s="99">
        <f t="shared" si="1"/>
        <v>30</v>
      </c>
      <c r="E33" s="99">
        <f t="shared" si="1"/>
        <v>36</v>
      </c>
      <c r="F33" s="99">
        <f t="shared" si="1"/>
        <v>42</v>
      </c>
      <c r="G33" s="81"/>
      <c r="H33" s="81"/>
    </row>
    <row r="34" spans="1:8" x14ac:dyDescent="0.25">
      <c r="A34" s="98">
        <v>8</v>
      </c>
      <c r="B34" s="99">
        <f t="shared" si="1"/>
        <v>24</v>
      </c>
      <c r="C34" s="99">
        <f t="shared" si="1"/>
        <v>32</v>
      </c>
      <c r="D34" s="99">
        <f t="shared" si="1"/>
        <v>40</v>
      </c>
      <c r="E34" s="99">
        <f t="shared" si="1"/>
        <v>48</v>
      </c>
      <c r="F34" s="99">
        <f t="shared" si="1"/>
        <v>56</v>
      </c>
    </row>
    <row r="35" spans="1:8" x14ac:dyDescent="0.25">
      <c r="A35" s="98">
        <v>12</v>
      </c>
      <c r="B35" s="99">
        <f t="shared" si="1"/>
        <v>36</v>
      </c>
      <c r="C35" s="99">
        <f t="shared" si="1"/>
        <v>48</v>
      </c>
      <c r="D35" s="99">
        <f t="shared" si="1"/>
        <v>60</v>
      </c>
      <c r="E35" s="99">
        <f t="shared" si="1"/>
        <v>72</v>
      </c>
      <c r="F35" s="99">
        <f t="shared" si="1"/>
        <v>84</v>
      </c>
    </row>
    <row r="36" spans="1:8" x14ac:dyDescent="0.25">
      <c r="A36" s="98">
        <v>15</v>
      </c>
      <c r="B36" s="99">
        <f t="shared" si="1"/>
        <v>45</v>
      </c>
      <c r="C36" s="99">
        <f t="shared" si="1"/>
        <v>60</v>
      </c>
      <c r="D36" s="99">
        <f t="shared" si="1"/>
        <v>75</v>
      </c>
      <c r="E36" s="99">
        <f t="shared" si="1"/>
        <v>90</v>
      </c>
      <c r="F36" s="99">
        <f t="shared" si="1"/>
        <v>105</v>
      </c>
    </row>
    <row r="37" spans="1:8" x14ac:dyDescent="0.25">
      <c r="A37" s="81"/>
      <c r="B37" s="81"/>
      <c r="C37" s="81"/>
      <c r="D37" s="81"/>
      <c r="E37" s="81"/>
      <c r="F37" s="81"/>
    </row>
    <row r="38" spans="1:8" x14ac:dyDescent="0.25">
      <c r="A38" s="86" t="s">
        <v>688</v>
      </c>
      <c r="B38" s="81"/>
      <c r="C38" s="81"/>
      <c r="D38" s="81"/>
      <c r="E38" s="81"/>
      <c r="F38" s="81"/>
    </row>
    <row r="39" spans="1:8" x14ac:dyDescent="0.25">
      <c r="A39" s="36" t="s">
        <v>689</v>
      </c>
      <c r="B39" s="36" t="s">
        <v>690</v>
      </c>
      <c r="C39" s="36" t="s">
        <v>691</v>
      </c>
      <c r="D39" s="81"/>
      <c r="E39" s="81"/>
      <c r="F39" s="81"/>
    </row>
    <row r="40" spans="1:8" ht="38.25" x14ac:dyDescent="0.25">
      <c r="A40" s="87" t="s">
        <v>692</v>
      </c>
      <c r="B40" s="87" t="s">
        <v>693</v>
      </c>
      <c r="C40" s="87" t="s">
        <v>694</v>
      </c>
      <c r="D40" s="81"/>
      <c r="E40" s="81"/>
      <c r="F40" s="81"/>
    </row>
    <row r="41" spans="1:8" ht="38.25" x14ac:dyDescent="0.25">
      <c r="A41" s="87" t="s">
        <v>695</v>
      </c>
      <c r="B41" s="87" t="s">
        <v>696</v>
      </c>
      <c r="C41" s="87" t="s">
        <v>697</v>
      </c>
      <c r="D41" s="81"/>
      <c r="E41" s="81"/>
      <c r="F41" s="81"/>
    </row>
    <row r="42" spans="1:8" ht="63.75" x14ac:dyDescent="0.25">
      <c r="A42" s="87" t="s">
        <v>698</v>
      </c>
      <c r="B42" s="87" t="s">
        <v>699</v>
      </c>
      <c r="C42" s="87" t="s">
        <v>700</v>
      </c>
      <c r="D42" s="81"/>
      <c r="E42" s="81"/>
      <c r="F42" s="81"/>
    </row>
    <row r="43" spans="1:8" ht="51" x14ac:dyDescent="0.25">
      <c r="A43" s="87" t="s">
        <v>701</v>
      </c>
      <c r="B43" s="87" t="s">
        <v>702</v>
      </c>
      <c r="C43" s="87" t="s">
        <v>703</v>
      </c>
      <c r="D43" s="81"/>
      <c r="E43" s="81"/>
      <c r="F43" s="81"/>
    </row>
    <row r="44" spans="1:8" ht="38.25" x14ac:dyDescent="0.25">
      <c r="A44" s="87" t="s">
        <v>704</v>
      </c>
      <c r="B44" s="87" t="s">
        <v>705</v>
      </c>
      <c r="C44" s="87" t="s">
        <v>706</v>
      </c>
      <c r="D44" s="81"/>
      <c r="E44" s="81"/>
      <c r="F44" s="81"/>
    </row>
    <row r="45" spans="1:8" ht="51" x14ac:dyDescent="0.25">
      <c r="A45" s="87" t="s">
        <v>707</v>
      </c>
      <c r="B45" s="87" t="s">
        <v>708</v>
      </c>
      <c r="C45" s="87" t="s">
        <v>709</v>
      </c>
      <c r="D45" s="81"/>
      <c r="E45" s="81"/>
      <c r="F45" s="81"/>
    </row>
    <row r="46" spans="1:8" ht="51" x14ac:dyDescent="0.25">
      <c r="A46" s="87" t="s">
        <v>710</v>
      </c>
      <c r="B46" s="87" t="s">
        <v>711</v>
      </c>
      <c r="C46" s="87" t="s">
        <v>712</v>
      </c>
      <c r="D46" s="81"/>
      <c r="E46" s="81"/>
      <c r="F46" s="81"/>
    </row>
    <row r="47" spans="1:8" ht="38.25" x14ac:dyDescent="0.25">
      <c r="A47" s="87" t="s">
        <v>713</v>
      </c>
      <c r="B47" s="87" t="s">
        <v>714</v>
      </c>
      <c r="C47" s="87" t="s">
        <v>715</v>
      </c>
      <c r="D47" s="81"/>
      <c r="E47" s="81"/>
      <c r="F47" s="81"/>
    </row>
    <row r="48" spans="1:8" x14ac:dyDescent="0.25">
      <c r="A48" s="81"/>
      <c r="B48" s="81"/>
      <c r="C48" s="81"/>
      <c r="D48" s="81"/>
      <c r="E48" s="81"/>
      <c r="F48" s="81"/>
    </row>
    <row r="49" spans="1:6" ht="30" x14ac:dyDescent="0.25">
      <c r="A49" s="86" t="s">
        <v>716</v>
      </c>
      <c r="B49" s="81"/>
      <c r="C49" s="81"/>
      <c r="D49" s="81"/>
      <c r="E49" s="81"/>
      <c r="F49" s="81"/>
    </row>
    <row r="50" spans="1:6" x14ac:dyDescent="0.25">
      <c r="A50" s="36" t="s">
        <v>717</v>
      </c>
      <c r="B50" s="36" t="s">
        <v>718</v>
      </c>
      <c r="C50" s="36" t="s">
        <v>719</v>
      </c>
    </row>
    <row r="51" spans="1:6" x14ac:dyDescent="0.25">
      <c r="A51" s="87" t="s">
        <v>720</v>
      </c>
      <c r="B51" s="87" t="s">
        <v>721</v>
      </c>
      <c r="C51" s="102">
        <v>0.2</v>
      </c>
    </row>
    <row r="52" spans="1:6" x14ac:dyDescent="0.25">
      <c r="A52" s="87" t="s">
        <v>722</v>
      </c>
      <c r="B52" s="87" t="s">
        <v>723</v>
      </c>
      <c r="C52" s="102">
        <v>0.15</v>
      </c>
    </row>
    <row r="53" spans="1:6" x14ac:dyDescent="0.25">
      <c r="A53" s="87" t="s">
        <v>724</v>
      </c>
      <c r="B53" s="87" t="s">
        <v>725</v>
      </c>
      <c r="C53" s="102">
        <v>0.25</v>
      </c>
    </row>
    <row r="54" spans="1:6" x14ac:dyDescent="0.25">
      <c r="A54" s="87" t="s">
        <v>726</v>
      </c>
      <c r="B54" s="87" t="s">
        <v>727</v>
      </c>
      <c r="C54" s="102">
        <v>0.1</v>
      </c>
    </row>
    <row r="55" spans="1:6" x14ac:dyDescent="0.25">
      <c r="A55" s="87" t="s">
        <v>728</v>
      </c>
      <c r="B55" s="87" t="s">
        <v>729</v>
      </c>
      <c r="C55" s="102">
        <v>0.2</v>
      </c>
    </row>
    <row r="56" spans="1:6" x14ac:dyDescent="0.25">
      <c r="A56" s="87" t="s">
        <v>730</v>
      </c>
      <c r="B56" s="87" t="s">
        <v>731</v>
      </c>
      <c r="C56" s="102">
        <v>0.1</v>
      </c>
    </row>
  </sheetData>
  <mergeCells count="1">
    <mergeCell ref="A13:B1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Z364"/>
  <sheetViews>
    <sheetView showGridLines="0" zoomScaleNormal="100" workbookViewId="0">
      <pane xSplit="3" ySplit="4" topLeftCell="D202" activePane="bottomRight" state="frozen"/>
      <selection pane="topRight" activeCell="D1" sqref="D1"/>
      <selection pane="bottomLeft" activeCell="A5" sqref="A5"/>
      <selection pane="bottomRight" activeCell="A217" sqref="A217"/>
    </sheetView>
  </sheetViews>
  <sheetFormatPr defaultColWidth="8.7109375" defaultRowHeight="15" x14ac:dyDescent="0.25"/>
  <cols>
    <col min="1" max="3" width="18" customWidth="1"/>
    <col min="4" max="20" width="11" customWidth="1"/>
    <col min="21" max="24" width="13" customWidth="1"/>
    <col min="25" max="25" width="60" customWidth="1"/>
    <col min="26" max="26" width="30" customWidth="1"/>
  </cols>
  <sheetData>
    <row r="1" spans="1:26" ht="25.5" customHeight="1" x14ac:dyDescent="0.3">
      <c r="A1" s="149" t="s">
        <v>38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51"/>
      <c r="T1" s="152"/>
      <c r="U1" s="149"/>
      <c r="V1" s="149"/>
      <c r="W1" s="149"/>
      <c r="X1" s="149"/>
      <c r="Y1" s="149"/>
      <c r="Z1" s="149"/>
    </row>
    <row r="2" spans="1:26" x14ac:dyDescent="0.25">
      <c r="A2" s="48" t="s">
        <v>39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1"/>
      <c r="T2" s="119"/>
      <c r="U2" s="49"/>
      <c r="V2" s="49"/>
      <c r="W2" s="49"/>
      <c r="X2" s="49"/>
      <c r="Y2" s="49"/>
      <c r="Z2" s="49"/>
    </row>
    <row r="3" spans="1:26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1"/>
      <c r="T3" s="119"/>
      <c r="U3" s="49"/>
      <c r="V3" s="49"/>
      <c r="W3" s="49"/>
      <c r="X3" s="49"/>
      <c r="Y3" s="49"/>
      <c r="Z3" s="49"/>
    </row>
    <row r="4" spans="1:26" ht="31.5" customHeight="1" x14ac:dyDescent="0.25">
      <c r="A4" s="62" t="s">
        <v>2</v>
      </c>
      <c r="B4" s="62" t="s">
        <v>40</v>
      </c>
      <c r="C4" s="62" t="s">
        <v>41</v>
      </c>
      <c r="D4" s="62" t="s">
        <v>42</v>
      </c>
      <c r="E4" s="62" t="s">
        <v>43</v>
      </c>
      <c r="F4" s="62" t="s">
        <v>44</v>
      </c>
      <c r="G4" s="62" t="s">
        <v>45</v>
      </c>
      <c r="H4" s="62" t="s">
        <v>46</v>
      </c>
      <c r="I4" s="62" t="s">
        <v>47</v>
      </c>
      <c r="J4" s="62" t="s">
        <v>48</v>
      </c>
      <c r="K4" s="62" t="s">
        <v>49</v>
      </c>
      <c r="L4" s="62" t="s">
        <v>50</v>
      </c>
      <c r="M4" s="62" t="s">
        <v>51</v>
      </c>
      <c r="N4" s="62" t="s">
        <v>52</v>
      </c>
      <c r="O4" s="62" t="s">
        <v>53</v>
      </c>
      <c r="P4" s="62" t="s">
        <v>54</v>
      </c>
      <c r="Q4" s="62" t="s">
        <v>55</v>
      </c>
      <c r="R4" s="62" t="s">
        <v>56</v>
      </c>
      <c r="S4" s="62" t="s">
        <v>600</v>
      </c>
      <c r="T4" s="62" t="s">
        <v>823</v>
      </c>
      <c r="U4" s="62" t="s">
        <v>57</v>
      </c>
      <c r="V4" s="62" t="s">
        <v>58</v>
      </c>
      <c r="W4" s="62" t="s">
        <v>32</v>
      </c>
      <c r="X4" s="62" t="s">
        <v>34</v>
      </c>
      <c r="Y4" s="62" t="s">
        <v>59</v>
      </c>
      <c r="Z4" s="62" t="s">
        <v>60</v>
      </c>
    </row>
    <row r="5" spans="1:26" x14ac:dyDescent="0.25">
      <c r="A5" s="4" t="str">
        <f>IF(ข้อมูลสูตร!$A2="","",ข้อมูลสูตร!B2)</f>
        <v>Original</v>
      </c>
      <c r="B5" s="4" t="str">
        <f>IF(ข้อมูลสูตร!$A2="","",ข้อมูลสูตร!C2)</f>
        <v>16 oz</v>
      </c>
      <c r="C5" s="4" t="str">
        <f>IF(ข้อมูลสูตร!$A2="","",ข้อมูลสูตร!D2)</f>
        <v>0%</v>
      </c>
      <c r="D5" s="63">
        <f>IF(ข้อมูลสูตร!$A2="","",ข้อมูลสูตร!E2)</f>
        <v>130</v>
      </c>
      <c r="E5" s="63">
        <f>IF(ข้อมูลสูตร!$A2="","",ข้อมูลสูตร!F2)</f>
        <v>0</v>
      </c>
      <c r="F5" s="63">
        <f>IF(ข้อมูลสูตร!$A2="","",ข้อมูลสูตร!G2)</f>
        <v>0</v>
      </c>
      <c r="G5" s="63">
        <f>IF(ข้อมูลสูตร!$A2="","",ข้อมูลสูตร!H2)</f>
        <v>58</v>
      </c>
      <c r="H5" s="63">
        <f>IF(ข้อมูลสูตร!$A2="","",ข้อมูลสูตร!I2)</f>
        <v>0</v>
      </c>
      <c r="I5" s="63">
        <f>IF(ข้อมูลสูตร!$A2="","",ข้อมูลสูตร!J2)</f>
        <v>0</v>
      </c>
      <c r="J5" s="63">
        <f>IF(ข้อมูลสูตร!$A2="","",ข้อมูลสูตร!K2)</f>
        <v>0</v>
      </c>
      <c r="K5" s="63">
        <f>IF(ข้อมูลสูตร!$A2="","",ข้อมูลสูตร!L2)</f>
        <v>0</v>
      </c>
      <c r="L5" s="63">
        <f>IF(ข้อมูลสูตร!$A2="","",ข้อมูลสูตร!M2)</f>
        <v>0</v>
      </c>
      <c r="M5" s="63">
        <f>IF(ข้อมูลสูตร!$A2="","",ข้อมูลสูตร!N2)</f>
        <v>0</v>
      </c>
      <c r="N5" s="63">
        <f>IF(ข้อมูลสูตร!$A2="","",ข้อมูลสูตร!O2)</f>
        <v>0</v>
      </c>
      <c r="O5" s="63">
        <f>IF(ข้อมูลสูตร!$A2="","",ข้อมูลสูตร!P2)</f>
        <v>0</v>
      </c>
      <c r="P5" s="63">
        <f>IF(ข้อมูลสูตร!$A2="","",ข้อมูลสูตร!Q2)</f>
        <v>0</v>
      </c>
      <c r="Q5" s="63">
        <f>IF(ข้อมูลสูตร!$A2="","",ข้อมูลสูตร!R2)</f>
        <v>0</v>
      </c>
      <c r="R5" s="63">
        <f>IF(ข้อมูลสูตร!$A2="","",ข้อมูลสูตร!S2)</f>
        <v>240</v>
      </c>
      <c r="S5" s="63">
        <f>IF(ข้อมูลสูตร!$A2="","",ข้อมูลสูตร!T2)</f>
        <v>0</v>
      </c>
      <c r="T5" s="63">
        <f>IF(ข้อมูลสูตร!$A2="","",ข้อมูลสูตร!U2)</f>
        <v>0</v>
      </c>
      <c r="U5" s="64">
        <f>IF(ข้อมูลสูตร!$A2="","",ข้อมูลสูตร!V2)</f>
        <v>188</v>
      </c>
      <c r="V5" s="8">
        <f>IF(ข้อมูลสูตร!$A2="","",ข้อมูลสูตร!W2)</f>
        <v>14.26</v>
      </c>
      <c r="W5" s="64">
        <f>IF(ข้อมูลสูตร!$A2="","",ข้อมูลสูตร!X2)</f>
        <v>45</v>
      </c>
      <c r="X5" s="23">
        <f>IF(ข้อมูลสูตร!$A2="","",ข้อมูลสูตร!Y2)</f>
        <v>0.68311111111111111</v>
      </c>
      <c r="Y5" s="48" t="str">
        <f>IF(ข้อมูลสูตร!$A2="","",ข้อมูลสูตร!Z2)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5" s="48" t="str">
        <f>ข้อมูลสูตร!$A2</f>
        <v>Original|16 oz|0%</v>
      </c>
    </row>
    <row r="6" spans="1:26" x14ac:dyDescent="0.25">
      <c r="A6" s="4" t="str">
        <f>IF(ข้อมูลสูตร!$A3="","",ข้อมูลสูตร!B3)</f>
        <v>Original</v>
      </c>
      <c r="B6" s="4" t="str">
        <f>IF(ข้อมูลสูตร!$A3="","",ข้อมูลสูตร!C3)</f>
        <v>16 oz</v>
      </c>
      <c r="C6" s="4" t="str">
        <f>IF(ข้อมูลสูตร!$A3="","",ข้อมูลสูตร!D3)</f>
        <v>25%</v>
      </c>
      <c r="D6" s="63">
        <f>IF(ข้อมูลสูตร!$A3="","",ข้อมูลสูตร!E3)</f>
        <v>130</v>
      </c>
      <c r="E6" s="63">
        <f>IF(ข้อมูลสูตร!$A3="","",ข้อมูลสูตร!F3)</f>
        <v>0</v>
      </c>
      <c r="F6" s="63">
        <f>IF(ข้อมูลสูตร!$A3="","",ข้อมูลสูตร!G3)</f>
        <v>0</v>
      </c>
      <c r="G6" s="63">
        <f>IF(ข้อมูลสูตร!$A3="","",ข้อมูลสูตร!H3)</f>
        <v>52</v>
      </c>
      <c r="H6" s="63">
        <f>IF(ข้อมูลสูตร!$A3="","",ข้อมูลสูตร!I3)</f>
        <v>8</v>
      </c>
      <c r="I6" s="63">
        <f>IF(ข้อมูลสูตร!$A3="","",ข้อมูลสูตร!J3)</f>
        <v>16.600000000000001</v>
      </c>
      <c r="J6" s="63">
        <f>IF(ข้อมูลสูตร!$A3="","",ข้อมูลสูตร!K3)</f>
        <v>0</v>
      </c>
      <c r="K6" s="63">
        <f>IF(ข้อมูลสูตร!$A3="","",ข้อมูลสูตร!L3)</f>
        <v>0</v>
      </c>
      <c r="L6" s="63">
        <f>IF(ข้อมูลสูตร!$A3="","",ข้อมูลสูตร!M3)</f>
        <v>0</v>
      </c>
      <c r="M6" s="63">
        <f>IF(ข้อมูลสูตร!$A3="","",ข้อมูลสูตร!N3)</f>
        <v>0</v>
      </c>
      <c r="N6" s="63">
        <f>IF(ข้อมูลสูตร!$A3="","",ข้อมูลสูตร!O3)</f>
        <v>0</v>
      </c>
      <c r="O6" s="63">
        <f>IF(ข้อมูลสูตร!$A3="","",ข้อมูลสูตร!P3)</f>
        <v>0</v>
      </c>
      <c r="P6" s="63">
        <f>IF(ข้อมูลสูตร!$A3="","",ข้อมูลสูตร!Q3)</f>
        <v>0</v>
      </c>
      <c r="Q6" s="63">
        <f>IF(ข้อมูลสูตร!$A3="","",ข้อมูลสูตร!R3)</f>
        <v>0</v>
      </c>
      <c r="R6" s="63">
        <f>IF(ข้อมูลสูตร!$A3="","",ข้อมูลสูตร!S3)</f>
        <v>240</v>
      </c>
      <c r="S6" s="63">
        <f>IF(ข้อมูลสูตร!$A3="","",ข้อมูลสูตร!T3)</f>
        <v>0</v>
      </c>
      <c r="T6" s="63">
        <f>IF(ข้อมูลสูตร!$A3="","",ข้อมูลสูตร!U3)</f>
        <v>0</v>
      </c>
      <c r="U6" s="64">
        <f>IF(ข้อมูลสูตร!$A3="","",ข้อมูลสูตร!V3)</f>
        <v>206.6</v>
      </c>
      <c r="V6" s="8">
        <f>IF(ข้อมูลสูตร!$A3="","",ข้อมูลสูตร!W3)</f>
        <v>14.64</v>
      </c>
      <c r="W6" s="64">
        <f>IF(ข้อมูลสูตร!$A3="","",ข้อมูลสูตร!X3)</f>
        <v>45</v>
      </c>
      <c r="X6" s="23">
        <f>IF(ข้อมูลสูตร!$A3="","",ข้อมูลสูตร!Y3)</f>
        <v>0.67466666666666664</v>
      </c>
      <c r="Y6" s="48" t="str">
        <f>IF(ข้อมูลสูตร!$A3="","",ข้อมูลสูตร!Z3)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" s="48" t="str">
        <f>ข้อมูลสูตร!$A3</f>
        <v>Original|16 oz|25%</v>
      </c>
    </row>
    <row r="7" spans="1:26" x14ac:dyDescent="0.25">
      <c r="A7" s="4" t="str">
        <f>IF(ข้อมูลสูตร!$A4="","",ข้อมูลสูตร!B4)</f>
        <v>Original</v>
      </c>
      <c r="B7" s="4" t="str">
        <f>IF(ข้อมูลสูตร!$A4="","",ข้อมูลสูตร!C4)</f>
        <v>16 oz</v>
      </c>
      <c r="C7" s="4" t="str">
        <f>IF(ข้อมูลสูตร!$A4="","",ข้อมูลสูตร!D4)</f>
        <v>50%</v>
      </c>
      <c r="D7" s="63">
        <f>IF(ข้อมูลสูตร!$A4="","",ข้อมูลสูตร!E4)</f>
        <v>130</v>
      </c>
      <c r="E7" s="63">
        <f>IF(ข้อมูลสูตร!$A4="","",ข้อมูลสูตร!F4)</f>
        <v>0</v>
      </c>
      <c r="F7" s="63">
        <f>IF(ข้อมูลสูตร!$A4="","",ข้อมูลสูตร!G4)</f>
        <v>0</v>
      </c>
      <c r="G7" s="63">
        <f>IF(ข้อมูลสูตร!$A4="","",ข้อมูลสูตร!H4)</f>
        <v>46</v>
      </c>
      <c r="H7" s="63">
        <f>IF(ข้อมูลสูตร!$A4="","",ข้อมูลสูตร!I4)</f>
        <v>16</v>
      </c>
      <c r="I7" s="63">
        <f>IF(ข้อมูลสูตร!$A4="","",ข้อมูลสูตร!J4)</f>
        <v>16.600000000000001</v>
      </c>
      <c r="J7" s="63">
        <f>IF(ข้อมูลสูตร!$A4="","",ข้อมูลสูตร!K4)</f>
        <v>0</v>
      </c>
      <c r="K7" s="63">
        <f>IF(ข้อมูลสูตร!$A4="","",ข้อมูลสูตร!L4)</f>
        <v>0</v>
      </c>
      <c r="L7" s="63">
        <f>IF(ข้อมูลสูตร!$A4="","",ข้อมูลสูตร!M4)</f>
        <v>0</v>
      </c>
      <c r="M7" s="63">
        <f>IF(ข้อมูลสูตร!$A4="","",ข้อมูลสูตร!N4)</f>
        <v>0</v>
      </c>
      <c r="N7" s="63">
        <f>IF(ข้อมูลสูตร!$A4="","",ข้อมูลสูตร!O4)</f>
        <v>0</v>
      </c>
      <c r="O7" s="63">
        <f>IF(ข้อมูลสูตร!$A4="","",ข้อมูลสูตร!P4)</f>
        <v>0</v>
      </c>
      <c r="P7" s="63">
        <f>IF(ข้อมูลสูตร!$A4="","",ข้อมูลสูตร!Q4)</f>
        <v>0</v>
      </c>
      <c r="Q7" s="63">
        <f>IF(ข้อมูลสูตร!$A4="","",ข้อมูลสูตร!R4)</f>
        <v>0</v>
      </c>
      <c r="R7" s="63">
        <f>IF(ข้อมูลสูตร!$A4="","",ข้อมูลสูตร!S4)</f>
        <v>240</v>
      </c>
      <c r="S7" s="63">
        <f>IF(ข้อมูลสูตร!$A4="","",ข้อมูลสูตร!T4)</f>
        <v>0</v>
      </c>
      <c r="T7" s="63">
        <f>IF(ข้อมูลสูตร!$A4="","",ข้อมูลสูตร!U4)</f>
        <v>0</v>
      </c>
      <c r="U7" s="64">
        <f>IF(ข้อมูลสูตร!$A4="","",ข้อมูลสูตร!V4)</f>
        <v>208.6</v>
      </c>
      <c r="V7" s="8">
        <f>IF(ข้อมูลสูตร!$A4="","",ข้อมูลสูตร!W4)</f>
        <v>14.75</v>
      </c>
      <c r="W7" s="64">
        <f>IF(ข้อมูลสูตร!$A4="","",ข้อมูลสูตร!X4)</f>
        <v>45</v>
      </c>
      <c r="X7" s="23">
        <f>IF(ข้อมูลสูตร!$A4="","",ข้อมูลสูตร!Y4)</f>
        <v>0.67222222222222228</v>
      </c>
      <c r="Y7" s="48" t="str">
        <f>IF(ข้อมูลสูตร!$A4="","",ข้อมูลสูตร!Z4)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" s="48" t="str">
        <f>ข้อมูลสูตร!$A4</f>
        <v>Original|16 oz|50%</v>
      </c>
    </row>
    <row r="8" spans="1:26" x14ac:dyDescent="0.25">
      <c r="A8" s="4" t="str">
        <f>IF(ข้อมูลสูตร!$A5="","",ข้อมูลสูตร!B5)</f>
        <v>Original</v>
      </c>
      <c r="B8" s="4" t="str">
        <f>IF(ข้อมูลสูตร!$A5="","",ข้อมูลสูตร!C5)</f>
        <v>16 oz</v>
      </c>
      <c r="C8" s="4" t="str">
        <f>IF(ข้อมูลสูตร!$A5="","",ข้อมูลสูตร!D5)</f>
        <v>75%</v>
      </c>
      <c r="D8" s="63">
        <f>IF(ข้อมูลสูตร!$A5="","",ข้อมูลสูตร!E5)</f>
        <v>130</v>
      </c>
      <c r="E8" s="63">
        <f>IF(ข้อมูลสูตร!$A5="","",ข้อมูลสูตร!F5)</f>
        <v>0</v>
      </c>
      <c r="F8" s="63">
        <f>IF(ข้อมูลสูตร!$A5="","",ข้อมูลสูตร!G5)</f>
        <v>0</v>
      </c>
      <c r="G8" s="63">
        <f>IF(ข้อมูลสูตร!$A5="","",ข้อมูลสูตร!H5)</f>
        <v>40</v>
      </c>
      <c r="H8" s="63">
        <f>IF(ข้อมูลสูตร!$A5="","",ข้อมูลสูตร!I5)</f>
        <v>24</v>
      </c>
      <c r="I8" s="63">
        <f>IF(ข้อมูลสูตร!$A5="","",ข้อมูลสูตร!J5)</f>
        <v>16.600000000000001</v>
      </c>
      <c r="J8" s="63">
        <f>IF(ข้อมูลสูตร!$A5="","",ข้อมูลสูตร!K5)</f>
        <v>0</v>
      </c>
      <c r="K8" s="63">
        <f>IF(ข้อมูลสูตร!$A5="","",ข้อมูลสูตร!L5)</f>
        <v>0</v>
      </c>
      <c r="L8" s="63">
        <f>IF(ข้อมูลสูตร!$A5="","",ข้อมูลสูตร!M5)</f>
        <v>0</v>
      </c>
      <c r="M8" s="63">
        <f>IF(ข้อมูลสูตร!$A5="","",ข้อมูลสูตร!N5)</f>
        <v>0</v>
      </c>
      <c r="N8" s="63">
        <f>IF(ข้อมูลสูตร!$A5="","",ข้อมูลสูตร!O5)</f>
        <v>0</v>
      </c>
      <c r="O8" s="63">
        <f>IF(ข้อมูลสูตร!$A5="","",ข้อมูลสูตร!P5)</f>
        <v>0</v>
      </c>
      <c r="P8" s="63">
        <f>IF(ข้อมูลสูตร!$A5="","",ข้อมูลสูตร!Q5)</f>
        <v>0</v>
      </c>
      <c r="Q8" s="63">
        <f>IF(ข้อมูลสูตร!$A5="","",ข้อมูลสูตร!R5)</f>
        <v>0</v>
      </c>
      <c r="R8" s="63">
        <f>IF(ข้อมูลสูตร!$A5="","",ข้อมูลสูตร!S5)</f>
        <v>240</v>
      </c>
      <c r="S8" s="63">
        <f>IF(ข้อมูลสูตร!$A5="","",ข้อมูลสูตร!T5)</f>
        <v>0</v>
      </c>
      <c r="T8" s="63">
        <f>IF(ข้อมูลสูตร!$A5="","",ข้อมูลสูตร!U5)</f>
        <v>0</v>
      </c>
      <c r="U8" s="64">
        <f>IF(ข้อมูลสูตร!$A5="","",ข้อมูลสูตร!V5)</f>
        <v>210.6</v>
      </c>
      <c r="V8" s="8">
        <f>IF(ข้อมูลสูตร!$A5="","",ข้อมูลสูตร!W5)</f>
        <v>14.86</v>
      </c>
      <c r="W8" s="64">
        <f>IF(ข้อมูลสูตร!$A5="","",ข้อมูลสูตร!X5)</f>
        <v>45</v>
      </c>
      <c r="X8" s="23">
        <f>IF(ข้อมูลสูตร!$A5="","",ข้อมูลสูตร!Y5)</f>
        <v>0.66977777777777781</v>
      </c>
      <c r="Y8" s="48" t="str">
        <f>IF(ข้อมูลสูตร!$A5="","",ข้อมูลสูตร!Z5)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8" s="48" t="str">
        <f>ข้อมูลสูตร!$A5</f>
        <v>Original|16 oz|75%</v>
      </c>
    </row>
    <row r="9" spans="1:26" x14ac:dyDescent="0.25">
      <c r="A9" s="4" t="str">
        <f>IF(ข้อมูลสูตร!$A6="","",ข้อมูลสูตร!B6)</f>
        <v>Original</v>
      </c>
      <c r="B9" s="4" t="str">
        <f>IF(ข้อมูลสูตร!$A6="","",ข้อมูลสูตร!C6)</f>
        <v>16 oz</v>
      </c>
      <c r="C9" s="4" t="str">
        <f>IF(ข้อมูลสูตร!$A6="","",ข้อมูลสูตร!D6)</f>
        <v>100%</v>
      </c>
      <c r="D9" s="63">
        <f>IF(ข้อมูลสูตร!$A6="","",ข้อมูลสูตร!E6)</f>
        <v>130</v>
      </c>
      <c r="E9" s="63">
        <f>IF(ข้อมูลสูตร!$A6="","",ข้อมูลสูตร!F6)</f>
        <v>0</v>
      </c>
      <c r="F9" s="63">
        <f>IF(ข้อมูลสูตร!$A6="","",ข้อมูลสูตร!G6)</f>
        <v>0</v>
      </c>
      <c r="G9" s="63">
        <f>IF(ข้อมูลสูตร!$A6="","",ข้อมูลสูตร!H6)</f>
        <v>34</v>
      </c>
      <c r="H9" s="63">
        <f>IF(ข้อมูลสูตร!$A6="","",ข้อมูลสูตร!I6)</f>
        <v>32</v>
      </c>
      <c r="I9" s="63">
        <f>IF(ข้อมูลสูตร!$A6="","",ข้อมูลสูตร!J6)</f>
        <v>16.600000000000001</v>
      </c>
      <c r="J9" s="63">
        <f>IF(ข้อมูลสูตร!$A6="","",ข้อมูลสูตร!K6)</f>
        <v>0</v>
      </c>
      <c r="K9" s="63">
        <f>IF(ข้อมูลสูตร!$A6="","",ข้อมูลสูตร!L6)</f>
        <v>0</v>
      </c>
      <c r="L9" s="63">
        <f>IF(ข้อมูลสูตร!$A6="","",ข้อมูลสูตร!M6)</f>
        <v>0</v>
      </c>
      <c r="M9" s="63">
        <f>IF(ข้อมูลสูตร!$A6="","",ข้อมูลสูตร!N6)</f>
        <v>0</v>
      </c>
      <c r="N9" s="63">
        <f>IF(ข้อมูลสูตร!$A6="","",ข้อมูลสูตร!O6)</f>
        <v>0</v>
      </c>
      <c r="O9" s="63">
        <f>IF(ข้อมูลสูตร!$A6="","",ข้อมูลสูตร!P6)</f>
        <v>0</v>
      </c>
      <c r="P9" s="63">
        <f>IF(ข้อมูลสูตร!$A6="","",ข้อมูลสูตร!Q6)</f>
        <v>0</v>
      </c>
      <c r="Q9" s="63">
        <f>IF(ข้อมูลสูตร!$A6="","",ข้อมูลสูตร!R6)</f>
        <v>0</v>
      </c>
      <c r="R9" s="63">
        <f>IF(ข้อมูลสูตร!$A6="","",ข้อมูลสูตร!S6)</f>
        <v>240</v>
      </c>
      <c r="S9" s="63">
        <f>IF(ข้อมูลสูตร!$A6="","",ข้อมูลสูตร!T6)</f>
        <v>0</v>
      </c>
      <c r="T9" s="63">
        <f>IF(ข้อมูลสูตร!$A6="","",ข้อมูลสูตร!U6)</f>
        <v>0</v>
      </c>
      <c r="U9" s="64">
        <f>IF(ข้อมูลสูตร!$A6="","",ข้อมูลสูตร!V6)</f>
        <v>212.6</v>
      </c>
      <c r="V9" s="8">
        <f>IF(ข้อมูลสูตร!$A6="","",ข้อมูลสูตร!W6)</f>
        <v>14.97</v>
      </c>
      <c r="W9" s="64">
        <f>IF(ข้อมูลสูตร!$A6="","",ข้อมูลสูตร!X6)</f>
        <v>45</v>
      </c>
      <c r="X9" s="23">
        <f>IF(ข้อมูลสูตร!$A6="","",ข้อมูลสูตร!Y6)</f>
        <v>0.66733333333333333</v>
      </c>
      <c r="Y9" s="48" t="str">
        <f>IF(ข้อมูลสูตร!$A6="","",ข้อมูลสูตร!Z6)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9" s="48" t="str">
        <f>ข้อมูลสูตร!$A6</f>
        <v>Original|16 oz|100%</v>
      </c>
    </row>
    <row r="10" spans="1:26" x14ac:dyDescent="0.25">
      <c r="A10" s="4" t="str">
        <f>IF(ข้อมูลสูตร!$A7="","",ข้อมูลสูตร!B7)</f>
        <v>Original</v>
      </c>
      <c r="B10" s="4" t="str">
        <f>IF(ข้อมูลสูตร!$A7="","",ข้อมูลสูตร!C7)</f>
        <v>22 oz</v>
      </c>
      <c r="C10" s="4" t="str">
        <f>IF(ข้อมูลสูตร!$A7="","",ข้อมูลสูตร!D7)</f>
        <v>0%</v>
      </c>
      <c r="D10" s="63">
        <f>IF(ข้อมูลสูตร!$A7="","",ข้อมูลสูตร!E7)</f>
        <v>179</v>
      </c>
      <c r="E10" s="63">
        <f>IF(ข้อมูลสูตร!$A7="","",ข้อมูลสูตร!F7)</f>
        <v>0</v>
      </c>
      <c r="F10" s="63">
        <f>IF(ข้อมูลสูตร!$A7="","",ข้อมูลสูตร!G7)</f>
        <v>0</v>
      </c>
      <c r="G10" s="63">
        <f>IF(ข้อมูลสูตร!$A7="","",ข้อมูลสูตร!H7)</f>
        <v>80</v>
      </c>
      <c r="H10" s="63">
        <f>IF(ข้อมูลสูตร!$A7="","",ข้อมูลสูตร!I7)</f>
        <v>0</v>
      </c>
      <c r="I10" s="63">
        <f>IF(ข้อมูลสูตร!$A7="","",ข้อมูลสูตร!J7)</f>
        <v>0</v>
      </c>
      <c r="J10" s="63">
        <f>IF(ข้อมูลสูตร!$A7="","",ข้อมูลสูตร!K7)</f>
        <v>0</v>
      </c>
      <c r="K10" s="63">
        <f>IF(ข้อมูลสูตร!$A7="","",ข้อมูลสูตร!L7)</f>
        <v>0</v>
      </c>
      <c r="L10" s="63">
        <f>IF(ข้อมูลสูตร!$A7="","",ข้อมูลสูตร!M7)</f>
        <v>0</v>
      </c>
      <c r="M10" s="63">
        <f>IF(ข้อมูลสูตร!$A7="","",ข้อมูลสูตร!N7)</f>
        <v>0</v>
      </c>
      <c r="N10" s="63">
        <f>IF(ข้อมูลสูตร!$A7="","",ข้อมูลสูตร!O7)</f>
        <v>0</v>
      </c>
      <c r="O10" s="63">
        <f>IF(ข้อมูลสูตร!$A7="","",ข้อมูลสูตร!P7)</f>
        <v>0</v>
      </c>
      <c r="P10" s="63">
        <f>IF(ข้อมูลสูตร!$A7="","",ข้อมูลสูตร!Q7)</f>
        <v>0</v>
      </c>
      <c r="Q10" s="63">
        <f>IF(ข้อมูลสูตร!$A7="","",ข้อมูลสูตร!R7)</f>
        <v>0</v>
      </c>
      <c r="R10" s="63">
        <f>IF(ข้อมูลสูตร!$A7="","",ข้อมูลสูตร!S7)</f>
        <v>330</v>
      </c>
      <c r="S10" s="63">
        <f>IF(ข้อมูลสูตร!$A7="","",ข้อมูลสูตร!T7)</f>
        <v>0</v>
      </c>
      <c r="T10" s="63">
        <f>IF(ข้อมูลสูตร!$A7="","",ข้อมูลสูตร!U7)</f>
        <v>0</v>
      </c>
      <c r="U10" s="64">
        <f>IF(ข้อมูลสูตร!$A7="","",ข้อมูลสูตร!V7)</f>
        <v>259</v>
      </c>
      <c r="V10" s="8">
        <f>IF(ข้อมูลสูตร!$A7="","",ข้อมูลสูตร!W7)</f>
        <v>18.93</v>
      </c>
      <c r="W10" s="64">
        <f>IF(ข้อมูลสูตร!$A7="","",ข้อมูลสูตร!X7)</f>
        <v>55</v>
      </c>
      <c r="X10" s="23">
        <f>IF(ข้อมูลสูตร!$A7="","",ข้อมูลสูตร!Y7)</f>
        <v>0.65581818181818186</v>
      </c>
      <c r="Y10" s="48" t="str">
        <f>IF(ข้อมูลสูตร!$A7="","",ข้อมูลสูตร!Z7)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10" s="48" t="str">
        <f>ข้อมูลสูตร!$A7</f>
        <v>Original|22 oz|0%</v>
      </c>
    </row>
    <row r="11" spans="1:26" x14ac:dyDescent="0.25">
      <c r="A11" s="4" t="str">
        <f>IF(ข้อมูลสูตร!$A8="","",ข้อมูลสูตร!B8)</f>
        <v>Original</v>
      </c>
      <c r="B11" s="4" t="str">
        <f>IF(ข้อมูลสูตร!$A8="","",ข้อมูลสูตร!C8)</f>
        <v>22 oz</v>
      </c>
      <c r="C11" s="4" t="str">
        <f>IF(ข้อมูลสูตร!$A8="","",ข้อมูลสูตร!D8)</f>
        <v>25%</v>
      </c>
      <c r="D11" s="63">
        <f>IF(ข้อมูลสูตร!$A8="","",ข้อมูลสูตร!E8)</f>
        <v>179</v>
      </c>
      <c r="E11" s="63">
        <f>IF(ข้อมูลสูตร!$A8="","",ข้อมูลสูตร!F8)</f>
        <v>0</v>
      </c>
      <c r="F11" s="63">
        <f>IF(ข้อมูลสูตร!$A8="","",ข้อมูลสูตร!G8)</f>
        <v>0</v>
      </c>
      <c r="G11" s="63">
        <f>IF(ข้อมูลสูตร!$A8="","",ข้อมูลสูตร!H8)</f>
        <v>71.5</v>
      </c>
      <c r="H11" s="63">
        <f>IF(ข้อมูลสูตร!$A8="","",ข้อมูลสูตร!I8)</f>
        <v>11</v>
      </c>
      <c r="I11" s="63">
        <f>IF(ข้อมูลสูตร!$A8="","",ข้อมูลสูตร!J8)</f>
        <v>22.9</v>
      </c>
      <c r="J11" s="63">
        <f>IF(ข้อมูลสูตร!$A8="","",ข้อมูลสูตร!K8)</f>
        <v>0</v>
      </c>
      <c r="K11" s="63">
        <f>IF(ข้อมูลสูตร!$A8="","",ข้อมูลสูตร!L8)</f>
        <v>0</v>
      </c>
      <c r="L11" s="63">
        <f>IF(ข้อมูลสูตร!$A8="","",ข้อมูลสูตร!M8)</f>
        <v>0</v>
      </c>
      <c r="M11" s="63">
        <f>IF(ข้อมูลสูตร!$A8="","",ข้อมูลสูตร!N8)</f>
        <v>0</v>
      </c>
      <c r="N11" s="63">
        <f>IF(ข้อมูลสูตร!$A8="","",ข้อมูลสูตร!O8)</f>
        <v>0</v>
      </c>
      <c r="O11" s="63">
        <f>IF(ข้อมูลสูตร!$A8="","",ข้อมูลสูตร!P8)</f>
        <v>0</v>
      </c>
      <c r="P11" s="63">
        <f>IF(ข้อมูลสูตร!$A8="","",ข้อมูลสูตร!Q8)</f>
        <v>0</v>
      </c>
      <c r="Q11" s="63">
        <f>IF(ข้อมูลสูตร!$A8="","",ข้อมูลสูตร!R8)</f>
        <v>0</v>
      </c>
      <c r="R11" s="63">
        <f>IF(ข้อมูลสูตร!$A8="","",ข้อมูลสูตร!S8)</f>
        <v>330</v>
      </c>
      <c r="S11" s="63">
        <f>IF(ข้อมูลสูตร!$A8="","",ข้อมูลสูตร!T8)</f>
        <v>0</v>
      </c>
      <c r="T11" s="63">
        <f>IF(ข้อมูลสูตร!$A8="","",ข้อมูลสูตร!U8)</f>
        <v>0</v>
      </c>
      <c r="U11" s="64">
        <f>IF(ข้อมูลสูตร!$A8="","",ข้อมูลสูตร!V8)</f>
        <v>284.39999999999998</v>
      </c>
      <c r="V11" s="8">
        <f>IF(ข้อมูลสูตร!$A8="","",ข้อมูลสูตร!W8)</f>
        <v>19.440000000000001</v>
      </c>
      <c r="W11" s="64">
        <f>IF(ข้อมูลสูตร!$A8="","",ข้อมูลสูตร!X8)</f>
        <v>55</v>
      </c>
      <c r="X11" s="23">
        <f>IF(ข้อมูลสูตร!$A8="","",ข้อมูลสูตร!Y8)</f>
        <v>0.64654545454545453</v>
      </c>
      <c r="Y11" s="48" t="str">
        <f>IF(ข้อมูลสูตร!$A8="","",ข้อมูลสูตร!Z8)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11" s="48" t="str">
        <f>ข้อมูลสูตร!$A8</f>
        <v>Original|22 oz|25%</v>
      </c>
    </row>
    <row r="12" spans="1:26" x14ac:dyDescent="0.25">
      <c r="A12" s="4" t="str">
        <f>IF(ข้อมูลสูตร!$A9="","",ข้อมูลสูตร!B9)</f>
        <v>Original</v>
      </c>
      <c r="B12" s="4" t="str">
        <f>IF(ข้อมูลสูตร!$A9="","",ข้อมูลสูตร!C9)</f>
        <v>22 oz</v>
      </c>
      <c r="C12" s="4" t="str">
        <f>IF(ข้อมูลสูตร!$A9="","",ข้อมูลสูตร!D9)</f>
        <v>50%</v>
      </c>
      <c r="D12" s="63">
        <f>IF(ข้อมูลสูตร!$A9="","",ข้อมูลสูตร!E9)</f>
        <v>179</v>
      </c>
      <c r="E12" s="63">
        <f>IF(ข้อมูลสูตร!$A9="","",ข้อมูลสูตร!F9)</f>
        <v>0</v>
      </c>
      <c r="F12" s="63">
        <f>IF(ข้อมูลสูตร!$A9="","",ข้อมูลสูตร!G9)</f>
        <v>0</v>
      </c>
      <c r="G12" s="63">
        <f>IF(ข้อมูลสูตร!$A9="","",ข้อมูลสูตร!H9)</f>
        <v>63</v>
      </c>
      <c r="H12" s="63">
        <f>IF(ข้อมูลสูตร!$A9="","",ข้อมูลสูตร!I9)</f>
        <v>22</v>
      </c>
      <c r="I12" s="63">
        <f>IF(ข้อมูลสูตร!$A9="","",ข้อมูลสูตร!J9)</f>
        <v>22.9</v>
      </c>
      <c r="J12" s="63">
        <f>IF(ข้อมูลสูตร!$A9="","",ข้อมูลสูตร!K9)</f>
        <v>0</v>
      </c>
      <c r="K12" s="63">
        <f>IF(ข้อมูลสูตร!$A9="","",ข้อมูลสูตร!L9)</f>
        <v>0</v>
      </c>
      <c r="L12" s="63">
        <f>IF(ข้อมูลสูตร!$A9="","",ข้อมูลสูตร!M9)</f>
        <v>0</v>
      </c>
      <c r="M12" s="63">
        <f>IF(ข้อมูลสูตร!$A9="","",ข้อมูลสูตร!N9)</f>
        <v>0</v>
      </c>
      <c r="N12" s="63">
        <f>IF(ข้อมูลสูตร!$A9="","",ข้อมูลสูตร!O9)</f>
        <v>0</v>
      </c>
      <c r="O12" s="63">
        <f>IF(ข้อมูลสูตร!$A9="","",ข้อมูลสูตร!P9)</f>
        <v>0</v>
      </c>
      <c r="P12" s="63">
        <f>IF(ข้อมูลสูตร!$A9="","",ข้อมูลสูตร!Q9)</f>
        <v>0</v>
      </c>
      <c r="Q12" s="63">
        <f>IF(ข้อมูลสูตร!$A9="","",ข้อมูลสูตร!R9)</f>
        <v>0</v>
      </c>
      <c r="R12" s="63">
        <f>IF(ข้อมูลสูตร!$A9="","",ข้อมูลสูตร!S9)</f>
        <v>330</v>
      </c>
      <c r="S12" s="63">
        <f>IF(ข้อมูลสูตร!$A9="","",ข้อมูลสูตร!T9)</f>
        <v>0</v>
      </c>
      <c r="T12" s="63">
        <f>IF(ข้อมูลสูตร!$A9="","",ข้อมูลสูตร!U9)</f>
        <v>0</v>
      </c>
      <c r="U12" s="64">
        <f>IF(ข้อมูลสูตร!$A9="","",ข้อมูลสูตร!V9)</f>
        <v>286.89999999999998</v>
      </c>
      <c r="V12" s="8">
        <f>IF(ข้อมูลสูตร!$A9="","",ข้อมูลสูตร!W9)</f>
        <v>19.57</v>
      </c>
      <c r="W12" s="64">
        <f>IF(ข้อมูลสูตร!$A9="","",ข้อมูลสูตร!X9)</f>
        <v>55</v>
      </c>
      <c r="X12" s="23">
        <f>IF(ข้อมูลสูตร!$A9="","",ข้อมูลสูตร!Y9)</f>
        <v>0.64418181818181819</v>
      </c>
      <c r="Y12" s="48" t="str">
        <f>IF(ข้อมูลสูตร!$A9="","",ข้อมูลสูตร!Z9)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12" s="48" t="str">
        <f>ข้อมูลสูตร!$A9</f>
        <v>Original|22 oz|50%</v>
      </c>
    </row>
    <row r="13" spans="1:26" x14ac:dyDescent="0.25">
      <c r="A13" s="4" t="str">
        <f>IF(ข้อมูลสูตร!$A10="","",ข้อมูลสูตร!B10)</f>
        <v>Original</v>
      </c>
      <c r="B13" s="4" t="str">
        <f>IF(ข้อมูลสูตร!$A10="","",ข้อมูลสูตร!C10)</f>
        <v>22 oz</v>
      </c>
      <c r="C13" s="4" t="str">
        <f>IF(ข้อมูลสูตร!$A10="","",ข้อมูลสูตร!D10)</f>
        <v>75%</v>
      </c>
      <c r="D13" s="63">
        <f>IF(ข้อมูลสูตร!$A10="","",ข้อมูลสูตร!E10)</f>
        <v>179</v>
      </c>
      <c r="E13" s="63">
        <f>IF(ข้อมูลสูตร!$A10="","",ข้อมูลสูตร!F10)</f>
        <v>0</v>
      </c>
      <c r="F13" s="63">
        <f>IF(ข้อมูลสูตร!$A10="","",ข้อมูลสูตร!G10)</f>
        <v>0</v>
      </c>
      <c r="G13" s="63">
        <f>IF(ข้อมูลสูตร!$A10="","",ข้อมูลสูตร!H10)</f>
        <v>55</v>
      </c>
      <c r="H13" s="63">
        <f>IF(ข้อมูลสูตร!$A10="","",ข้อมูลสูตร!I10)</f>
        <v>33</v>
      </c>
      <c r="I13" s="63">
        <f>IF(ข้อมูลสูตร!$A10="","",ข้อมูลสูตร!J10)</f>
        <v>22.9</v>
      </c>
      <c r="J13" s="63">
        <f>IF(ข้อมูลสูตร!$A10="","",ข้อมูลสูตร!K10)</f>
        <v>0</v>
      </c>
      <c r="K13" s="63">
        <f>IF(ข้อมูลสูตร!$A10="","",ข้อมูลสูตร!L10)</f>
        <v>0</v>
      </c>
      <c r="L13" s="63">
        <f>IF(ข้อมูลสูตร!$A10="","",ข้อมูลสูตร!M10)</f>
        <v>0</v>
      </c>
      <c r="M13" s="63">
        <f>IF(ข้อมูลสูตร!$A10="","",ข้อมูลสูตร!N10)</f>
        <v>0</v>
      </c>
      <c r="N13" s="63">
        <f>IF(ข้อมูลสูตร!$A10="","",ข้อมูลสูตร!O10)</f>
        <v>0</v>
      </c>
      <c r="O13" s="63">
        <f>IF(ข้อมูลสูตร!$A10="","",ข้อมูลสูตร!P10)</f>
        <v>0</v>
      </c>
      <c r="P13" s="63">
        <f>IF(ข้อมูลสูตร!$A10="","",ข้อมูลสูตร!Q10)</f>
        <v>0</v>
      </c>
      <c r="Q13" s="63">
        <f>IF(ข้อมูลสูตร!$A10="","",ข้อมูลสูตร!R10)</f>
        <v>0</v>
      </c>
      <c r="R13" s="63">
        <f>IF(ข้อมูลสูตร!$A10="","",ข้อมูลสูตร!S10)</f>
        <v>330</v>
      </c>
      <c r="S13" s="63">
        <f>IF(ข้อมูลสูตร!$A10="","",ข้อมูลสูตร!T10)</f>
        <v>0</v>
      </c>
      <c r="T13" s="63">
        <f>IF(ข้อมูลสูตร!$A10="","",ข้อมูลสูตร!U10)</f>
        <v>0</v>
      </c>
      <c r="U13" s="64">
        <f>IF(ข้อมูลสูตร!$A10="","",ข้อมูลสูตร!V10)</f>
        <v>289.89999999999998</v>
      </c>
      <c r="V13" s="8">
        <f>IF(ข้อมูลสูตร!$A10="","",ข้อมูลสูตร!W10)</f>
        <v>19.739999999999998</v>
      </c>
      <c r="W13" s="64">
        <f>IF(ข้อมูลสูตร!$A10="","",ข้อมูลสูตร!X10)</f>
        <v>55</v>
      </c>
      <c r="X13" s="23">
        <f>IF(ข้อมูลสูตร!$A10="","",ข้อมูลสูตร!Y10)</f>
        <v>0.64109090909090916</v>
      </c>
      <c r="Y13" s="48" t="str">
        <f>IF(ข้อมูลสูตร!$A10="","",ข้อมูลสูตร!Z10)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13" s="48" t="str">
        <f>ข้อมูลสูตร!$A10</f>
        <v>Original|22 oz|75%</v>
      </c>
    </row>
    <row r="14" spans="1:26" x14ac:dyDescent="0.25">
      <c r="A14" s="4" t="str">
        <f>IF(ข้อมูลสูตร!$A11="","",ข้อมูลสูตร!B11)</f>
        <v>Original</v>
      </c>
      <c r="B14" s="4" t="str">
        <f>IF(ข้อมูลสูตร!$A11="","",ข้อมูลสูตร!C11)</f>
        <v>22 oz</v>
      </c>
      <c r="C14" s="4" t="str">
        <f>IF(ข้อมูลสูตร!$A11="","",ข้อมูลสูตร!D11)</f>
        <v>100%</v>
      </c>
      <c r="D14" s="63">
        <f>IF(ข้อมูลสูตร!$A11="","",ข้อมูลสูตร!E11)</f>
        <v>179</v>
      </c>
      <c r="E14" s="63">
        <f>IF(ข้อมูลสูตร!$A11="","",ข้อมูลสูตร!F11)</f>
        <v>0</v>
      </c>
      <c r="F14" s="63">
        <f>IF(ข้อมูลสูตร!$A11="","",ข้อมูลสูตร!G11)</f>
        <v>0</v>
      </c>
      <c r="G14" s="63">
        <f>IF(ข้อมูลสูตร!$A11="","",ข้อมูลสูตร!H11)</f>
        <v>47</v>
      </c>
      <c r="H14" s="63">
        <f>IF(ข้อมูลสูตร!$A11="","",ข้อมูลสูตร!I11)</f>
        <v>44</v>
      </c>
      <c r="I14" s="63">
        <f>IF(ข้อมูลสูตร!$A11="","",ข้อมูลสูตร!J11)</f>
        <v>22.9</v>
      </c>
      <c r="J14" s="63">
        <f>IF(ข้อมูลสูตร!$A11="","",ข้อมูลสูตร!K11)</f>
        <v>0</v>
      </c>
      <c r="K14" s="63">
        <f>IF(ข้อมูลสูตร!$A11="","",ข้อมูลสูตร!L11)</f>
        <v>0</v>
      </c>
      <c r="L14" s="63">
        <f>IF(ข้อมูลสูตร!$A11="","",ข้อมูลสูตร!M11)</f>
        <v>0</v>
      </c>
      <c r="M14" s="63">
        <f>IF(ข้อมูลสูตร!$A11="","",ข้อมูลสูตร!N11)</f>
        <v>0</v>
      </c>
      <c r="N14" s="63">
        <f>IF(ข้อมูลสูตร!$A11="","",ข้อมูลสูตร!O11)</f>
        <v>0</v>
      </c>
      <c r="O14" s="63">
        <f>IF(ข้อมูลสูตร!$A11="","",ข้อมูลสูตร!P11)</f>
        <v>0</v>
      </c>
      <c r="P14" s="63">
        <f>IF(ข้อมูลสูตร!$A11="","",ข้อมูลสูตร!Q11)</f>
        <v>0</v>
      </c>
      <c r="Q14" s="63">
        <f>IF(ข้อมูลสูตร!$A11="","",ข้อมูลสูตร!R11)</f>
        <v>0</v>
      </c>
      <c r="R14" s="63">
        <f>IF(ข้อมูลสูตร!$A11="","",ข้อมูลสูตร!S11)</f>
        <v>330</v>
      </c>
      <c r="S14" s="63">
        <f>IF(ข้อมูลสูตร!$A11="","",ข้อมูลสูตร!T11)</f>
        <v>0</v>
      </c>
      <c r="T14" s="63">
        <f>IF(ข้อมูลสูตร!$A11="","",ข้อมูลสูตร!U11)</f>
        <v>0</v>
      </c>
      <c r="U14" s="64">
        <f>IF(ข้อมูลสูตร!$A11="","",ข้อมูลสูตร!V11)</f>
        <v>292.89999999999998</v>
      </c>
      <c r="V14" s="8">
        <f>IF(ข้อมูลสูตร!$A11="","",ข้อมูลสูตร!W11)</f>
        <v>19.91</v>
      </c>
      <c r="W14" s="64">
        <f>IF(ข้อมูลสูตร!$A11="","",ข้อมูลสูตร!X11)</f>
        <v>55</v>
      </c>
      <c r="X14" s="23">
        <f>IF(ข้อมูลสูตร!$A11="","",ข้อมูลสูตร!Y11)</f>
        <v>0.63800000000000001</v>
      </c>
      <c r="Y14" s="48" t="str">
        <f>IF(ข้อมูลสูตร!$A11="","",ข้อมูลสูตร!Z11)</f>
        <v>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14" s="48" t="str">
        <f>ข้อมูลสูตร!$A11</f>
        <v>Original|22 oz|100%</v>
      </c>
    </row>
    <row r="15" spans="1:26" x14ac:dyDescent="0.25">
      <c r="A15" s="4" t="str">
        <f>IF(ข้อมูลสูตร!$A12="","",ข้อมูลสูตร!B12)</f>
        <v>Latte</v>
      </c>
      <c r="B15" s="4" t="str">
        <f>IF(ข้อมูลสูตร!$A12="","",ข้อมูลสูตร!C12)</f>
        <v>16 oz</v>
      </c>
      <c r="C15" s="4" t="str">
        <f>IF(ข้อมูลสูตร!$A12="","",ข้อมูลสูตร!D12)</f>
        <v>0%</v>
      </c>
      <c r="D15" s="63">
        <f>IF(ข้อมูลสูตร!$A12="","",ข้อมูลสูตร!E12)</f>
        <v>130</v>
      </c>
      <c r="E15" s="63">
        <f>IF(ข้อมูลสูตร!$A12="","",ข้อมูลสูตร!F12)</f>
        <v>0</v>
      </c>
      <c r="F15" s="63">
        <f>IF(ข้อมูลสูตร!$A12="","",ข้อมูลสูตร!G12)</f>
        <v>50</v>
      </c>
      <c r="G15" s="63">
        <f>IF(ข้อมูลสูตร!$A12="","",ข้อมูลสูตร!H12)</f>
        <v>20</v>
      </c>
      <c r="H15" s="63">
        <f>IF(ข้อมูลสูตร!$A12="","",ข้อมูลสูตร!I12)</f>
        <v>0</v>
      </c>
      <c r="I15" s="63">
        <f>IF(ข้อมูลสูตร!$A12="","",ข้อมูลสูตร!J12)</f>
        <v>0</v>
      </c>
      <c r="J15" s="63">
        <f>IF(ข้อมูลสูตร!$A12="","",ข้อมูลสูตร!K12)</f>
        <v>0</v>
      </c>
      <c r="K15" s="63">
        <f>IF(ข้อมูลสูตร!$A12="","",ข้อมูลสูตร!L12)</f>
        <v>0</v>
      </c>
      <c r="L15" s="63">
        <f>IF(ข้อมูลสูตร!$A12="","",ข้อมูลสูตร!M12)</f>
        <v>0</v>
      </c>
      <c r="M15" s="63">
        <f>IF(ข้อมูลสูตร!$A12="","",ข้อมูลสูตร!N12)</f>
        <v>0</v>
      </c>
      <c r="N15" s="63">
        <f>IF(ข้อมูลสูตร!$A12="","",ข้อมูลสูตร!O12)</f>
        <v>0</v>
      </c>
      <c r="O15" s="63">
        <f>IF(ข้อมูลสูตร!$A12="","",ข้อมูลสูตร!P12)</f>
        <v>0</v>
      </c>
      <c r="P15" s="63">
        <f>IF(ข้อมูลสูตร!$A12="","",ข้อมูลสูตร!Q12)</f>
        <v>0</v>
      </c>
      <c r="Q15" s="63">
        <f>IF(ข้อมูลสูตร!$A12="","",ข้อมูลสูตร!R12)</f>
        <v>0</v>
      </c>
      <c r="R15" s="63">
        <f>IF(ข้อมูลสูตร!$A12="","",ข้อมูลสูตร!S12)</f>
        <v>240</v>
      </c>
      <c r="S15" s="63">
        <f>IF(ข้อมูลสูตร!$A12="","",ข้อมูลสูตร!T12)</f>
        <v>0</v>
      </c>
      <c r="T15" s="63">
        <f>IF(ข้อมูลสูตร!$A12="","",ข้อมูลสูตร!U12)</f>
        <v>0</v>
      </c>
      <c r="U15" s="64">
        <f>IF(ข้อมูลสูตร!$A12="","",ข้อมูลสูตร!V12)</f>
        <v>200</v>
      </c>
      <c r="V15" s="8">
        <f>IF(ข้อมูลสูตร!$A12="","",ข้อมูลสูตร!W12)</f>
        <v>13.84</v>
      </c>
      <c r="W15" s="64">
        <f>IF(ข้อมูลสูตร!$A12="","",ข้อมูลสูตร!X12)</f>
        <v>50</v>
      </c>
      <c r="X15" s="23">
        <f>IF(ข้อมูลสูตร!$A12="","",ข้อมูลสูตร!Y12)</f>
        <v>0.72319999999999995</v>
      </c>
      <c r="Y15" s="48" t="str">
        <f>IF(ข้อมูลสูตร!$A12="","",ข้อมูลสูตร!Z12)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15" s="48" t="str">
        <f>ข้อมูลสูตร!$A12</f>
        <v>Latte|16 oz|0%</v>
      </c>
    </row>
    <row r="16" spans="1:26" x14ac:dyDescent="0.25">
      <c r="A16" s="4" t="str">
        <f>IF(ข้อมูลสูตร!$A13="","",ข้อมูลสูตร!B13)</f>
        <v>Latte</v>
      </c>
      <c r="B16" s="4" t="str">
        <f>IF(ข้อมูลสูตร!$A13="","",ข้อมูลสูตร!C13)</f>
        <v>16 oz</v>
      </c>
      <c r="C16" s="4" t="str">
        <f>IF(ข้อมูลสูตร!$A13="","",ข้อมูลสูตร!D13)</f>
        <v>25%</v>
      </c>
      <c r="D16" s="63">
        <f>IF(ข้อมูลสูตร!$A13="","",ข้อมูลสูตร!E13)</f>
        <v>130</v>
      </c>
      <c r="E16" s="63">
        <f>IF(ข้อมูลสูตร!$A13="","",ข้อมูลสูตร!F13)</f>
        <v>0</v>
      </c>
      <c r="F16" s="63">
        <f>IF(ข้อมูลสูตร!$A13="","",ข้อมูลสูตร!G13)</f>
        <v>30.4</v>
      </c>
      <c r="G16" s="63">
        <f>IF(ข้อมูลสูตร!$A13="","",ข้อมูลสูตร!H13)</f>
        <v>20</v>
      </c>
      <c r="H16" s="63">
        <f>IF(ข้อมูลสูตร!$A13="","",ข้อมูลสูตร!I13)</f>
        <v>0</v>
      </c>
      <c r="I16" s="63">
        <f>IF(ข้อมูลสูตร!$A13="","",ข้อมูลสูตร!J13)</f>
        <v>23.6</v>
      </c>
      <c r="J16" s="63">
        <f>IF(ข้อมูลสูตร!$A13="","",ข้อมูลสูตร!K13)</f>
        <v>0</v>
      </c>
      <c r="K16" s="63">
        <f>IF(ข้อมูลสูตร!$A13="","",ข้อมูลสูตร!L13)</f>
        <v>0</v>
      </c>
      <c r="L16" s="63">
        <f>IF(ข้อมูลสูตร!$A13="","",ข้อมูลสูตร!M13)</f>
        <v>0</v>
      </c>
      <c r="M16" s="63">
        <f>IF(ข้อมูลสูตร!$A13="","",ข้อมูลสูตร!N13)</f>
        <v>0</v>
      </c>
      <c r="N16" s="63">
        <f>IF(ข้อมูลสูตร!$A13="","",ข้อมูลสูตร!O13)</f>
        <v>0</v>
      </c>
      <c r="O16" s="63">
        <f>IF(ข้อมูลสูตร!$A13="","",ข้อมูลสูตร!P13)</f>
        <v>0</v>
      </c>
      <c r="P16" s="63">
        <f>IF(ข้อมูลสูตร!$A13="","",ข้อมูลสูตร!Q13)</f>
        <v>0</v>
      </c>
      <c r="Q16" s="63">
        <f>IF(ข้อมูลสูตร!$A13="","",ข้อมูลสูตร!R13)</f>
        <v>0</v>
      </c>
      <c r="R16" s="63">
        <f>IF(ข้อมูลสูตร!$A13="","",ข้อมูลสูตร!S13)</f>
        <v>240</v>
      </c>
      <c r="S16" s="63">
        <f>IF(ข้อมูลสูตร!$A13="","",ข้อมูลสูตร!T13)</f>
        <v>0</v>
      </c>
      <c r="T16" s="63">
        <f>IF(ข้อมูลสูตร!$A13="","",ข้อมูลสูตร!U13)</f>
        <v>0</v>
      </c>
      <c r="U16" s="64">
        <f>IF(ข้อมูลสูตร!$A13="","",ข้อมูลสูตร!V13)</f>
        <v>204</v>
      </c>
      <c r="V16" s="8">
        <f>IF(ข้อมูลสูตร!$A13="","",ข้อมูลสูตร!W13)</f>
        <v>13.3</v>
      </c>
      <c r="W16" s="64">
        <f>IF(ข้อมูลสูตร!$A13="","",ข้อมูลสูตร!X13)</f>
        <v>50</v>
      </c>
      <c r="X16" s="23">
        <f>IF(ข้อมูลสูตร!$A13="","",ข้อมูลสูตร!Y13)</f>
        <v>0.7340000000000001</v>
      </c>
      <c r="Y16" s="48" t="str">
        <f>IF(ข้อมูลสูตร!$A13="","",ข้อมูลสูตร!Z13)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16" s="48" t="str">
        <f>ข้อมูลสูตร!$A13</f>
        <v>Latte|16 oz|25%</v>
      </c>
    </row>
    <row r="17" spans="1:26" x14ac:dyDescent="0.25">
      <c r="A17" s="4" t="str">
        <f>IF(ข้อมูลสูตร!$A14="","",ข้อมูลสูตร!B14)</f>
        <v>Latte</v>
      </c>
      <c r="B17" s="4" t="str">
        <f>IF(ข้อมูลสูตร!$A14="","",ข้อมูลสูตร!C14)</f>
        <v>16 oz</v>
      </c>
      <c r="C17" s="4" t="str">
        <f>IF(ข้อมูลสูตร!$A14="","",ข้อมูลสูตร!D14)</f>
        <v>50%</v>
      </c>
      <c r="D17" s="63">
        <f>IF(ข้อมูลสูตร!$A14="","",ข้อมูลสูตร!E14)</f>
        <v>130</v>
      </c>
      <c r="E17" s="63">
        <f>IF(ข้อมูลสูตร!$A14="","",ข้อมูลสูตร!F14)</f>
        <v>0</v>
      </c>
      <c r="F17" s="63">
        <f>IF(ข้อมูลสูตร!$A14="","",ข้อมูลสูตร!G14)</f>
        <v>27.4</v>
      </c>
      <c r="G17" s="63">
        <f>IF(ข้อมูลสูตร!$A14="","",ข้อมูลสูตร!H14)</f>
        <v>20</v>
      </c>
      <c r="H17" s="63">
        <f>IF(ข้อมูลสูตร!$A14="","",ข้อมูลสูตร!I14)</f>
        <v>0</v>
      </c>
      <c r="I17" s="63">
        <f>IF(ข้อมูลสูตร!$A14="","",ข้อมูลสูตร!J14)</f>
        <v>30.6</v>
      </c>
      <c r="J17" s="63">
        <f>IF(ข้อมูลสูตร!$A14="","",ข้อมูลสูตร!K14)</f>
        <v>0</v>
      </c>
      <c r="K17" s="63">
        <f>IF(ข้อมูลสูตร!$A14="","",ข้อมูลสูตร!L14)</f>
        <v>0</v>
      </c>
      <c r="L17" s="63">
        <f>IF(ข้อมูลสูตร!$A14="","",ข้อมูลสูตร!M14)</f>
        <v>0</v>
      </c>
      <c r="M17" s="63">
        <f>IF(ข้อมูลสูตร!$A14="","",ข้อมูลสูตร!N14)</f>
        <v>0</v>
      </c>
      <c r="N17" s="63">
        <f>IF(ข้อมูลสูตร!$A14="","",ข้อมูลสูตร!O14)</f>
        <v>0</v>
      </c>
      <c r="O17" s="63">
        <f>IF(ข้อมูลสูตร!$A14="","",ข้อมูลสูตร!P14)</f>
        <v>0</v>
      </c>
      <c r="P17" s="63">
        <f>IF(ข้อมูลสูตร!$A14="","",ข้อมูลสูตร!Q14)</f>
        <v>0</v>
      </c>
      <c r="Q17" s="63">
        <f>IF(ข้อมูลสูตร!$A14="","",ข้อมูลสูตร!R14)</f>
        <v>0</v>
      </c>
      <c r="R17" s="63">
        <f>IF(ข้อมูลสูตร!$A14="","",ข้อมูลสูตร!S14)</f>
        <v>240</v>
      </c>
      <c r="S17" s="63">
        <f>IF(ข้อมูลสูตร!$A14="","",ข้อมูลสูตร!T14)</f>
        <v>0</v>
      </c>
      <c r="T17" s="63">
        <f>IF(ข้อมูลสูตร!$A14="","",ข้อมูลสูตร!U14)</f>
        <v>0</v>
      </c>
      <c r="U17" s="64">
        <f>IF(ข้อมูลสูตร!$A14="","",ข้อมูลสูตร!V14)</f>
        <v>208</v>
      </c>
      <c r="V17" s="8">
        <f>IF(ข้อมูลสูตร!$A14="","",ข้อมูลสูตร!W14)</f>
        <v>13.27</v>
      </c>
      <c r="W17" s="64">
        <f>IF(ข้อมูลสูตร!$A14="","",ข้อมูลสูตร!X14)</f>
        <v>50</v>
      </c>
      <c r="X17" s="23">
        <f>IF(ข้อมูลสูตร!$A14="","",ข้อมูลสูตร!Y14)</f>
        <v>0.73460000000000003</v>
      </c>
      <c r="Y17" s="48" t="str">
        <f>IF(ข้อมูลสูตร!$A14="","",ข้อมูลสูตร!Z14)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17" s="48" t="str">
        <f>ข้อมูลสูตร!$A14</f>
        <v>Latte|16 oz|50%</v>
      </c>
    </row>
    <row r="18" spans="1:26" x14ac:dyDescent="0.25">
      <c r="A18" s="4" t="str">
        <f>IF(ข้อมูลสูตร!$A15="","",ข้อมูลสูตร!B15)</f>
        <v>Latte</v>
      </c>
      <c r="B18" s="4" t="str">
        <f>IF(ข้อมูลสูตร!$A15="","",ข้อมูลสูตร!C15)</f>
        <v>16 oz</v>
      </c>
      <c r="C18" s="4" t="str">
        <f>IF(ข้อมูลสูตร!$A15="","",ข้อมูลสูตร!D15)</f>
        <v>75%</v>
      </c>
      <c r="D18" s="63">
        <f>IF(ข้อมูลสูตร!$A15="","",ข้อมูลสูตร!E15)</f>
        <v>130</v>
      </c>
      <c r="E18" s="63">
        <f>IF(ข้อมูลสูตร!$A15="","",ข้อมูลสูตร!F15)</f>
        <v>0</v>
      </c>
      <c r="F18" s="63">
        <f>IF(ข้อมูลสูตร!$A15="","",ข้อมูลสูตร!G15)</f>
        <v>24.4</v>
      </c>
      <c r="G18" s="63">
        <f>IF(ข้อมูลสูตร!$A15="","",ข้อมูลสูตร!H15)</f>
        <v>20</v>
      </c>
      <c r="H18" s="63">
        <f>IF(ข้อมูลสูตร!$A15="","",ข้อมูลสูตร!I15)</f>
        <v>0</v>
      </c>
      <c r="I18" s="63">
        <f>IF(ข้อมูลสูตร!$A15="","",ข้อมูลสูตร!J15)</f>
        <v>37.6</v>
      </c>
      <c r="J18" s="63">
        <f>IF(ข้อมูลสูตร!$A15="","",ข้อมูลสูตร!K15)</f>
        <v>0</v>
      </c>
      <c r="K18" s="63">
        <f>IF(ข้อมูลสูตร!$A15="","",ข้อมูลสูตร!L15)</f>
        <v>0</v>
      </c>
      <c r="L18" s="63">
        <f>IF(ข้อมูลสูตร!$A15="","",ข้อมูลสูตร!M15)</f>
        <v>0</v>
      </c>
      <c r="M18" s="63">
        <f>IF(ข้อมูลสูตร!$A15="","",ข้อมูลสูตร!N15)</f>
        <v>0</v>
      </c>
      <c r="N18" s="63">
        <f>IF(ข้อมูลสูตร!$A15="","",ข้อมูลสูตร!O15)</f>
        <v>0</v>
      </c>
      <c r="O18" s="63">
        <f>IF(ข้อมูลสูตร!$A15="","",ข้อมูลสูตร!P15)</f>
        <v>0</v>
      </c>
      <c r="P18" s="63">
        <f>IF(ข้อมูลสูตร!$A15="","",ข้อมูลสูตร!Q15)</f>
        <v>0</v>
      </c>
      <c r="Q18" s="63">
        <f>IF(ข้อมูลสูตร!$A15="","",ข้อมูลสูตร!R15)</f>
        <v>0</v>
      </c>
      <c r="R18" s="63">
        <f>IF(ข้อมูลสูตร!$A15="","",ข้อมูลสูตร!S15)</f>
        <v>240</v>
      </c>
      <c r="S18" s="63">
        <f>IF(ข้อมูลสูตร!$A15="","",ข้อมูลสูตร!T15)</f>
        <v>0</v>
      </c>
      <c r="T18" s="63">
        <f>IF(ข้อมูลสูตร!$A15="","",ข้อมูลสูตร!U15)</f>
        <v>0</v>
      </c>
      <c r="U18" s="64">
        <f>IF(ข้อมูลสูตร!$A15="","",ข้อมูลสูตร!V15)</f>
        <v>212</v>
      </c>
      <c r="V18" s="8">
        <f>IF(ข้อมูลสูตร!$A15="","",ข้อมูลสูตร!W15)</f>
        <v>13.24</v>
      </c>
      <c r="W18" s="64">
        <f>IF(ข้อมูลสูตร!$A15="","",ข้อมูลสูตร!X15)</f>
        <v>50</v>
      </c>
      <c r="X18" s="23">
        <f>IF(ข้อมูลสูตร!$A15="","",ข้อมูลสูตร!Y15)</f>
        <v>0.73519999999999996</v>
      </c>
      <c r="Y18" s="48" t="str">
        <f>IF(ข้อมูลสูตร!$A15="","",ข้อมูลสูตร!Z15)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18" s="48" t="str">
        <f>ข้อมูลสูตร!$A15</f>
        <v>Latte|16 oz|75%</v>
      </c>
    </row>
    <row r="19" spans="1:26" x14ac:dyDescent="0.25">
      <c r="A19" s="4" t="str">
        <f>IF(ข้อมูลสูตร!$A16="","",ข้อมูลสูตร!B16)</f>
        <v>Latte</v>
      </c>
      <c r="B19" s="4" t="str">
        <f>IF(ข้อมูลสูตร!$A16="","",ข้อมูลสูตร!C16)</f>
        <v>16 oz</v>
      </c>
      <c r="C19" s="4" t="str">
        <f>IF(ข้อมูลสูตร!$A16="","",ข้อมูลสูตร!D16)</f>
        <v>100%</v>
      </c>
      <c r="D19" s="63">
        <f>IF(ข้อมูลสูตร!$A16="","",ข้อมูลสูตร!E16)</f>
        <v>130</v>
      </c>
      <c r="E19" s="63">
        <f>IF(ข้อมูลสูตร!$A16="","",ข้อมูลสูตร!F16)</f>
        <v>0</v>
      </c>
      <c r="F19" s="63">
        <f>IF(ข้อมูลสูตร!$A16="","",ข้อมูลสูตร!G16)</f>
        <v>21.4</v>
      </c>
      <c r="G19" s="63">
        <f>IF(ข้อมูลสูตร!$A16="","",ข้อมูลสูตร!H16)</f>
        <v>20</v>
      </c>
      <c r="H19" s="63">
        <f>IF(ข้อมูลสูตร!$A16="","",ข้อมูลสูตร!I16)</f>
        <v>0</v>
      </c>
      <c r="I19" s="63">
        <f>IF(ข้อมูลสูตร!$A16="","",ข้อมูลสูตร!J16)</f>
        <v>44.6</v>
      </c>
      <c r="J19" s="63">
        <f>IF(ข้อมูลสูตร!$A16="","",ข้อมูลสูตร!K16)</f>
        <v>0</v>
      </c>
      <c r="K19" s="63">
        <f>IF(ข้อมูลสูตร!$A16="","",ข้อมูลสูตร!L16)</f>
        <v>0</v>
      </c>
      <c r="L19" s="63">
        <f>IF(ข้อมูลสูตร!$A16="","",ข้อมูลสูตร!M16)</f>
        <v>0</v>
      </c>
      <c r="M19" s="63">
        <f>IF(ข้อมูลสูตร!$A16="","",ข้อมูลสูตร!N16)</f>
        <v>0</v>
      </c>
      <c r="N19" s="63">
        <f>IF(ข้อมูลสูตร!$A16="","",ข้อมูลสูตร!O16)</f>
        <v>0</v>
      </c>
      <c r="O19" s="63">
        <f>IF(ข้อมูลสูตร!$A16="","",ข้อมูลสูตร!P16)</f>
        <v>0</v>
      </c>
      <c r="P19" s="63">
        <f>IF(ข้อมูลสูตร!$A16="","",ข้อมูลสูตร!Q16)</f>
        <v>0</v>
      </c>
      <c r="Q19" s="63">
        <f>IF(ข้อมูลสูตร!$A16="","",ข้อมูลสูตร!R16)</f>
        <v>0</v>
      </c>
      <c r="R19" s="63">
        <f>IF(ข้อมูลสูตร!$A16="","",ข้อมูลสูตร!S16)</f>
        <v>240</v>
      </c>
      <c r="S19" s="63">
        <f>IF(ข้อมูลสูตร!$A16="","",ข้อมูลสูตร!T16)</f>
        <v>0</v>
      </c>
      <c r="T19" s="63">
        <f>IF(ข้อมูลสูตร!$A16="","",ข้อมูลสูตร!U16)</f>
        <v>0</v>
      </c>
      <c r="U19" s="64">
        <f>IF(ข้อมูลสูตร!$A16="","",ข้อมูลสูตร!V16)</f>
        <v>216</v>
      </c>
      <c r="V19" s="8">
        <f>IF(ข้อมูลสูตร!$A16="","",ข้อมูลสูตร!W16)</f>
        <v>13.22</v>
      </c>
      <c r="W19" s="64">
        <f>IF(ข้อมูลสูตร!$A16="","",ข้อมูลสูตร!X16)</f>
        <v>50</v>
      </c>
      <c r="X19" s="23">
        <f>IF(ข้อมูลสูตร!$A16="","",ข้อมูลสูตร!Y16)</f>
        <v>0.73560000000000003</v>
      </c>
      <c r="Y19" s="48" t="str">
        <f>IF(ข้อมูลสูตร!$A16="","",ข้อมูลสูตร!Z16)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19" s="48" t="str">
        <f>ข้อมูลสูตร!$A16</f>
        <v>Latte|16 oz|100%</v>
      </c>
    </row>
    <row r="20" spans="1:26" x14ac:dyDescent="0.25">
      <c r="A20" s="4" t="str">
        <f>IF(ข้อมูลสูตร!$A17="","",ข้อมูลสูตร!B17)</f>
        <v>Latte</v>
      </c>
      <c r="B20" s="4" t="str">
        <f>IF(ข้อมูลสูตร!$A17="","",ข้อมูลสูตร!C17)</f>
        <v>22 oz</v>
      </c>
      <c r="C20" s="4" t="str">
        <f>IF(ข้อมูลสูตร!$A17="","",ข้อมูลสูตร!D17)</f>
        <v>0%</v>
      </c>
      <c r="D20" s="63">
        <f>IF(ข้อมูลสูตร!$A17="","",ข้อมูลสูตร!E17)</f>
        <v>179</v>
      </c>
      <c r="E20" s="63">
        <f>IF(ข้อมูลสูตร!$A17="","",ข้อมูลสูตร!F17)</f>
        <v>0</v>
      </c>
      <c r="F20" s="63">
        <f>IF(ข้อมูลสูตร!$A17="","",ข้อมูลสูตร!G17)</f>
        <v>69</v>
      </c>
      <c r="G20" s="63">
        <f>IF(ข้อมูลสูตร!$A17="","",ข้อมูลสูตร!H17)</f>
        <v>27.5</v>
      </c>
      <c r="H20" s="63">
        <f>IF(ข้อมูลสูตร!$A17="","",ข้อมูลสูตร!I17)</f>
        <v>0</v>
      </c>
      <c r="I20" s="63">
        <f>IF(ข้อมูลสูตร!$A17="","",ข้อมูลสูตร!J17)</f>
        <v>0</v>
      </c>
      <c r="J20" s="63">
        <f>IF(ข้อมูลสูตร!$A17="","",ข้อมูลสูตร!K17)</f>
        <v>0</v>
      </c>
      <c r="K20" s="63">
        <f>IF(ข้อมูลสูตร!$A17="","",ข้อมูลสูตร!L17)</f>
        <v>0</v>
      </c>
      <c r="L20" s="63">
        <f>IF(ข้อมูลสูตร!$A17="","",ข้อมูลสูตร!M17)</f>
        <v>0</v>
      </c>
      <c r="M20" s="63">
        <f>IF(ข้อมูลสูตร!$A17="","",ข้อมูลสูตร!N17)</f>
        <v>0</v>
      </c>
      <c r="N20" s="63">
        <f>IF(ข้อมูลสูตร!$A17="","",ข้อมูลสูตร!O17)</f>
        <v>0</v>
      </c>
      <c r="O20" s="63">
        <f>IF(ข้อมูลสูตร!$A17="","",ข้อมูลสูตร!P17)</f>
        <v>0</v>
      </c>
      <c r="P20" s="63">
        <f>IF(ข้อมูลสูตร!$A17="","",ข้อมูลสูตร!Q17)</f>
        <v>0</v>
      </c>
      <c r="Q20" s="63">
        <f>IF(ข้อมูลสูตร!$A17="","",ข้อมูลสูตร!R17)</f>
        <v>0</v>
      </c>
      <c r="R20" s="63">
        <f>IF(ข้อมูลสูตร!$A17="","",ข้อมูลสูตร!S17)</f>
        <v>330</v>
      </c>
      <c r="S20" s="63">
        <f>IF(ข้อมูลสูตร!$A17="","",ข้อมูลสูตร!T17)</f>
        <v>0</v>
      </c>
      <c r="T20" s="63">
        <f>IF(ข้อมูลสูตร!$A17="","",ข้อมูลสูตร!U17)</f>
        <v>0</v>
      </c>
      <c r="U20" s="64">
        <f>IF(ข้อมูลสูตร!$A17="","",ข้อมูลสูตร!V17)</f>
        <v>275.5</v>
      </c>
      <c r="V20" s="8">
        <f>IF(ข้อมูลสูตร!$A17="","",ข้อมูลสูตร!W17)</f>
        <v>18.350000000000001</v>
      </c>
      <c r="W20" s="64">
        <f>IF(ข้อมูลสูตร!$A17="","",ข้อมูลสูตร!X17)</f>
        <v>60</v>
      </c>
      <c r="X20" s="23">
        <f>IF(ข้อมูลสูตร!$A17="","",ข้อมูลสูตร!Y17)</f>
        <v>0.6941666666666666</v>
      </c>
      <c r="Y20" s="48" t="str">
        <f>IF(ข้อมูลสูตร!$A17="","",ข้อมูลสูตร!Z17)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0" s="48" t="str">
        <f>ข้อมูลสูตร!$A17</f>
        <v>Latte|22 oz|0%</v>
      </c>
    </row>
    <row r="21" spans="1:26" x14ac:dyDescent="0.25">
      <c r="A21" s="4" t="str">
        <f>IF(ข้อมูลสูตร!$A18="","",ข้อมูลสูตร!B18)</f>
        <v>Latte</v>
      </c>
      <c r="B21" s="4" t="str">
        <f>IF(ข้อมูลสูตร!$A18="","",ข้อมูลสูตร!C18)</f>
        <v>22 oz</v>
      </c>
      <c r="C21" s="4" t="str">
        <f>IF(ข้อมูลสูตร!$A18="","",ข้อมูลสูตร!D18)</f>
        <v>25%</v>
      </c>
      <c r="D21" s="63">
        <f>IF(ข้อมูลสูตร!$A18="","",ข้อมูลสูตร!E18)</f>
        <v>179</v>
      </c>
      <c r="E21" s="63">
        <f>IF(ข้อมูลสูตร!$A18="","",ข้อมูลสูตร!F18)</f>
        <v>0</v>
      </c>
      <c r="F21" s="63">
        <f>IF(ข้อมูลสูตร!$A18="","",ข้อมูลสูตร!G18)</f>
        <v>41.6</v>
      </c>
      <c r="G21" s="63">
        <f>IF(ข้อมูลสูตร!$A18="","",ข้อมูลสูตร!H18)</f>
        <v>27.5</v>
      </c>
      <c r="H21" s="63">
        <f>IF(ข้อมูลสูตร!$A18="","",ข้อมูลสูตร!I18)</f>
        <v>0</v>
      </c>
      <c r="I21" s="63">
        <f>IF(ข้อมูลสูตร!$A18="","",ข้อมูลสูตร!J18)</f>
        <v>32.4</v>
      </c>
      <c r="J21" s="63">
        <f>IF(ข้อมูลสูตร!$A18="","",ข้อมูลสูตร!K18)</f>
        <v>0</v>
      </c>
      <c r="K21" s="63">
        <f>IF(ข้อมูลสูตร!$A18="","",ข้อมูลสูตร!L18)</f>
        <v>0</v>
      </c>
      <c r="L21" s="63">
        <f>IF(ข้อมูลสูตร!$A18="","",ข้อมูลสูตร!M18)</f>
        <v>0</v>
      </c>
      <c r="M21" s="63">
        <f>IF(ข้อมูลสูตร!$A18="","",ข้อมูลสูตร!N18)</f>
        <v>0</v>
      </c>
      <c r="N21" s="63">
        <f>IF(ข้อมูลสูตร!$A18="","",ข้อมูลสูตร!O18)</f>
        <v>0</v>
      </c>
      <c r="O21" s="63">
        <f>IF(ข้อมูลสูตร!$A18="","",ข้อมูลสูตร!P18)</f>
        <v>0</v>
      </c>
      <c r="P21" s="63">
        <f>IF(ข้อมูลสูตร!$A18="","",ข้อมูลสูตร!Q18)</f>
        <v>0</v>
      </c>
      <c r="Q21" s="63">
        <f>IF(ข้อมูลสูตร!$A18="","",ข้อมูลสูตร!R18)</f>
        <v>0</v>
      </c>
      <c r="R21" s="63">
        <f>IF(ข้อมูลสูตร!$A18="","",ข้อมูลสูตร!S18)</f>
        <v>330</v>
      </c>
      <c r="S21" s="63">
        <f>IF(ข้อมูลสูตร!$A18="","",ข้อมูลสูตร!T18)</f>
        <v>0</v>
      </c>
      <c r="T21" s="63">
        <f>IF(ข้อมูลสูตร!$A18="","",ข้อมูลสูตร!U18)</f>
        <v>0</v>
      </c>
      <c r="U21" s="64">
        <f>IF(ข้อมูลสูตร!$A18="","",ข้อมูลสูตร!V18)</f>
        <v>280.5</v>
      </c>
      <c r="V21" s="8">
        <f>IF(ข้อมูลสูตร!$A18="","",ข้อมูลสูตร!W18)</f>
        <v>17.579999999999998</v>
      </c>
      <c r="W21" s="64">
        <f>IF(ข้อมูลสูตร!$A18="","",ข้อมูลสูตร!X18)</f>
        <v>60</v>
      </c>
      <c r="X21" s="23">
        <f>IF(ข้อมูลสูตร!$A18="","",ข้อมูลสูตร!Y18)</f>
        <v>0.70700000000000007</v>
      </c>
      <c r="Y21" s="48" t="str">
        <f>IF(ข้อมูลสูตร!$A18="","",ข้อมูลสูตร!Z18)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1" s="48" t="str">
        <f>ข้อมูลสูตร!$A18</f>
        <v>Latte|22 oz|25%</v>
      </c>
    </row>
    <row r="22" spans="1:26" x14ac:dyDescent="0.25">
      <c r="A22" s="4" t="str">
        <f>IF(ข้อมูลสูตร!$A19="","",ข้อมูลสูตร!B19)</f>
        <v>Latte</v>
      </c>
      <c r="B22" s="4" t="str">
        <f>IF(ข้อมูลสูตร!$A19="","",ข้อมูลสูตร!C19)</f>
        <v>22 oz</v>
      </c>
      <c r="C22" s="4" t="str">
        <f>IF(ข้อมูลสูตร!$A19="","",ข้อมูลสูตร!D19)</f>
        <v>50%</v>
      </c>
      <c r="D22" s="63">
        <f>IF(ข้อมูลสูตร!$A19="","",ข้อมูลสูตร!E19)</f>
        <v>179</v>
      </c>
      <c r="E22" s="63">
        <f>IF(ข้อมูลสูตร!$A19="","",ข้อมูลสูตร!F19)</f>
        <v>0</v>
      </c>
      <c r="F22" s="63">
        <f>IF(ข้อมูลสูตร!$A19="","",ข้อมูลสูตร!G19)</f>
        <v>37.6</v>
      </c>
      <c r="G22" s="63">
        <f>IF(ข้อมูลสูตร!$A19="","",ข้อมูลสูตร!H19)</f>
        <v>27.5</v>
      </c>
      <c r="H22" s="63">
        <f>IF(ข้อมูลสูตร!$A19="","",ข้อมูลสูตร!I19)</f>
        <v>0</v>
      </c>
      <c r="I22" s="63">
        <f>IF(ข้อมูลสูตร!$A19="","",ข้อมูลสูตร!J19)</f>
        <v>41.9</v>
      </c>
      <c r="J22" s="63">
        <f>IF(ข้อมูลสูตร!$A19="","",ข้อมูลสูตร!K19)</f>
        <v>0</v>
      </c>
      <c r="K22" s="63">
        <f>IF(ข้อมูลสูตร!$A19="","",ข้อมูลสูตร!L19)</f>
        <v>0</v>
      </c>
      <c r="L22" s="63">
        <f>IF(ข้อมูลสูตร!$A19="","",ข้อมูลสูตร!M19)</f>
        <v>0</v>
      </c>
      <c r="M22" s="63">
        <f>IF(ข้อมูลสูตร!$A19="","",ข้อมูลสูตร!N19)</f>
        <v>0</v>
      </c>
      <c r="N22" s="63">
        <f>IF(ข้อมูลสูตร!$A19="","",ข้อมูลสูตร!O19)</f>
        <v>0</v>
      </c>
      <c r="O22" s="63">
        <f>IF(ข้อมูลสูตร!$A19="","",ข้อมูลสูตร!P19)</f>
        <v>0</v>
      </c>
      <c r="P22" s="63">
        <f>IF(ข้อมูลสูตร!$A19="","",ข้อมูลสูตร!Q19)</f>
        <v>0</v>
      </c>
      <c r="Q22" s="63">
        <f>IF(ข้อมูลสูตร!$A19="","",ข้อมูลสูตร!R19)</f>
        <v>0</v>
      </c>
      <c r="R22" s="63">
        <f>IF(ข้อมูลสูตร!$A19="","",ข้อมูลสูตร!S19)</f>
        <v>330</v>
      </c>
      <c r="S22" s="63">
        <f>IF(ข้อมูลสูตร!$A19="","",ข้อมูลสูตร!T19)</f>
        <v>0</v>
      </c>
      <c r="T22" s="63">
        <f>IF(ข้อมูลสูตร!$A19="","",ข้อมูลสูตร!U19)</f>
        <v>0</v>
      </c>
      <c r="U22" s="64">
        <f>IF(ข้อมูลสูตร!$A19="","",ข้อมูลสูตร!V19)</f>
        <v>286</v>
      </c>
      <c r="V22" s="8">
        <f>IF(ข้อมูลสูตร!$A19="","",ข้อมูลสูตร!W19)</f>
        <v>17.54</v>
      </c>
      <c r="W22" s="64">
        <f>IF(ข้อมูลสูตร!$A19="","",ข้อมูลสูตร!X19)</f>
        <v>60</v>
      </c>
      <c r="X22" s="23">
        <f>IF(ข้อมูลสูตร!$A19="","",ข้อมูลสูตร!Y19)</f>
        <v>0.70766666666666667</v>
      </c>
      <c r="Y22" s="48" t="str">
        <f>IF(ข้อมูลสูตร!$A19="","",ข้อมูลสูตร!Z19)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2" s="48" t="str">
        <f>ข้อมูลสูตร!$A19</f>
        <v>Latte|22 oz|50%</v>
      </c>
    </row>
    <row r="23" spans="1:26" x14ac:dyDescent="0.25">
      <c r="A23" s="4" t="str">
        <f>IF(ข้อมูลสูตร!$A20="","",ข้อมูลสูตร!B20)</f>
        <v>Latte</v>
      </c>
      <c r="B23" s="4" t="str">
        <f>IF(ข้อมูลสูตร!$A20="","",ข้อมูลสูตร!C20)</f>
        <v>22 oz</v>
      </c>
      <c r="C23" s="4" t="str">
        <f>IF(ข้อมูลสูตร!$A20="","",ข้อมูลสูตร!D20)</f>
        <v>75%</v>
      </c>
      <c r="D23" s="63">
        <f>IF(ข้อมูลสูตร!$A20="","",ข้อมูลสูตร!E20)</f>
        <v>179</v>
      </c>
      <c r="E23" s="63">
        <f>IF(ข้อมูลสูตร!$A20="","",ข้อมูลสูตร!F20)</f>
        <v>0</v>
      </c>
      <c r="F23" s="63">
        <f>IF(ข้อมูลสูตร!$A20="","",ข้อมูลสูตร!G20)</f>
        <v>33.6</v>
      </c>
      <c r="G23" s="63">
        <f>IF(ข้อมูลสูตร!$A20="","",ข้อมูลสูตร!H20)</f>
        <v>27.5</v>
      </c>
      <c r="H23" s="63">
        <f>IF(ข้อมูลสูตร!$A20="","",ข้อมูลสูตร!I20)</f>
        <v>0</v>
      </c>
      <c r="I23" s="63">
        <f>IF(ข้อมูลสูตร!$A20="","",ข้อมูลสูตร!J20)</f>
        <v>51.9</v>
      </c>
      <c r="J23" s="63">
        <f>IF(ข้อมูลสูตร!$A20="","",ข้อมูลสูตร!K20)</f>
        <v>0</v>
      </c>
      <c r="K23" s="63">
        <f>IF(ข้อมูลสูตร!$A20="","",ข้อมูลสูตร!L20)</f>
        <v>0</v>
      </c>
      <c r="L23" s="63">
        <f>IF(ข้อมูลสูตร!$A20="","",ข้อมูลสูตร!M20)</f>
        <v>0</v>
      </c>
      <c r="M23" s="63">
        <f>IF(ข้อมูลสูตร!$A20="","",ข้อมูลสูตร!N20)</f>
        <v>0</v>
      </c>
      <c r="N23" s="63">
        <f>IF(ข้อมูลสูตร!$A20="","",ข้อมูลสูตร!O20)</f>
        <v>0</v>
      </c>
      <c r="O23" s="63">
        <f>IF(ข้อมูลสูตร!$A20="","",ข้อมูลสูตร!P20)</f>
        <v>0</v>
      </c>
      <c r="P23" s="63">
        <f>IF(ข้อมูลสูตร!$A20="","",ข้อมูลสูตร!Q20)</f>
        <v>0</v>
      </c>
      <c r="Q23" s="63">
        <f>IF(ข้อมูลสูตร!$A20="","",ข้อมูลสูตร!R20)</f>
        <v>0</v>
      </c>
      <c r="R23" s="63">
        <f>IF(ข้อมูลสูตร!$A20="","",ข้อมูลสูตร!S20)</f>
        <v>330</v>
      </c>
      <c r="S23" s="63">
        <f>IF(ข้อมูลสูตร!$A20="","",ข้อมูลสูตร!T20)</f>
        <v>0</v>
      </c>
      <c r="T23" s="63">
        <f>IF(ข้อมูลสูตร!$A20="","",ข้อมูลสูตร!U20)</f>
        <v>0</v>
      </c>
      <c r="U23" s="64">
        <f>IF(ข้อมูลสูตร!$A20="","",ข้อมูลสูตร!V20)</f>
        <v>292</v>
      </c>
      <c r="V23" s="8">
        <f>IF(ข้อมูลสูตร!$A20="","",ข้อมูลสูตร!W20)</f>
        <v>17.52</v>
      </c>
      <c r="W23" s="64">
        <f>IF(ข้อมูลสูตร!$A20="","",ข้อมูลสูตร!X20)</f>
        <v>60</v>
      </c>
      <c r="X23" s="23">
        <f>IF(ข้อมูลสูตร!$A20="","",ข้อมูลสูตร!Y20)</f>
        <v>0.70800000000000007</v>
      </c>
      <c r="Y23" s="48" t="str">
        <f>IF(ข้อมูลสูตร!$A20="","",ข้อมูลสูตร!Z20)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3" s="48" t="str">
        <f>ข้อมูลสูตร!$A20</f>
        <v>Latte|22 oz|75%</v>
      </c>
    </row>
    <row r="24" spans="1:26" x14ac:dyDescent="0.25">
      <c r="A24" s="4" t="str">
        <f>IF(ข้อมูลสูตร!$A21="","",ข้อมูลสูตร!B21)</f>
        <v>Latte</v>
      </c>
      <c r="B24" s="4" t="str">
        <f>IF(ข้อมูลสูตร!$A21="","",ข้อมูลสูตร!C21)</f>
        <v>22 oz</v>
      </c>
      <c r="C24" s="4" t="str">
        <f>IF(ข้อมูลสูตร!$A21="","",ข้อมูลสูตร!D21)</f>
        <v>100%</v>
      </c>
      <c r="D24" s="63">
        <f>IF(ข้อมูลสูตร!$A21="","",ข้อมูลสูตร!E21)</f>
        <v>179</v>
      </c>
      <c r="E24" s="63">
        <f>IF(ข้อมูลสูตร!$A21="","",ข้อมูลสูตร!F21)</f>
        <v>0</v>
      </c>
      <c r="F24" s="63">
        <f>IF(ข้อมูลสูตร!$A21="","",ข้อมูลสูตร!G21)</f>
        <v>29.1</v>
      </c>
      <c r="G24" s="63">
        <f>IF(ข้อมูลสูตร!$A21="","",ข้อมูลสูตร!H21)</f>
        <v>27.5</v>
      </c>
      <c r="H24" s="63">
        <f>IF(ข้อมูลสูตร!$A21="","",ข้อมูลสูตร!I21)</f>
        <v>0</v>
      </c>
      <c r="I24" s="63">
        <f>IF(ข้อมูลสูตร!$A21="","",ข้อมูลสูตร!J21)</f>
        <v>61.4</v>
      </c>
      <c r="J24" s="63">
        <f>IF(ข้อมูลสูตร!$A21="","",ข้อมูลสูตร!K21)</f>
        <v>0</v>
      </c>
      <c r="K24" s="63">
        <f>IF(ข้อมูลสูตร!$A21="","",ข้อมูลสูตร!L21)</f>
        <v>0</v>
      </c>
      <c r="L24" s="63">
        <f>IF(ข้อมูลสูตร!$A21="","",ข้อมูลสูตร!M21)</f>
        <v>0</v>
      </c>
      <c r="M24" s="63">
        <f>IF(ข้อมูลสูตร!$A21="","",ข้อมูลสูตร!N21)</f>
        <v>0</v>
      </c>
      <c r="N24" s="63">
        <f>IF(ข้อมูลสูตร!$A21="","",ข้อมูลสูตร!O21)</f>
        <v>0</v>
      </c>
      <c r="O24" s="63">
        <f>IF(ข้อมูลสูตร!$A21="","",ข้อมูลสูตร!P21)</f>
        <v>0</v>
      </c>
      <c r="P24" s="63">
        <f>IF(ข้อมูลสูตร!$A21="","",ข้อมูลสูตร!Q21)</f>
        <v>0</v>
      </c>
      <c r="Q24" s="63">
        <f>IF(ข้อมูลสูตร!$A21="","",ข้อมูลสูตร!R21)</f>
        <v>0</v>
      </c>
      <c r="R24" s="63">
        <f>IF(ข้อมูลสูตร!$A21="","",ข้อมูลสูตร!S21)</f>
        <v>330</v>
      </c>
      <c r="S24" s="63">
        <f>IF(ข้อมูลสูตร!$A21="","",ข้อมูลสูตร!T21)</f>
        <v>0</v>
      </c>
      <c r="T24" s="63">
        <f>IF(ข้อมูลสูตร!$A21="","",ข้อมูลสูตร!U21)</f>
        <v>0</v>
      </c>
      <c r="U24" s="64">
        <f>IF(ข้อมูลสูตร!$A21="","",ข้อมูลสูตร!V21)</f>
        <v>297</v>
      </c>
      <c r="V24" s="8">
        <f>IF(ข้อมูลสูตร!$A21="","",ข้อมูลสูตร!W21)</f>
        <v>17.46</v>
      </c>
      <c r="W24" s="64">
        <f>IF(ข้อมูลสูตร!$A21="","",ข้อมูลสูตร!X21)</f>
        <v>60</v>
      </c>
      <c r="X24" s="23">
        <f>IF(ข้อมูลสูตร!$A21="","",ข้อมูลสูตร!Y21)</f>
        <v>0.70899999999999996</v>
      </c>
      <c r="Y24" s="48" t="str">
        <f>IF(ข้อมูลสูตร!$A21="","",ข้อมูลสูตร!Z21)</f>
        <v>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4" s="48" t="str">
        <f>ข้อมูลสูตร!$A21</f>
        <v>Latte|22 oz|100%</v>
      </c>
    </row>
    <row r="25" spans="1:26" x14ac:dyDescent="0.25">
      <c r="A25" s="4" t="str">
        <f>IF(ข้อมูลสูตร!$A22="","",ข้อมูลสูตร!B22)</f>
        <v>Cream Cheese</v>
      </c>
      <c r="B25" s="4" t="str">
        <f>IF(ข้อมูลสูตร!$A22="","",ข้อมูลสูตร!C22)</f>
        <v>16 oz</v>
      </c>
      <c r="C25" s="4" t="str">
        <f>IF(ข้อมูลสูตร!$A22="","",ข้อมูลสูตร!D22)</f>
        <v>0%</v>
      </c>
      <c r="D25" s="63">
        <f>IF(ข้อมูลสูตร!$A22="","",ข้อมูลสูตร!E22)</f>
        <v>120</v>
      </c>
      <c r="E25" s="63">
        <f>IF(ข้อมูลสูตร!$A22="","",ข้อมูลสูตร!F22)</f>
        <v>0</v>
      </c>
      <c r="F25" s="63">
        <f>IF(ข้อมูลสูตร!$A22="","",ข้อมูลสูตร!G22)</f>
        <v>0</v>
      </c>
      <c r="G25" s="63">
        <f>IF(ข้อมูลสูตร!$A22="","",ข้อมูลสูตร!H22)</f>
        <v>30</v>
      </c>
      <c r="H25" s="63">
        <f>IF(ข้อมูลสูตร!$A22="","",ข้อมูลสูตร!I22)</f>
        <v>0</v>
      </c>
      <c r="I25" s="63">
        <f>IF(ข้อมูลสูตร!$A22="","",ข้อมูลสูตร!J22)</f>
        <v>0</v>
      </c>
      <c r="J25" s="63">
        <f>IF(ข้อมูลสูตร!$A22="","",ข้อมูลสูตร!K22)</f>
        <v>0</v>
      </c>
      <c r="K25" s="63">
        <f>IF(ข้อมูลสูตร!$A22="","",ข้อมูลสูตร!L22)</f>
        <v>0</v>
      </c>
      <c r="L25" s="63">
        <f>IF(ข้อมูลสูตร!$A22="","",ข้อมูลสูตร!M22)</f>
        <v>0</v>
      </c>
      <c r="M25" s="63">
        <f>IF(ข้อมูลสูตร!$A22="","",ข้อมูลสูตร!N22)</f>
        <v>0</v>
      </c>
      <c r="N25" s="63">
        <f>IF(ข้อมูลสูตร!$A22="","",ข้อมูลสูตร!O22)</f>
        <v>0</v>
      </c>
      <c r="O25" s="63">
        <f>IF(ข้อมูลสูตร!$A22="","",ข้อมูลสูตร!P22)</f>
        <v>0</v>
      </c>
      <c r="P25" s="63">
        <f>IF(ข้อมูลสูตร!$A22="","",ข้อมูลสูตร!Q22)</f>
        <v>0</v>
      </c>
      <c r="Q25" s="63">
        <f>IF(ข้อมูลสูตร!$A22="","",ข้อมูลสูตร!R22)</f>
        <v>60</v>
      </c>
      <c r="R25" s="63">
        <f>IF(ข้อมูลสูตร!$A22="","",ข้อมูลสูตร!S22)</f>
        <v>200</v>
      </c>
      <c r="S25" s="63">
        <f>IF(ข้อมูลสูตร!$A22="","",ข้อมูลสูตร!T22)</f>
        <v>0</v>
      </c>
      <c r="T25" s="63">
        <f>IF(ข้อมูลสูตร!$A22="","",ข้อมูลสูตร!U22)</f>
        <v>0</v>
      </c>
      <c r="U25" s="64">
        <f>IF(ข้อมูลสูตร!$A22="","",ข้อมูลสูตร!V22)</f>
        <v>150</v>
      </c>
      <c r="V25" s="8">
        <f>IF(ข้อมูลสูตร!$A22="","",ข้อมูลสูตร!W22)</f>
        <v>20.93</v>
      </c>
      <c r="W25" s="64">
        <f>IF(ข้อมูลสูตร!$A22="","",ข้อมูลสูตร!X22)</f>
        <v>65</v>
      </c>
      <c r="X25" s="23">
        <f>IF(ข้อมูลสูตร!$A22="","",ข้อมูลสูตร!Y22)</f>
        <v>0.67800000000000005</v>
      </c>
      <c r="Y25" s="48" t="str">
        <f>IF(ข้อมูลสูตร!$A22="","",ข้อมูลสูตร!Z22)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5" s="48" t="str">
        <f>ข้อมูลสูตร!$A22</f>
        <v>Cream Cheese|16 oz|0%</v>
      </c>
    </row>
    <row r="26" spans="1:26" x14ac:dyDescent="0.25">
      <c r="A26" s="4" t="str">
        <f>IF(ข้อมูลสูตร!$A23="","",ข้อมูลสูตร!B23)</f>
        <v>Cream Cheese</v>
      </c>
      <c r="B26" s="4" t="str">
        <f>IF(ข้อมูลสูตร!$A23="","",ข้อมูลสูตร!C23)</f>
        <v>16 oz</v>
      </c>
      <c r="C26" s="4" t="str">
        <f>IF(ข้อมูลสูตร!$A23="","",ข้อมูลสูตร!D23)</f>
        <v>25%</v>
      </c>
      <c r="D26" s="63">
        <f>IF(ข้อมูลสูตร!$A23="","",ข้อมูลสูตร!E23)</f>
        <v>120</v>
      </c>
      <c r="E26" s="63">
        <f>IF(ข้อมูลสูตร!$A23="","",ข้อมูลสูตร!F23)</f>
        <v>0</v>
      </c>
      <c r="F26" s="63">
        <f>IF(ข้อมูลสูตร!$A23="","",ข้อมูลสูตร!G23)</f>
        <v>0</v>
      </c>
      <c r="G26" s="63">
        <f>IF(ข้อมูลสูตร!$A23="","",ข้อมูลสูตร!H23)</f>
        <v>30</v>
      </c>
      <c r="H26" s="63">
        <f>IF(ข้อมูลสูตร!$A23="","",ข้อมูลสูตร!I23)</f>
        <v>7</v>
      </c>
      <c r="I26" s="63">
        <f>IF(ข้อมูลสูตร!$A23="","",ข้อมูลสูตร!J23)</f>
        <v>15.4</v>
      </c>
      <c r="J26" s="63">
        <f>IF(ข้อมูลสูตร!$A23="","",ข้อมูลสูตร!K23)</f>
        <v>0</v>
      </c>
      <c r="K26" s="63">
        <f>IF(ข้อมูลสูตร!$A23="","",ข้อมูลสูตร!L23)</f>
        <v>0</v>
      </c>
      <c r="L26" s="63">
        <f>IF(ข้อมูลสูตร!$A23="","",ข้อมูลสูตร!M23)</f>
        <v>0</v>
      </c>
      <c r="M26" s="63">
        <f>IF(ข้อมูลสูตร!$A23="","",ข้อมูลสูตร!N23)</f>
        <v>0</v>
      </c>
      <c r="N26" s="63">
        <f>IF(ข้อมูลสูตร!$A23="","",ข้อมูลสูตร!O23)</f>
        <v>0</v>
      </c>
      <c r="O26" s="63">
        <f>IF(ข้อมูลสูตร!$A23="","",ข้อมูลสูตร!P23)</f>
        <v>0</v>
      </c>
      <c r="P26" s="63">
        <f>IF(ข้อมูลสูตร!$A23="","",ข้อมูลสูตร!Q23)</f>
        <v>0</v>
      </c>
      <c r="Q26" s="63">
        <f>IF(ข้อมูลสูตร!$A23="","",ข้อมูลสูตร!R23)</f>
        <v>60</v>
      </c>
      <c r="R26" s="63">
        <f>IF(ข้อมูลสูตร!$A23="","",ข้อมูลสูตร!S23)</f>
        <v>200</v>
      </c>
      <c r="S26" s="63">
        <f>IF(ข้อมูลสูตร!$A23="","",ข้อมูลสูตร!T23)</f>
        <v>0</v>
      </c>
      <c r="T26" s="63">
        <f>IF(ข้อมูลสูตร!$A23="","",ข้อมูลสูตร!U23)</f>
        <v>0</v>
      </c>
      <c r="U26" s="64">
        <f>IF(ข้อมูลสูตร!$A23="","",ข้อมูลสูตร!V23)</f>
        <v>172.4</v>
      </c>
      <c r="V26" s="8">
        <f>IF(ข้อมูลสูตร!$A23="","",ข้อมูลสูตร!W23)</f>
        <v>21.67</v>
      </c>
      <c r="W26" s="64">
        <f>IF(ข้อมูลสูตร!$A23="","",ข้อมูลสูตร!X23)</f>
        <v>65</v>
      </c>
      <c r="X26" s="23">
        <f>IF(ข้อมูลสูตร!$A23="","",ข้อมูลสูตร!Y23)</f>
        <v>0.66661538461538461</v>
      </c>
      <c r="Y26" s="48" t="str">
        <f>IF(ข้อมูลสูตร!$A23="","",ข้อมูลสูตร!Z23)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" s="48" t="str">
        <f>ข้อมูลสูตร!$A23</f>
        <v>Cream Cheese|16 oz|25%</v>
      </c>
    </row>
    <row r="27" spans="1:26" x14ac:dyDescent="0.25">
      <c r="A27" s="4" t="str">
        <f>IF(ข้อมูลสูตร!$A24="","",ข้อมูลสูตร!B24)</f>
        <v>Cream Cheese</v>
      </c>
      <c r="B27" s="4" t="str">
        <f>IF(ข้อมูลสูตร!$A24="","",ข้อมูลสูตร!C24)</f>
        <v>16 oz</v>
      </c>
      <c r="C27" s="4" t="str">
        <f>IF(ข้อมูลสูตร!$A24="","",ข้อมูลสูตร!D24)</f>
        <v>50%</v>
      </c>
      <c r="D27" s="63">
        <f>IF(ข้อมูลสูตร!$A24="","",ข้อมูลสูตร!E24)</f>
        <v>120</v>
      </c>
      <c r="E27" s="63">
        <f>IF(ข้อมูลสูตร!$A24="","",ข้อมูลสูตร!F24)</f>
        <v>0</v>
      </c>
      <c r="F27" s="63">
        <f>IF(ข้อมูลสูตร!$A24="","",ข้อมูลสูตร!G24)</f>
        <v>0</v>
      </c>
      <c r="G27" s="63">
        <f>IF(ข้อมูลสูตร!$A24="","",ข้อมูลสูตร!H24)</f>
        <v>30</v>
      </c>
      <c r="H27" s="63">
        <f>IF(ข้อมูลสูตร!$A24="","",ข้อมูลสูตร!I24)</f>
        <v>14</v>
      </c>
      <c r="I27" s="63">
        <f>IF(ข้อมูลสูตร!$A24="","",ข้อมูลสูตร!J24)</f>
        <v>15.4</v>
      </c>
      <c r="J27" s="63">
        <f>IF(ข้อมูลสูตร!$A24="","",ข้อมูลสูตร!K24)</f>
        <v>0</v>
      </c>
      <c r="K27" s="63">
        <f>IF(ข้อมูลสูตร!$A24="","",ข้อมูลสูตร!L24)</f>
        <v>0</v>
      </c>
      <c r="L27" s="63">
        <f>IF(ข้อมูลสูตร!$A24="","",ข้อมูลสูตร!M24)</f>
        <v>0</v>
      </c>
      <c r="M27" s="63">
        <f>IF(ข้อมูลสูตร!$A24="","",ข้อมูลสูตร!N24)</f>
        <v>0</v>
      </c>
      <c r="N27" s="63">
        <f>IF(ข้อมูลสูตร!$A24="","",ข้อมูลสูตร!O24)</f>
        <v>0</v>
      </c>
      <c r="O27" s="63">
        <f>IF(ข้อมูลสูตร!$A24="","",ข้อมูลสูตร!P24)</f>
        <v>0</v>
      </c>
      <c r="P27" s="63">
        <f>IF(ข้อมูลสูตร!$A24="","",ข้อมูลสูตร!Q24)</f>
        <v>0</v>
      </c>
      <c r="Q27" s="63">
        <f>IF(ข้อมูลสูตร!$A24="","",ข้อมูลสูตร!R24)</f>
        <v>60</v>
      </c>
      <c r="R27" s="63">
        <f>IF(ข้อมูลสูตร!$A24="","",ข้อมูลสูตร!S24)</f>
        <v>200</v>
      </c>
      <c r="S27" s="63">
        <f>IF(ข้อมูลสูตร!$A24="","",ข้อมูลสูตร!T24)</f>
        <v>0</v>
      </c>
      <c r="T27" s="63">
        <f>IF(ข้อมูลสูตร!$A24="","",ข้อมูลสูตร!U24)</f>
        <v>0</v>
      </c>
      <c r="U27" s="64">
        <f>IF(ข้อมูลสูตร!$A24="","",ข้อมูลสูตร!V24)</f>
        <v>179.4</v>
      </c>
      <c r="V27" s="8">
        <f>IF(ข้อมูลสูตร!$A24="","",ข้อมูลสูตร!W24)</f>
        <v>22.15</v>
      </c>
      <c r="W27" s="64">
        <f>IF(ข้อมูลสูตร!$A24="","",ข้อมูลสูตร!X24)</f>
        <v>65</v>
      </c>
      <c r="X27" s="23">
        <f>IF(ข้อมูลสูตร!$A24="","",ข้อมูลสูตร!Y24)</f>
        <v>0.65923076923076929</v>
      </c>
      <c r="Y27" s="48" t="str">
        <f>IF(ข้อมูลสูตร!$A24="","",ข้อมูลสูตร!Z24)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" s="48" t="str">
        <f>ข้อมูลสูตร!$A24</f>
        <v>Cream Cheese|16 oz|50%</v>
      </c>
    </row>
    <row r="28" spans="1:26" x14ac:dyDescent="0.25">
      <c r="A28" s="4" t="str">
        <f>IF(ข้อมูลสูตร!$A25="","",ข้อมูลสูตร!B25)</f>
        <v>Cream Cheese</v>
      </c>
      <c r="B28" s="4" t="str">
        <f>IF(ข้อมูลสูตร!$A25="","",ข้อมูลสูตร!C25)</f>
        <v>16 oz</v>
      </c>
      <c r="C28" s="4" t="str">
        <f>IF(ข้อมูลสูตร!$A25="","",ข้อมูลสูตร!D25)</f>
        <v>75%</v>
      </c>
      <c r="D28" s="63">
        <f>IF(ข้อมูลสูตร!$A25="","",ข้อมูลสูตร!E25)</f>
        <v>120</v>
      </c>
      <c r="E28" s="63">
        <f>IF(ข้อมูลสูตร!$A25="","",ข้อมูลสูตร!F25)</f>
        <v>0</v>
      </c>
      <c r="F28" s="63">
        <f>IF(ข้อมูลสูตร!$A25="","",ข้อมูลสูตร!G25)</f>
        <v>0</v>
      </c>
      <c r="G28" s="63">
        <f>IF(ข้อมูลสูตร!$A25="","",ข้อมูลสูตร!H25)</f>
        <v>30</v>
      </c>
      <c r="H28" s="63">
        <f>IF(ข้อมูลสูตร!$A25="","",ข้อมูลสูตร!I25)</f>
        <v>21</v>
      </c>
      <c r="I28" s="63">
        <f>IF(ข้อมูลสูตร!$A25="","",ข้อมูลสูตร!J25)</f>
        <v>15.4</v>
      </c>
      <c r="J28" s="63">
        <f>IF(ข้อมูลสูตร!$A25="","",ข้อมูลสูตร!K25)</f>
        <v>0</v>
      </c>
      <c r="K28" s="63">
        <f>IF(ข้อมูลสูตร!$A25="","",ข้อมูลสูตร!L25)</f>
        <v>0</v>
      </c>
      <c r="L28" s="63">
        <f>IF(ข้อมูลสูตร!$A25="","",ข้อมูลสูตร!M25)</f>
        <v>0</v>
      </c>
      <c r="M28" s="63">
        <f>IF(ข้อมูลสูตร!$A25="","",ข้อมูลสูตร!N25)</f>
        <v>0</v>
      </c>
      <c r="N28" s="63">
        <f>IF(ข้อมูลสูตร!$A25="","",ข้อมูลสูตร!O25)</f>
        <v>0</v>
      </c>
      <c r="O28" s="63">
        <f>IF(ข้อมูลสูตร!$A25="","",ข้อมูลสูตร!P25)</f>
        <v>0</v>
      </c>
      <c r="P28" s="63">
        <f>IF(ข้อมูลสูตร!$A25="","",ข้อมูลสูตร!Q25)</f>
        <v>0</v>
      </c>
      <c r="Q28" s="63">
        <f>IF(ข้อมูลสูตร!$A25="","",ข้อมูลสูตร!R25)</f>
        <v>60</v>
      </c>
      <c r="R28" s="63">
        <f>IF(ข้อมูลสูตร!$A25="","",ข้อมูลสูตร!S25)</f>
        <v>200</v>
      </c>
      <c r="S28" s="63">
        <f>IF(ข้อมูลสูตร!$A25="","",ข้อมูลสูตร!T25)</f>
        <v>0</v>
      </c>
      <c r="T28" s="63">
        <f>IF(ข้อมูลสูตร!$A25="","",ข้อมูลสูตร!U25)</f>
        <v>0</v>
      </c>
      <c r="U28" s="64">
        <f>IF(ข้อมูลสูตร!$A25="","",ข้อมูลสูตร!V25)</f>
        <v>186.4</v>
      </c>
      <c r="V28" s="8">
        <f>IF(ข้อมูลสูตร!$A25="","",ข้อมูลสูตร!W25)</f>
        <v>22.64</v>
      </c>
      <c r="W28" s="64">
        <f>IF(ข้อมูลสูตร!$A25="","",ข้อมูลสูตร!X25)</f>
        <v>65</v>
      </c>
      <c r="X28" s="23">
        <f>IF(ข้อมูลสูตร!$A25="","",ข้อมูลสูตร!Y25)</f>
        <v>0.65169230769230768</v>
      </c>
      <c r="Y28" s="48" t="str">
        <f>IF(ข้อมูลสูตร!$A25="","",ข้อมูลสูตร!Z25)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8" s="48" t="str">
        <f>ข้อมูลสูตร!$A25</f>
        <v>Cream Cheese|16 oz|75%</v>
      </c>
    </row>
    <row r="29" spans="1:26" x14ac:dyDescent="0.25">
      <c r="A29" s="4" t="str">
        <f>IF(ข้อมูลสูตร!$A26="","",ข้อมูลสูตร!B26)</f>
        <v>Cream Cheese</v>
      </c>
      <c r="B29" s="4" t="str">
        <f>IF(ข้อมูลสูตร!$A26="","",ข้อมูลสูตร!C26)</f>
        <v>16 oz</v>
      </c>
      <c r="C29" s="4" t="str">
        <f>IF(ข้อมูลสูตร!$A26="","",ข้อมูลสูตร!D26)</f>
        <v>100%</v>
      </c>
      <c r="D29" s="63">
        <f>IF(ข้อมูลสูตร!$A26="","",ข้อมูลสูตร!E26)</f>
        <v>120</v>
      </c>
      <c r="E29" s="63">
        <f>IF(ข้อมูลสูตร!$A26="","",ข้อมูลสูตร!F26)</f>
        <v>0</v>
      </c>
      <c r="F29" s="63">
        <f>IF(ข้อมูลสูตร!$A26="","",ข้อมูลสูตร!G26)</f>
        <v>0</v>
      </c>
      <c r="G29" s="63">
        <f>IF(ข้อมูลสูตร!$A26="","",ข้อมูลสูตร!H26)</f>
        <v>30</v>
      </c>
      <c r="H29" s="63">
        <f>IF(ข้อมูลสูตร!$A26="","",ข้อมูลสูตร!I26)</f>
        <v>28</v>
      </c>
      <c r="I29" s="63">
        <f>IF(ข้อมูลสูตร!$A26="","",ข้อมูลสูตร!J26)</f>
        <v>15.4</v>
      </c>
      <c r="J29" s="63">
        <f>IF(ข้อมูลสูตร!$A26="","",ข้อมูลสูตร!K26)</f>
        <v>0</v>
      </c>
      <c r="K29" s="63">
        <f>IF(ข้อมูลสูตร!$A26="","",ข้อมูลสูตร!L26)</f>
        <v>0</v>
      </c>
      <c r="L29" s="63">
        <f>IF(ข้อมูลสูตร!$A26="","",ข้อมูลสูตร!M26)</f>
        <v>0</v>
      </c>
      <c r="M29" s="63">
        <f>IF(ข้อมูลสูตร!$A26="","",ข้อมูลสูตร!N26)</f>
        <v>0</v>
      </c>
      <c r="N29" s="63">
        <f>IF(ข้อมูลสูตร!$A26="","",ข้อมูลสูตร!O26)</f>
        <v>0</v>
      </c>
      <c r="O29" s="63">
        <f>IF(ข้อมูลสูตร!$A26="","",ข้อมูลสูตร!P26)</f>
        <v>0</v>
      </c>
      <c r="P29" s="63">
        <f>IF(ข้อมูลสูตร!$A26="","",ข้อมูลสูตร!Q26)</f>
        <v>0</v>
      </c>
      <c r="Q29" s="63">
        <f>IF(ข้อมูลสูตร!$A26="","",ข้อมูลสูตร!R26)</f>
        <v>60</v>
      </c>
      <c r="R29" s="63">
        <f>IF(ข้อมูลสูตร!$A26="","",ข้อมูลสูตร!S26)</f>
        <v>200</v>
      </c>
      <c r="S29" s="63">
        <f>IF(ข้อมูลสูตร!$A26="","",ข้อมูลสูตร!T26)</f>
        <v>0</v>
      </c>
      <c r="T29" s="63">
        <f>IF(ข้อมูลสูตร!$A26="","",ข้อมูลสูตร!U26)</f>
        <v>0</v>
      </c>
      <c r="U29" s="64">
        <f>IF(ข้อมูลสูตร!$A26="","",ข้อมูลสูตร!V26)</f>
        <v>193.4</v>
      </c>
      <c r="V29" s="8">
        <f>IF(ข้อมูลสูตร!$A26="","",ข้อมูลสูตร!W26)</f>
        <v>23.12</v>
      </c>
      <c r="W29" s="64">
        <f>IF(ข้อมูลสูตร!$A26="","",ข้อมูลสูตร!X26)</f>
        <v>65</v>
      </c>
      <c r="X29" s="23">
        <f>IF(ข้อมูลสูตร!$A26="","",ข้อมูลสูตร!Y26)</f>
        <v>0.64430769230769225</v>
      </c>
      <c r="Y29" s="48" t="str">
        <f>IF(ข้อมูลสูตร!$A26="","",ข้อมูลสูตร!Z26)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9" s="48" t="str">
        <f>ข้อมูลสูตร!$A26</f>
        <v>Cream Cheese|16 oz|100%</v>
      </c>
    </row>
    <row r="30" spans="1:26" x14ac:dyDescent="0.25">
      <c r="A30" s="4" t="str">
        <f>IF(ข้อมูลสูตร!$A27="","",ข้อมูลสูตร!B27)</f>
        <v>Cream Cheese</v>
      </c>
      <c r="B30" s="4" t="str">
        <f>IF(ข้อมูลสูตร!$A27="","",ข้อมูลสูตร!C27)</f>
        <v>22 oz</v>
      </c>
      <c r="C30" s="4" t="str">
        <f>IF(ข้อมูลสูตร!$A27="","",ข้อมูลสูตร!D27)</f>
        <v>0%</v>
      </c>
      <c r="D30" s="63">
        <f>IF(ข้อมูลสูตร!$A27="","",ข้อมูลสูตร!E27)</f>
        <v>165</v>
      </c>
      <c r="E30" s="63">
        <f>IF(ข้อมูลสูตร!$A27="","",ข้อมูลสูตร!F27)</f>
        <v>0</v>
      </c>
      <c r="F30" s="63">
        <f>IF(ข้อมูลสูตร!$A27="","",ข้อมูลสูตร!G27)</f>
        <v>0</v>
      </c>
      <c r="G30" s="63">
        <f>IF(ข้อมูลสูตร!$A27="","",ข้อมูลสูตร!H27)</f>
        <v>41</v>
      </c>
      <c r="H30" s="63">
        <f>IF(ข้อมูลสูตร!$A27="","",ข้อมูลสูตร!I27)</f>
        <v>0</v>
      </c>
      <c r="I30" s="63">
        <f>IF(ข้อมูลสูตร!$A27="","",ข้อมูลสูตร!J27)</f>
        <v>0</v>
      </c>
      <c r="J30" s="63">
        <f>IF(ข้อมูลสูตร!$A27="","",ข้อมูลสูตร!K27)</f>
        <v>0</v>
      </c>
      <c r="K30" s="63">
        <f>IF(ข้อมูลสูตร!$A27="","",ข้อมูลสูตร!L27)</f>
        <v>0</v>
      </c>
      <c r="L30" s="63">
        <f>IF(ข้อมูลสูตร!$A27="","",ข้อมูลสูตร!M27)</f>
        <v>0</v>
      </c>
      <c r="M30" s="63">
        <f>IF(ข้อมูลสูตร!$A27="","",ข้อมูลสูตร!N27)</f>
        <v>0</v>
      </c>
      <c r="N30" s="63">
        <f>IF(ข้อมูลสูตร!$A27="","",ข้อมูลสูตร!O27)</f>
        <v>0</v>
      </c>
      <c r="O30" s="63">
        <f>IF(ข้อมูลสูตร!$A27="","",ข้อมูลสูตร!P27)</f>
        <v>0</v>
      </c>
      <c r="P30" s="63">
        <f>IF(ข้อมูลสูตร!$A27="","",ข้อมูลสูตร!Q27)</f>
        <v>0</v>
      </c>
      <c r="Q30" s="63">
        <f>IF(ข้อมูลสูตร!$A27="","",ข้อมูลสูตร!R27)</f>
        <v>82.5</v>
      </c>
      <c r="R30" s="63">
        <f>IF(ข้อมูลสูตร!$A27="","",ข้อมูลสูตร!S27)</f>
        <v>270</v>
      </c>
      <c r="S30" s="63">
        <f>IF(ข้อมูลสูตร!$A27="","",ข้อมูลสูตร!T27)</f>
        <v>0</v>
      </c>
      <c r="T30" s="63">
        <f>IF(ข้อมูลสูตร!$A27="","",ข้อมูลสูตร!U27)</f>
        <v>0</v>
      </c>
      <c r="U30" s="64">
        <f>IF(ข้อมูลสูตร!$A27="","",ข้อมูลสูตร!V27)</f>
        <v>206</v>
      </c>
      <c r="V30" s="8">
        <f>IF(ข้อมูลสูตร!$A27="","",ข้อมูลสูตร!W27)</f>
        <v>27.98</v>
      </c>
      <c r="W30" s="64">
        <f>IF(ข้อมูลสูตร!$A27="","",ข้อมูลสูตร!X27)</f>
        <v>79</v>
      </c>
      <c r="X30" s="23">
        <f>IF(ข้อมูลสูตร!$A27="","",ข้อมูลสูตร!Y27)</f>
        <v>0.64582278481012656</v>
      </c>
      <c r="Y30" s="48" t="str">
        <f>IF(ข้อมูลสูตร!$A27="","",ข้อมูลสูตร!Z27)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30" s="48" t="str">
        <f>ข้อมูลสูตร!$A27</f>
        <v>Cream Cheese|22 oz|0%</v>
      </c>
    </row>
    <row r="31" spans="1:26" x14ac:dyDescent="0.25">
      <c r="A31" s="4" t="str">
        <f>IF(ข้อมูลสูตร!$A28="","",ข้อมูลสูตร!B28)</f>
        <v>Cream Cheese</v>
      </c>
      <c r="B31" s="4" t="str">
        <f>IF(ข้อมูลสูตร!$A28="","",ข้อมูลสูตร!C28)</f>
        <v>22 oz</v>
      </c>
      <c r="C31" s="4" t="str">
        <f>IF(ข้อมูลสูตร!$A28="","",ข้อมูลสูตร!D28)</f>
        <v>25%</v>
      </c>
      <c r="D31" s="63">
        <f>IF(ข้อมูลสูตร!$A28="","",ข้อมูลสูตร!E28)</f>
        <v>165</v>
      </c>
      <c r="E31" s="63">
        <f>IF(ข้อมูลสูตร!$A28="","",ข้อมูลสูตร!F28)</f>
        <v>0</v>
      </c>
      <c r="F31" s="63">
        <f>IF(ข้อมูลสูตร!$A28="","",ข้อมูลสูตร!G28)</f>
        <v>0</v>
      </c>
      <c r="G31" s="63">
        <f>IF(ข้อมูลสูตร!$A28="","",ข้อมูลสูตร!H28)</f>
        <v>41</v>
      </c>
      <c r="H31" s="63">
        <f>IF(ข้อมูลสูตร!$A28="","",ข้อมูลสูตร!I28)</f>
        <v>9.5</v>
      </c>
      <c r="I31" s="63">
        <f>IF(ข้อมูลสูตร!$A28="","",ข้อมูลสูตร!J28)</f>
        <v>21.1</v>
      </c>
      <c r="J31" s="63">
        <f>IF(ข้อมูลสูตร!$A28="","",ข้อมูลสูตร!K28)</f>
        <v>0</v>
      </c>
      <c r="K31" s="63">
        <f>IF(ข้อมูลสูตร!$A28="","",ข้อมูลสูตร!L28)</f>
        <v>0</v>
      </c>
      <c r="L31" s="63">
        <f>IF(ข้อมูลสูตร!$A28="","",ข้อมูลสูตร!M28)</f>
        <v>0</v>
      </c>
      <c r="M31" s="63">
        <f>IF(ข้อมูลสูตร!$A28="","",ข้อมูลสูตร!N28)</f>
        <v>0</v>
      </c>
      <c r="N31" s="63">
        <f>IF(ข้อมูลสูตร!$A28="","",ข้อมูลสูตร!O28)</f>
        <v>0</v>
      </c>
      <c r="O31" s="63">
        <f>IF(ข้อมูลสูตร!$A28="","",ข้อมูลสูตร!P28)</f>
        <v>0</v>
      </c>
      <c r="P31" s="63">
        <f>IF(ข้อมูลสูตร!$A28="","",ข้อมูลสูตร!Q28)</f>
        <v>0</v>
      </c>
      <c r="Q31" s="63">
        <f>IF(ข้อมูลสูตร!$A28="","",ข้อมูลสูตร!R28)</f>
        <v>82.5</v>
      </c>
      <c r="R31" s="63">
        <f>IF(ข้อมูลสูตร!$A28="","",ข้อมูลสูตร!S28)</f>
        <v>270</v>
      </c>
      <c r="S31" s="63">
        <f>IF(ข้อมูลสูตร!$A28="","",ข้อมูลสูตร!T28)</f>
        <v>0</v>
      </c>
      <c r="T31" s="63">
        <f>IF(ข้อมูลสูตร!$A28="","",ข้อมูลสูตร!U28)</f>
        <v>0</v>
      </c>
      <c r="U31" s="64">
        <f>IF(ข้อมูลสูตร!$A28="","",ข้อมูลสูตร!V28)</f>
        <v>236.6</v>
      </c>
      <c r="V31" s="8">
        <f>IF(ข้อมูลสูตร!$A28="","",ข้อมูลสูตร!W28)</f>
        <v>29</v>
      </c>
      <c r="W31" s="64">
        <f>IF(ข้อมูลสูตร!$A28="","",ข้อมูลสูตร!X28)</f>
        <v>79</v>
      </c>
      <c r="X31" s="23">
        <f>IF(ข้อมูลสูตร!$A28="","",ข้อมูลสูตร!Y28)</f>
        <v>0.63291139240506333</v>
      </c>
      <c r="Y31" s="48" t="str">
        <f>IF(ข้อมูลสูตร!$A28="","",ข้อมูลสูตร!Z28)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1" s="48" t="str">
        <f>ข้อมูลสูตร!$A28</f>
        <v>Cream Cheese|22 oz|25%</v>
      </c>
    </row>
    <row r="32" spans="1:26" x14ac:dyDescent="0.25">
      <c r="A32" s="4" t="str">
        <f>IF(ข้อมูลสูตร!$A29="","",ข้อมูลสูตร!B29)</f>
        <v>Cream Cheese</v>
      </c>
      <c r="B32" s="4" t="str">
        <f>IF(ข้อมูลสูตร!$A29="","",ข้อมูลสูตร!C29)</f>
        <v>22 oz</v>
      </c>
      <c r="C32" s="4" t="str">
        <f>IF(ข้อมูลสูตร!$A29="","",ข้อมูลสูตร!D29)</f>
        <v>50%</v>
      </c>
      <c r="D32" s="63">
        <f>IF(ข้อมูลสูตร!$A29="","",ข้อมูลสูตร!E29)</f>
        <v>165</v>
      </c>
      <c r="E32" s="63">
        <f>IF(ข้อมูลสูตร!$A29="","",ข้อมูลสูตร!F29)</f>
        <v>0</v>
      </c>
      <c r="F32" s="63">
        <f>IF(ข้อมูลสูตร!$A29="","",ข้อมูลสูตร!G29)</f>
        <v>0</v>
      </c>
      <c r="G32" s="63">
        <f>IF(ข้อมูลสูตร!$A29="","",ข้อมูลสูตร!H29)</f>
        <v>41</v>
      </c>
      <c r="H32" s="63">
        <f>IF(ข้อมูลสูตร!$A29="","",ข้อมูลสูตร!I29)</f>
        <v>19</v>
      </c>
      <c r="I32" s="63">
        <f>IF(ข้อมูลสูตร!$A29="","",ข้อมูลสูตร!J29)</f>
        <v>21.1</v>
      </c>
      <c r="J32" s="63">
        <f>IF(ข้อมูลสูตร!$A29="","",ข้อมูลสูตร!K29)</f>
        <v>0</v>
      </c>
      <c r="K32" s="63">
        <f>IF(ข้อมูลสูตร!$A29="","",ข้อมูลสูตร!L29)</f>
        <v>0</v>
      </c>
      <c r="L32" s="63">
        <f>IF(ข้อมูลสูตร!$A29="","",ข้อมูลสูตร!M29)</f>
        <v>0</v>
      </c>
      <c r="M32" s="63">
        <f>IF(ข้อมูลสูตร!$A29="","",ข้อมูลสูตร!N29)</f>
        <v>0</v>
      </c>
      <c r="N32" s="63">
        <f>IF(ข้อมูลสูตร!$A29="","",ข้อมูลสูตร!O29)</f>
        <v>0</v>
      </c>
      <c r="O32" s="63">
        <f>IF(ข้อมูลสูตร!$A29="","",ข้อมูลสูตร!P29)</f>
        <v>0</v>
      </c>
      <c r="P32" s="63">
        <f>IF(ข้อมูลสูตร!$A29="","",ข้อมูลสูตร!Q29)</f>
        <v>0</v>
      </c>
      <c r="Q32" s="63">
        <f>IF(ข้อมูลสูตร!$A29="","",ข้อมูลสูตร!R29)</f>
        <v>82.5</v>
      </c>
      <c r="R32" s="63">
        <f>IF(ข้อมูลสูตร!$A29="","",ข้อมูลสูตร!S29)</f>
        <v>270</v>
      </c>
      <c r="S32" s="63">
        <f>IF(ข้อมูลสูตร!$A29="","",ข้อมูลสูตร!T29)</f>
        <v>0</v>
      </c>
      <c r="T32" s="63">
        <f>IF(ข้อมูลสูตร!$A29="","",ข้อมูลสูตร!U29)</f>
        <v>0</v>
      </c>
      <c r="U32" s="64">
        <f>IF(ข้อมูลสูตร!$A29="","",ข้อมูลสูตร!V29)</f>
        <v>246.1</v>
      </c>
      <c r="V32" s="8">
        <f>IF(ข้อมูลสูตร!$A29="","",ข้อมูลสูตร!W29)</f>
        <v>29.65</v>
      </c>
      <c r="W32" s="64">
        <f>IF(ข้อมูลสูตร!$A29="","",ข้อมูลสูตร!X29)</f>
        <v>79</v>
      </c>
      <c r="X32" s="23">
        <f>IF(ข้อมูลสูตร!$A29="","",ข้อมูลสูตร!Y29)</f>
        <v>0.62468354430379747</v>
      </c>
      <c r="Y32" s="48" t="str">
        <f>IF(ข้อมูลสูตร!$A29="","",ข้อมูลสูตร!Z29)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2" s="48" t="str">
        <f>ข้อมูลสูตร!$A29</f>
        <v>Cream Cheese|22 oz|50%</v>
      </c>
    </row>
    <row r="33" spans="1:26" x14ac:dyDescent="0.25">
      <c r="A33" s="4" t="str">
        <f>IF(ข้อมูลสูตร!$A30="","",ข้อมูลสูตร!B30)</f>
        <v>Cream Cheese</v>
      </c>
      <c r="B33" s="4" t="str">
        <f>IF(ข้อมูลสูตร!$A30="","",ข้อมูลสูตร!C30)</f>
        <v>22 oz</v>
      </c>
      <c r="C33" s="4" t="str">
        <f>IF(ข้อมูลสูตร!$A30="","",ข้อมูลสูตร!D30)</f>
        <v>75%</v>
      </c>
      <c r="D33" s="63">
        <f>IF(ข้อมูลสูตร!$A30="","",ข้อมูลสูตร!E30)</f>
        <v>165</v>
      </c>
      <c r="E33" s="63">
        <f>IF(ข้อมูลสูตร!$A30="","",ข้อมูลสูตร!F30)</f>
        <v>0</v>
      </c>
      <c r="F33" s="63">
        <f>IF(ข้อมูลสูตร!$A30="","",ข้อมูลสูตร!G30)</f>
        <v>0</v>
      </c>
      <c r="G33" s="63">
        <f>IF(ข้อมูลสูตร!$A30="","",ข้อมูลสูตร!H30)</f>
        <v>41</v>
      </c>
      <c r="H33" s="63">
        <f>IF(ข้อมูลสูตร!$A30="","",ข้อมูลสูตร!I30)</f>
        <v>29</v>
      </c>
      <c r="I33" s="63">
        <f>IF(ข้อมูลสูตร!$A30="","",ข้อมูลสูตร!J30)</f>
        <v>21.1</v>
      </c>
      <c r="J33" s="63">
        <f>IF(ข้อมูลสูตร!$A30="","",ข้อมูลสูตร!K30)</f>
        <v>0</v>
      </c>
      <c r="K33" s="63">
        <f>IF(ข้อมูลสูตร!$A30="","",ข้อมูลสูตร!L30)</f>
        <v>0</v>
      </c>
      <c r="L33" s="63">
        <f>IF(ข้อมูลสูตร!$A30="","",ข้อมูลสูตร!M30)</f>
        <v>0</v>
      </c>
      <c r="M33" s="63">
        <f>IF(ข้อมูลสูตร!$A30="","",ข้อมูลสูตร!N30)</f>
        <v>0</v>
      </c>
      <c r="N33" s="63">
        <f>IF(ข้อมูลสูตร!$A30="","",ข้อมูลสูตร!O30)</f>
        <v>0</v>
      </c>
      <c r="O33" s="63">
        <f>IF(ข้อมูลสูตร!$A30="","",ข้อมูลสูตร!P30)</f>
        <v>0</v>
      </c>
      <c r="P33" s="63">
        <f>IF(ข้อมูลสูตร!$A30="","",ข้อมูลสูตร!Q30)</f>
        <v>0</v>
      </c>
      <c r="Q33" s="63">
        <f>IF(ข้อมูลสูตร!$A30="","",ข้อมูลสูตร!R30)</f>
        <v>82.5</v>
      </c>
      <c r="R33" s="63">
        <f>IF(ข้อมูลสูตร!$A30="","",ข้อมูลสูตร!S30)</f>
        <v>270</v>
      </c>
      <c r="S33" s="63">
        <f>IF(ข้อมูลสูตร!$A30="","",ข้อมูลสูตร!T30)</f>
        <v>0</v>
      </c>
      <c r="T33" s="63">
        <f>IF(ข้อมูลสูตร!$A30="","",ข้อมูลสูตร!U30)</f>
        <v>0</v>
      </c>
      <c r="U33" s="64">
        <f>IF(ข้อมูลสูตร!$A30="","",ข้อมูลสูตร!V30)</f>
        <v>256.10000000000002</v>
      </c>
      <c r="V33" s="8">
        <f>IF(ข้อมูลสูตร!$A30="","",ข้อมูลสูตร!W30)</f>
        <v>30.35</v>
      </c>
      <c r="W33" s="64">
        <f>IF(ข้อมูลสูตร!$A30="","",ข้อมูลสูตร!X30)</f>
        <v>79</v>
      </c>
      <c r="X33" s="23">
        <f>IF(ข้อมูลสูตร!$A30="","",ข้อมูลสูตร!Y30)</f>
        <v>0.61582278481012653</v>
      </c>
      <c r="Y33" s="48" t="str">
        <f>IF(ข้อมูลสูตร!$A30="","",ข้อมูลสูตร!Z30)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3" s="48" t="str">
        <f>ข้อมูลสูตร!$A30</f>
        <v>Cream Cheese|22 oz|75%</v>
      </c>
    </row>
    <row r="34" spans="1:26" x14ac:dyDescent="0.25">
      <c r="A34" s="4" t="str">
        <f>IF(ข้อมูลสูตร!$A31="","",ข้อมูลสูตร!B31)</f>
        <v>Cream Cheese</v>
      </c>
      <c r="B34" s="4" t="str">
        <f>IF(ข้อมูลสูตร!$A31="","",ข้อมูลสูตร!C31)</f>
        <v>22 oz</v>
      </c>
      <c r="C34" s="4" t="str">
        <f>IF(ข้อมูลสูตร!$A31="","",ข้อมูลสูตร!D31)</f>
        <v>100%</v>
      </c>
      <c r="D34" s="63">
        <f>IF(ข้อมูลสูตร!$A31="","",ข้อมูลสูตร!E31)</f>
        <v>165</v>
      </c>
      <c r="E34" s="63">
        <f>IF(ข้อมูลสูตร!$A31="","",ข้อมูลสูตร!F31)</f>
        <v>0</v>
      </c>
      <c r="F34" s="63">
        <f>IF(ข้อมูลสูตร!$A31="","",ข้อมูลสูตร!G31)</f>
        <v>0</v>
      </c>
      <c r="G34" s="63">
        <f>IF(ข้อมูลสูตร!$A31="","",ข้อมูลสูตร!H31)</f>
        <v>41</v>
      </c>
      <c r="H34" s="63">
        <f>IF(ข้อมูลสูตร!$A31="","",ข้อมูลสูตร!I31)</f>
        <v>38.5</v>
      </c>
      <c r="I34" s="63">
        <f>IF(ข้อมูลสูตร!$A31="","",ข้อมูลสูตร!J31)</f>
        <v>21.1</v>
      </c>
      <c r="J34" s="63">
        <f>IF(ข้อมูลสูตร!$A31="","",ข้อมูลสูตร!K31)</f>
        <v>0</v>
      </c>
      <c r="K34" s="63">
        <f>IF(ข้อมูลสูตร!$A31="","",ข้อมูลสูตร!L31)</f>
        <v>0</v>
      </c>
      <c r="L34" s="63">
        <f>IF(ข้อมูลสูตร!$A31="","",ข้อมูลสูตร!M31)</f>
        <v>0</v>
      </c>
      <c r="M34" s="63">
        <f>IF(ข้อมูลสูตร!$A31="","",ข้อมูลสูตร!N31)</f>
        <v>0</v>
      </c>
      <c r="N34" s="63">
        <f>IF(ข้อมูลสูตร!$A31="","",ข้อมูลสูตร!O31)</f>
        <v>0</v>
      </c>
      <c r="O34" s="63">
        <f>IF(ข้อมูลสูตร!$A31="","",ข้อมูลสูตร!P31)</f>
        <v>0</v>
      </c>
      <c r="P34" s="63">
        <f>IF(ข้อมูลสูตร!$A31="","",ข้อมูลสูตร!Q31)</f>
        <v>0</v>
      </c>
      <c r="Q34" s="63">
        <f>IF(ข้อมูลสูตร!$A31="","",ข้อมูลสูตร!R31)</f>
        <v>82.5</v>
      </c>
      <c r="R34" s="63">
        <f>IF(ข้อมูลสูตร!$A31="","",ข้อมูลสูตร!S31)</f>
        <v>270</v>
      </c>
      <c r="S34" s="63">
        <f>IF(ข้อมูลสูตร!$A31="","",ข้อมูลสูตร!T31)</f>
        <v>0</v>
      </c>
      <c r="T34" s="63">
        <f>IF(ข้อมูลสูตร!$A31="","",ข้อมูลสูตร!U31)</f>
        <v>0</v>
      </c>
      <c r="U34" s="64">
        <f>IF(ข้อมูลสูตร!$A31="","",ข้อมูลสูตร!V31)</f>
        <v>265.60000000000002</v>
      </c>
      <c r="V34" s="8">
        <f>IF(ข้อมูลสูตร!$A31="","",ข้อมูลสูตร!W31)</f>
        <v>31.01</v>
      </c>
      <c r="W34" s="64">
        <f>IF(ข้อมูลสูตร!$A31="","",ข้อมูลสูตร!X31)</f>
        <v>79</v>
      </c>
      <c r="X34" s="23">
        <f>IF(ข้อมูลสูตร!$A31="","",ข้อมูลสูตร!Y31)</f>
        <v>0.60746835443037972</v>
      </c>
      <c r="Y34" s="48" t="str">
        <f>IF(ข้อมูลสูตร!$A31="","",ข้อมูลสูตร!Z31)</f>
        <v>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4" s="48" t="str">
        <f>ข้อมูลสูตร!$A31</f>
        <v>Cream Cheese|22 oz|100%</v>
      </c>
    </row>
    <row r="35" spans="1:26" x14ac:dyDescent="0.25">
      <c r="A35" s="4" t="str">
        <f>IF(ข้อมูลสูตร!$A32="","",ข้อมูลสูตร!B32)</f>
        <v>Whip Cheese</v>
      </c>
      <c r="B35" s="4" t="str">
        <f>IF(ข้อมูลสูตร!$A32="","",ข้อมูลสูตร!C32)</f>
        <v>16 oz</v>
      </c>
      <c r="C35" s="4" t="str">
        <f>IF(ข้อมูลสูตร!$A32="","",ข้อมูลสูตร!D32)</f>
        <v>0%</v>
      </c>
      <c r="D35" s="63">
        <f>IF(ข้อมูลสูตร!$A32="","",ข้อมูลสูตร!E32)</f>
        <v>115</v>
      </c>
      <c r="E35" s="63">
        <f>IF(ข้อมูลสูตร!$A32="","",ข้อมูลสูตร!F32)</f>
        <v>0</v>
      </c>
      <c r="F35" s="63">
        <f>IF(ข้อมูลสูตร!$A32="","",ข้อมูลสูตร!G32)</f>
        <v>50</v>
      </c>
      <c r="G35" s="63">
        <f>IF(ข้อมูลสูตร!$A32="","",ข้อมูลสูตร!H32)</f>
        <v>15</v>
      </c>
      <c r="H35" s="63">
        <f>IF(ข้อมูลสูตร!$A32="","",ข้อมูลสูตร!I32)</f>
        <v>0</v>
      </c>
      <c r="I35" s="63">
        <f>IF(ข้อมูลสูตร!$A32="","",ข้อมูลสูตร!J32)</f>
        <v>0</v>
      </c>
      <c r="J35" s="63">
        <f>IF(ข้อมูลสูตร!$A32="","",ข้อมูลสูตร!K32)</f>
        <v>0</v>
      </c>
      <c r="K35" s="63">
        <f>IF(ข้อมูลสูตร!$A32="","",ข้อมูลสูตร!L32)</f>
        <v>0</v>
      </c>
      <c r="L35" s="63">
        <f>IF(ข้อมูลสูตร!$A32="","",ข้อมูลสูตร!M32)</f>
        <v>0</v>
      </c>
      <c r="M35" s="63">
        <f>IF(ข้อมูลสูตร!$A32="","",ข้อมูลสูตร!N32)</f>
        <v>0</v>
      </c>
      <c r="N35" s="63">
        <f>IF(ข้อมูลสูตร!$A32="","",ข้อมูลสูตร!O32)</f>
        <v>0</v>
      </c>
      <c r="O35" s="63">
        <f>IF(ข้อมูลสูตร!$A32="","",ข้อมูลสูตร!P32)</f>
        <v>0</v>
      </c>
      <c r="P35" s="63">
        <f>IF(ข้อมูลสูตร!$A32="","",ข้อมูลสูตร!Q32)</f>
        <v>0</v>
      </c>
      <c r="Q35" s="63">
        <f>IF(ข้อมูลสูตร!$A32="","",ข้อมูลสูตร!R32)</f>
        <v>50</v>
      </c>
      <c r="R35" s="63">
        <f>IF(ข้อมูลสูตร!$A32="","",ข้อมูลสูตร!S32)</f>
        <v>200</v>
      </c>
      <c r="S35" s="63">
        <f>IF(ข้อมูลสูตร!$A32="","",ข้อมูลสูตร!T32)</f>
        <v>0</v>
      </c>
      <c r="T35" s="63">
        <f>IF(ข้อมูลสูตร!$A32="","",ข้อมูลสูตร!U32)</f>
        <v>0</v>
      </c>
      <c r="U35" s="64">
        <f>IF(ข้อมูลสูตร!$A32="","",ข้อมูลสูตร!V32)</f>
        <v>180</v>
      </c>
      <c r="V35" s="8">
        <f>IF(ข้อมูลสูตร!$A32="","",ข้อมูลสูตร!W32)</f>
        <v>20.53</v>
      </c>
      <c r="W35" s="64">
        <f>IF(ข้อมูลสูตร!$A32="","",ข้อมูลสูตร!X32)</f>
        <v>65</v>
      </c>
      <c r="X35" s="23">
        <f>IF(ข้อมูลสูตร!$A32="","",ข้อมูลสูตร!Y32)</f>
        <v>0.68415384615384611</v>
      </c>
      <c r="Y35" s="48" t="str">
        <f>IF(ข้อมูลสูตร!$A32="","",ข้อมูลสูตร!Z32)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35" s="48" t="str">
        <f>ข้อมูลสูตร!$A32</f>
        <v>Whip Cheese|16 oz|0%</v>
      </c>
    </row>
    <row r="36" spans="1:26" x14ac:dyDescent="0.25">
      <c r="A36" s="4" t="str">
        <f>IF(ข้อมูลสูตร!$A33="","",ข้อมูลสูตร!B33)</f>
        <v>Whip Cheese</v>
      </c>
      <c r="B36" s="4" t="str">
        <f>IF(ข้อมูลสูตร!$A33="","",ข้อมูลสูตร!C33)</f>
        <v>16 oz</v>
      </c>
      <c r="C36" s="4" t="str">
        <f>IF(ข้อมูลสูตร!$A33="","",ข้อมูลสูตร!D33)</f>
        <v>25%</v>
      </c>
      <c r="D36" s="63">
        <f>IF(ข้อมูลสูตร!$A33="","",ข้อมูลสูตร!E33)</f>
        <v>115</v>
      </c>
      <c r="E36" s="63">
        <f>IF(ข้อมูลสูตร!$A33="","",ข้อมูลสูตร!F33)</f>
        <v>0</v>
      </c>
      <c r="F36" s="63">
        <f>IF(ข้อมูลสูตร!$A33="","",ข้อมูลสูตร!G33)</f>
        <v>50</v>
      </c>
      <c r="G36" s="63">
        <f>IF(ข้อมูลสูตร!$A33="","",ข้อมูลสูตร!H33)</f>
        <v>15</v>
      </c>
      <c r="H36" s="63">
        <f>IF(ข้อมูลสูตร!$A33="","",ข้อมูลสูตร!I33)</f>
        <v>0</v>
      </c>
      <c r="I36" s="63">
        <f>IF(ข้อมูลสูตร!$A33="","",ข้อมูลสูตร!J33)</f>
        <v>19.7</v>
      </c>
      <c r="J36" s="63">
        <f>IF(ข้อมูลสูตร!$A33="","",ข้อมูลสูตร!K33)</f>
        <v>0</v>
      </c>
      <c r="K36" s="63">
        <f>IF(ข้อมูลสูตร!$A33="","",ข้อมูลสูตร!L33)</f>
        <v>0</v>
      </c>
      <c r="L36" s="63">
        <f>IF(ข้อมูลสูตร!$A33="","",ข้อมูลสูตร!M33)</f>
        <v>0</v>
      </c>
      <c r="M36" s="63">
        <f>IF(ข้อมูลสูตร!$A33="","",ข้อมูลสูตร!N33)</f>
        <v>0</v>
      </c>
      <c r="N36" s="63">
        <f>IF(ข้อมูลสูตร!$A33="","",ข้อมูลสูตร!O33)</f>
        <v>0</v>
      </c>
      <c r="O36" s="63">
        <f>IF(ข้อมูลสูตร!$A33="","",ข้อมูลสูตร!P33)</f>
        <v>0</v>
      </c>
      <c r="P36" s="63">
        <f>IF(ข้อมูลสูตร!$A33="","",ข้อมูลสูตร!Q33)</f>
        <v>0</v>
      </c>
      <c r="Q36" s="63">
        <f>IF(ข้อมูลสูตร!$A33="","",ข้อมูลสูตร!R33)</f>
        <v>50</v>
      </c>
      <c r="R36" s="63">
        <f>IF(ข้อมูลสูตร!$A33="","",ข้อมูลสูตร!S33)</f>
        <v>200</v>
      </c>
      <c r="S36" s="63">
        <f>IF(ข้อมูลสูตร!$A33="","",ข้อมูลสูตร!T33)</f>
        <v>0</v>
      </c>
      <c r="T36" s="63">
        <f>IF(ข้อมูลสูตร!$A33="","",ข้อมูลสูตร!U33)</f>
        <v>0</v>
      </c>
      <c r="U36" s="64">
        <f>IF(ข้อมูลสูตร!$A33="","",ข้อมูลสูตร!V33)</f>
        <v>199.7</v>
      </c>
      <c r="V36" s="8">
        <f>IF(ข้อมูลสูตร!$A33="","",ข้อมูลสูตร!W33)</f>
        <v>20.86</v>
      </c>
      <c r="W36" s="64">
        <f>IF(ข้อมูลสูตร!$A33="","",ข้อมูลสูตร!X33)</f>
        <v>65</v>
      </c>
      <c r="X36" s="23">
        <f>IF(ข้อมูลสูตร!$A33="","",ข้อมูลสูตร!Y33)</f>
        <v>0.67907692307692313</v>
      </c>
      <c r="Y36" s="48" t="str">
        <f>IF(ข้อมูลสูตร!$A33="","",ข้อมูลสูตร!Z33)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6" s="48" t="str">
        <f>ข้อมูลสูตร!$A33</f>
        <v>Whip Cheese|16 oz|25%</v>
      </c>
    </row>
    <row r="37" spans="1:26" x14ac:dyDescent="0.25">
      <c r="A37" s="4" t="str">
        <f>IF(ข้อมูลสูตร!$A34="","",ข้อมูลสูตร!B34)</f>
        <v>Whip Cheese</v>
      </c>
      <c r="B37" s="4" t="str">
        <f>IF(ข้อมูลสูตร!$A34="","",ข้อมูลสูตร!C34)</f>
        <v>16 oz</v>
      </c>
      <c r="C37" s="4" t="str">
        <f>IF(ข้อมูลสูตร!$A34="","",ข้อมูลสูตร!D34)</f>
        <v>50%</v>
      </c>
      <c r="D37" s="63">
        <f>IF(ข้อมูลสูตร!$A34="","",ข้อมูลสูตร!E34)</f>
        <v>115</v>
      </c>
      <c r="E37" s="63">
        <f>IF(ข้อมูลสูตร!$A34="","",ข้อมูลสูตร!F34)</f>
        <v>0</v>
      </c>
      <c r="F37" s="63">
        <f>IF(ข้อมูลสูตร!$A34="","",ข้อมูลสูตร!G34)</f>
        <v>50</v>
      </c>
      <c r="G37" s="63">
        <f>IF(ข้อมูลสูตร!$A34="","",ข้อมูลสูตร!H34)</f>
        <v>15</v>
      </c>
      <c r="H37" s="63">
        <f>IF(ข้อมูลสูตร!$A34="","",ข้อมูลสูตร!I34)</f>
        <v>0</v>
      </c>
      <c r="I37" s="63">
        <f>IF(ข้อมูลสูตร!$A34="","",ข้อมูลสูตร!J34)</f>
        <v>24.7</v>
      </c>
      <c r="J37" s="63">
        <f>IF(ข้อมูลสูตร!$A34="","",ข้อมูลสูตร!K34)</f>
        <v>0</v>
      </c>
      <c r="K37" s="63">
        <f>IF(ข้อมูลสูตร!$A34="","",ข้อมูลสูตร!L34)</f>
        <v>0</v>
      </c>
      <c r="L37" s="63">
        <f>IF(ข้อมูลสูตร!$A34="","",ข้อมูลสูตร!M34)</f>
        <v>0</v>
      </c>
      <c r="M37" s="63">
        <f>IF(ข้อมูลสูตร!$A34="","",ข้อมูลสูตร!N34)</f>
        <v>0</v>
      </c>
      <c r="N37" s="63">
        <f>IF(ข้อมูลสูตร!$A34="","",ข้อมูลสูตร!O34)</f>
        <v>0</v>
      </c>
      <c r="O37" s="63">
        <f>IF(ข้อมูลสูตร!$A34="","",ข้อมูลสูตร!P34)</f>
        <v>0</v>
      </c>
      <c r="P37" s="63">
        <f>IF(ข้อมูลสูตร!$A34="","",ข้อมูลสูตร!Q34)</f>
        <v>0</v>
      </c>
      <c r="Q37" s="63">
        <f>IF(ข้อมูลสูตร!$A34="","",ข้อมูลสูตร!R34)</f>
        <v>50</v>
      </c>
      <c r="R37" s="63">
        <f>IF(ข้อมูลสูตร!$A34="","",ข้อมูลสูตร!S34)</f>
        <v>200</v>
      </c>
      <c r="S37" s="63">
        <f>IF(ข้อมูลสูตร!$A34="","",ข้อมูลสูตร!T34)</f>
        <v>0</v>
      </c>
      <c r="T37" s="63">
        <f>IF(ข้อมูลสูตร!$A34="","",ข้อมูลสูตร!U34)</f>
        <v>0</v>
      </c>
      <c r="U37" s="64">
        <f>IF(ข้อมูลสูตร!$A34="","",ข้อมูลสูตร!V34)</f>
        <v>204.7</v>
      </c>
      <c r="V37" s="8">
        <f>IF(ข้อมูลสูตร!$A34="","",ข้อมูลสูตร!W34)</f>
        <v>20.94</v>
      </c>
      <c r="W37" s="64">
        <f>IF(ข้อมูลสูตร!$A34="","",ข้อมูลสูตร!X34)</f>
        <v>65</v>
      </c>
      <c r="X37" s="23">
        <f>IF(ข้อมูลสูตร!$A34="","",ข้อมูลสูตร!Y34)</f>
        <v>0.67784615384615388</v>
      </c>
      <c r="Y37" s="48" t="str">
        <f>IF(ข้อมูลสูตร!$A34="","",ข้อมูลสูตร!Z34)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7" s="48" t="str">
        <f>ข้อมูลสูตร!$A34</f>
        <v>Whip Cheese|16 oz|50%</v>
      </c>
    </row>
    <row r="38" spans="1:26" x14ac:dyDescent="0.25">
      <c r="A38" s="4" t="str">
        <f>IF(ข้อมูลสูตร!$A35="","",ข้อมูลสูตร!B35)</f>
        <v>Whip Cheese</v>
      </c>
      <c r="B38" s="4" t="str">
        <f>IF(ข้อมูลสูตร!$A35="","",ข้อมูลสูตร!C35)</f>
        <v>16 oz</v>
      </c>
      <c r="C38" s="4" t="str">
        <f>IF(ข้อมูลสูตร!$A35="","",ข้อมูลสูตร!D35)</f>
        <v>75%</v>
      </c>
      <c r="D38" s="63">
        <f>IF(ข้อมูลสูตร!$A35="","",ข้อมูลสูตร!E35)</f>
        <v>115</v>
      </c>
      <c r="E38" s="63">
        <f>IF(ข้อมูลสูตร!$A35="","",ข้อมูลสูตร!F35)</f>
        <v>0</v>
      </c>
      <c r="F38" s="63">
        <f>IF(ข้อมูลสูตร!$A35="","",ข้อมูลสูตร!G35)</f>
        <v>50</v>
      </c>
      <c r="G38" s="63">
        <f>IF(ข้อมูลสูตร!$A35="","",ข้อมูลสูตร!H35)</f>
        <v>15</v>
      </c>
      <c r="H38" s="63">
        <f>IF(ข้อมูลสูตร!$A35="","",ข้อมูลสูตร!I35)</f>
        <v>0</v>
      </c>
      <c r="I38" s="63">
        <f>IF(ข้อมูลสูตร!$A35="","",ข้อมูลสูตร!J35)</f>
        <v>29.7</v>
      </c>
      <c r="J38" s="63">
        <f>IF(ข้อมูลสูตร!$A35="","",ข้อมูลสูตร!K35)</f>
        <v>0</v>
      </c>
      <c r="K38" s="63">
        <f>IF(ข้อมูลสูตร!$A35="","",ข้อมูลสูตร!L35)</f>
        <v>0</v>
      </c>
      <c r="L38" s="63">
        <f>IF(ข้อมูลสูตร!$A35="","",ข้อมูลสูตร!M35)</f>
        <v>0</v>
      </c>
      <c r="M38" s="63">
        <f>IF(ข้อมูลสูตร!$A35="","",ข้อมูลสูตร!N35)</f>
        <v>0</v>
      </c>
      <c r="N38" s="63">
        <f>IF(ข้อมูลสูตร!$A35="","",ข้อมูลสูตร!O35)</f>
        <v>0</v>
      </c>
      <c r="O38" s="63">
        <f>IF(ข้อมูลสูตร!$A35="","",ข้อมูลสูตร!P35)</f>
        <v>0</v>
      </c>
      <c r="P38" s="63">
        <f>IF(ข้อมูลสูตร!$A35="","",ข้อมูลสูตร!Q35)</f>
        <v>0</v>
      </c>
      <c r="Q38" s="63">
        <f>IF(ข้อมูลสูตร!$A35="","",ข้อมูลสูตร!R35)</f>
        <v>50</v>
      </c>
      <c r="R38" s="63">
        <f>IF(ข้อมูลสูตร!$A35="","",ข้อมูลสูตร!S35)</f>
        <v>200</v>
      </c>
      <c r="S38" s="63">
        <f>IF(ข้อมูลสูตร!$A35="","",ข้อมูลสูตร!T35)</f>
        <v>0</v>
      </c>
      <c r="T38" s="63">
        <f>IF(ข้อมูลสูตร!$A35="","",ข้อมูลสูตร!U35)</f>
        <v>0</v>
      </c>
      <c r="U38" s="64">
        <f>IF(ข้อมูลสูตร!$A35="","",ข้อมูลสูตร!V35)</f>
        <v>209.7</v>
      </c>
      <c r="V38" s="8">
        <f>IF(ข้อมูลสูตร!$A35="","",ข้อมูลสูตร!W35)</f>
        <v>21.03</v>
      </c>
      <c r="W38" s="64">
        <f>IF(ข้อมูลสูตร!$A35="","",ข้อมูลสูตร!X35)</f>
        <v>65</v>
      </c>
      <c r="X38" s="23">
        <f>IF(ข้อมูลสูตร!$A35="","",ข้อมูลสูตร!Y35)</f>
        <v>0.67646153846153845</v>
      </c>
      <c r="Y38" s="48" t="str">
        <f>IF(ข้อมูลสูตร!$A35="","",ข้อมูลสูตร!Z35)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8" s="48" t="str">
        <f>ข้อมูลสูตร!$A35</f>
        <v>Whip Cheese|16 oz|75%</v>
      </c>
    </row>
    <row r="39" spans="1:26" x14ac:dyDescent="0.25">
      <c r="A39" s="4" t="str">
        <f>IF(ข้อมูลสูตร!$A36="","",ข้อมูลสูตร!B36)</f>
        <v>Whip Cheese</v>
      </c>
      <c r="B39" s="4" t="str">
        <f>IF(ข้อมูลสูตร!$A36="","",ข้อมูลสูตร!C36)</f>
        <v>16 oz</v>
      </c>
      <c r="C39" s="4" t="str">
        <f>IF(ข้อมูลสูตร!$A36="","",ข้อมูลสูตร!D36)</f>
        <v>100%</v>
      </c>
      <c r="D39" s="63">
        <f>IF(ข้อมูลสูตร!$A36="","",ข้อมูลสูตร!E36)</f>
        <v>115</v>
      </c>
      <c r="E39" s="63">
        <f>IF(ข้อมูลสูตร!$A36="","",ข้อมูลสูตร!F36)</f>
        <v>0</v>
      </c>
      <c r="F39" s="63">
        <f>IF(ข้อมูลสูตร!$A36="","",ข้อมูลสูตร!G36)</f>
        <v>50</v>
      </c>
      <c r="G39" s="63">
        <f>IF(ข้อมูลสูตร!$A36="","",ข้อมูลสูตร!H36)</f>
        <v>15</v>
      </c>
      <c r="H39" s="63">
        <f>IF(ข้อมูลสูตร!$A36="","",ข้อมูลสูตร!I36)</f>
        <v>0</v>
      </c>
      <c r="I39" s="63">
        <f>IF(ข้อมูลสูตร!$A36="","",ข้อมูลสูตร!J36)</f>
        <v>34.700000000000003</v>
      </c>
      <c r="J39" s="63">
        <f>IF(ข้อมูลสูตร!$A36="","",ข้อมูลสูตร!K36)</f>
        <v>0</v>
      </c>
      <c r="K39" s="63">
        <f>IF(ข้อมูลสูตร!$A36="","",ข้อมูลสูตร!L36)</f>
        <v>0</v>
      </c>
      <c r="L39" s="63">
        <f>IF(ข้อมูลสูตร!$A36="","",ข้อมูลสูตร!M36)</f>
        <v>0</v>
      </c>
      <c r="M39" s="63">
        <f>IF(ข้อมูลสูตร!$A36="","",ข้อมูลสูตร!N36)</f>
        <v>0</v>
      </c>
      <c r="N39" s="63">
        <f>IF(ข้อมูลสูตร!$A36="","",ข้อมูลสูตร!O36)</f>
        <v>0</v>
      </c>
      <c r="O39" s="63">
        <f>IF(ข้อมูลสูตร!$A36="","",ข้อมูลสูตร!P36)</f>
        <v>0</v>
      </c>
      <c r="P39" s="63">
        <f>IF(ข้อมูลสูตร!$A36="","",ข้อมูลสูตร!Q36)</f>
        <v>0</v>
      </c>
      <c r="Q39" s="63">
        <f>IF(ข้อมูลสูตร!$A36="","",ข้อมูลสูตร!R36)</f>
        <v>50</v>
      </c>
      <c r="R39" s="63">
        <f>IF(ข้อมูลสูตร!$A36="","",ข้อมูลสูตร!S36)</f>
        <v>200</v>
      </c>
      <c r="S39" s="63">
        <f>IF(ข้อมูลสูตร!$A36="","",ข้อมูลสูตร!T36)</f>
        <v>0</v>
      </c>
      <c r="T39" s="63">
        <f>IF(ข้อมูลสูตร!$A36="","",ข้อมูลสูตร!U36)</f>
        <v>0</v>
      </c>
      <c r="U39" s="64">
        <f>IF(ข้อมูลสูตร!$A36="","",ข้อมูลสูตร!V36)</f>
        <v>214.7</v>
      </c>
      <c r="V39" s="8">
        <f>IF(ข้อมูลสูตร!$A36="","",ข้อมูลสูตร!W36)</f>
        <v>21.11</v>
      </c>
      <c r="W39" s="64">
        <f>IF(ข้อมูลสูตร!$A36="","",ข้อมูลสูตร!X36)</f>
        <v>65</v>
      </c>
      <c r="X39" s="23">
        <f>IF(ข้อมูลสูตร!$A36="","",ข้อมูลสูตร!Y36)</f>
        <v>0.67523076923076919</v>
      </c>
      <c r="Y39" s="48" t="str">
        <f>IF(ข้อมูลสูตร!$A36="","",ข้อมูลสูตร!Z36)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39" s="48" t="str">
        <f>ข้อมูลสูตร!$A36</f>
        <v>Whip Cheese|16 oz|100%</v>
      </c>
    </row>
    <row r="40" spans="1:26" x14ac:dyDescent="0.25">
      <c r="A40" s="4" t="str">
        <f>IF(ข้อมูลสูตร!$A37="","",ข้อมูลสูตร!B37)</f>
        <v>Whip Cheese</v>
      </c>
      <c r="B40" s="4" t="str">
        <f>IF(ข้อมูลสูตร!$A37="","",ข้อมูลสูตร!C37)</f>
        <v>22 oz</v>
      </c>
      <c r="C40" s="4" t="str">
        <f>IF(ข้อมูลสูตร!$A37="","",ข้อมูลสูตร!D37)</f>
        <v>0%</v>
      </c>
      <c r="D40" s="63">
        <f>IF(ข้อมูลสูตร!$A37="","",ข้อมูลสูตร!E37)</f>
        <v>158</v>
      </c>
      <c r="E40" s="63">
        <f>IF(ข้อมูลสูตร!$A37="","",ข้อมูลสูตร!F37)</f>
        <v>0</v>
      </c>
      <c r="F40" s="63">
        <f>IF(ข้อมูลสูตร!$A37="","",ข้อมูลสูตร!G37)</f>
        <v>69</v>
      </c>
      <c r="G40" s="63">
        <f>IF(ข้อมูลสูตร!$A37="","",ข้อมูลสูตร!H37)</f>
        <v>20.5</v>
      </c>
      <c r="H40" s="63">
        <f>IF(ข้อมูลสูตร!$A37="","",ข้อมูลสูตร!I37)</f>
        <v>0</v>
      </c>
      <c r="I40" s="63">
        <f>IF(ข้อมูลสูตร!$A37="","",ข้อมูลสูตร!J37)</f>
        <v>0</v>
      </c>
      <c r="J40" s="63">
        <f>IF(ข้อมูลสูตร!$A37="","",ข้อมูลสูตร!K37)</f>
        <v>0</v>
      </c>
      <c r="K40" s="63">
        <f>IF(ข้อมูลสูตร!$A37="","",ข้อมูลสูตร!L37)</f>
        <v>0</v>
      </c>
      <c r="L40" s="63">
        <f>IF(ข้อมูลสูตร!$A37="","",ข้อมูลสูตร!M37)</f>
        <v>0</v>
      </c>
      <c r="M40" s="63">
        <f>IF(ข้อมูลสูตร!$A37="","",ข้อมูลสูตร!N37)</f>
        <v>0</v>
      </c>
      <c r="N40" s="63">
        <f>IF(ข้อมูลสูตร!$A37="","",ข้อมูลสูตร!O37)</f>
        <v>0</v>
      </c>
      <c r="O40" s="63">
        <f>IF(ข้อมูลสูตร!$A37="","",ข้อมูลสูตร!P37)</f>
        <v>0</v>
      </c>
      <c r="P40" s="63">
        <f>IF(ข้อมูลสูตร!$A37="","",ข้อมูลสูตร!Q37)</f>
        <v>0</v>
      </c>
      <c r="Q40" s="63">
        <f>IF(ข้อมูลสูตร!$A37="","",ข้อมูลสูตร!R37)</f>
        <v>69</v>
      </c>
      <c r="R40" s="63">
        <f>IF(ข้อมูลสูตร!$A37="","",ข้อมูลสูตร!S37)</f>
        <v>270</v>
      </c>
      <c r="S40" s="63">
        <f>IF(ข้อมูลสูตร!$A37="","",ข้อมูลสูตร!T37)</f>
        <v>0</v>
      </c>
      <c r="T40" s="63">
        <f>IF(ข้อมูลสูตร!$A37="","",ข้อมูลสูตร!U37)</f>
        <v>0</v>
      </c>
      <c r="U40" s="64">
        <f>IF(ข้อมูลสูตร!$A37="","",ข้อมูลสูตร!V37)</f>
        <v>247.5</v>
      </c>
      <c r="V40" s="8">
        <f>IF(ข้อมูลสูตร!$A37="","",ข้อมูลสูตร!W37)</f>
        <v>27.5</v>
      </c>
      <c r="W40" s="64">
        <f>IF(ข้อมูลสูตร!$A37="","",ข้อมูลสูตร!X37)</f>
        <v>75</v>
      </c>
      <c r="X40" s="23">
        <f>IF(ข้อมูลสูตร!$A37="","",ข้อมูลสูตร!Y37)</f>
        <v>0.6333333333333333</v>
      </c>
      <c r="Y40" s="48" t="str">
        <f>IF(ข้อมูลสูตร!$A37="","",ข้อมูลสูตร!Z37)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40" s="48" t="str">
        <f>ข้อมูลสูตร!$A37</f>
        <v>Whip Cheese|22 oz|0%</v>
      </c>
    </row>
    <row r="41" spans="1:26" x14ac:dyDescent="0.25">
      <c r="A41" s="4" t="str">
        <f>IF(ข้อมูลสูตร!$A38="","",ข้อมูลสูตร!B38)</f>
        <v>Whip Cheese</v>
      </c>
      <c r="B41" s="4" t="str">
        <f>IF(ข้อมูลสูตร!$A38="","",ข้อมูลสูตร!C38)</f>
        <v>22 oz</v>
      </c>
      <c r="C41" s="4" t="str">
        <f>IF(ข้อมูลสูตร!$A38="","",ข้อมูลสูตร!D38)</f>
        <v>25%</v>
      </c>
      <c r="D41" s="63">
        <f>IF(ข้อมูลสูตร!$A38="","",ข้อมูลสูตร!E38)</f>
        <v>158</v>
      </c>
      <c r="E41" s="63">
        <f>IF(ข้อมูลสูตร!$A38="","",ข้อมูลสูตร!F38)</f>
        <v>0</v>
      </c>
      <c r="F41" s="63">
        <f>IF(ข้อมูลสูตร!$A38="","",ข้อมูลสูตร!G38)</f>
        <v>69</v>
      </c>
      <c r="G41" s="63">
        <f>IF(ข้อมูลสูตร!$A38="","",ข้อมูลสูตร!H38)</f>
        <v>20.5</v>
      </c>
      <c r="H41" s="63">
        <f>IF(ข้อมูลสูตร!$A38="","",ข้อมูลสูตร!I38)</f>
        <v>0</v>
      </c>
      <c r="I41" s="63">
        <f>IF(ข้อมูลสูตร!$A38="","",ข้อมูลสูตร!J38)</f>
        <v>27.2</v>
      </c>
      <c r="J41" s="63">
        <f>IF(ข้อมูลสูตร!$A38="","",ข้อมูลสูตร!K38)</f>
        <v>0</v>
      </c>
      <c r="K41" s="63">
        <f>IF(ข้อมูลสูตร!$A38="","",ข้อมูลสูตร!L38)</f>
        <v>0</v>
      </c>
      <c r="L41" s="63">
        <f>IF(ข้อมูลสูตร!$A38="","",ข้อมูลสูตร!M38)</f>
        <v>0</v>
      </c>
      <c r="M41" s="63">
        <f>IF(ข้อมูลสูตร!$A38="","",ข้อมูลสูตร!N38)</f>
        <v>0</v>
      </c>
      <c r="N41" s="63">
        <f>IF(ข้อมูลสูตร!$A38="","",ข้อมูลสูตร!O38)</f>
        <v>0</v>
      </c>
      <c r="O41" s="63">
        <f>IF(ข้อมูลสูตร!$A38="","",ข้อมูลสูตร!P38)</f>
        <v>0</v>
      </c>
      <c r="P41" s="63">
        <f>IF(ข้อมูลสูตร!$A38="","",ข้อมูลสูตร!Q38)</f>
        <v>0</v>
      </c>
      <c r="Q41" s="63">
        <f>IF(ข้อมูลสูตร!$A38="","",ข้อมูลสูตร!R38)</f>
        <v>69</v>
      </c>
      <c r="R41" s="63">
        <f>IF(ข้อมูลสูตร!$A38="","",ข้อมูลสูตร!S38)</f>
        <v>270</v>
      </c>
      <c r="S41" s="63">
        <f>IF(ข้อมูลสูตร!$A38="","",ข้อมูลสูตร!T38)</f>
        <v>0</v>
      </c>
      <c r="T41" s="63">
        <f>IF(ข้อมูลสูตร!$A38="","",ข้อมูลสูตร!U38)</f>
        <v>0</v>
      </c>
      <c r="U41" s="64">
        <f>IF(ข้อมูลสูตร!$A38="","",ข้อมูลสูตร!V38)</f>
        <v>274.7</v>
      </c>
      <c r="V41" s="8">
        <f>IF(ข้อมูลสูตร!$A38="","",ข้อมูลสูตร!W38)</f>
        <v>27.96</v>
      </c>
      <c r="W41" s="64">
        <f>IF(ข้อมูลสูตร!$A38="","",ข้อมูลสูตร!X38)</f>
        <v>75</v>
      </c>
      <c r="X41" s="23">
        <f>IF(ข้อมูลสูตร!$A38="","",ข้อมูลสูตร!Y38)</f>
        <v>0.62719999999999998</v>
      </c>
      <c r="Y41" s="48" t="str">
        <f>IF(ข้อมูลสูตร!$A38="","",ข้อมูลสูตร!Z38)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1" s="48" t="str">
        <f>ข้อมูลสูตร!$A38</f>
        <v>Whip Cheese|22 oz|25%</v>
      </c>
    </row>
    <row r="42" spans="1:26" x14ac:dyDescent="0.25">
      <c r="A42" s="4" t="str">
        <f>IF(ข้อมูลสูตร!$A39="","",ข้อมูลสูตร!B39)</f>
        <v>Whip Cheese</v>
      </c>
      <c r="B42" s="4" t="str">
        <f>IF(ข้อมูลสูตร!$A39="","",ข้อมูลสูตร!C39)</f>
        <v>22 oz</v>
      </c>
      <c r="C42" s="4" t="str">
        <f>IF(ข้อมูลสูตร!$A39="","",ข้อมูลสูตร!D39)</f>
        <v>50%</v>
      </c>
      <c r="D42" s="63">
        <f>IF(ข้อมูลสูตร!$A39="","",ข้อมูลสูตร!E39)</f>
        <v>158</v>
      </c>
      <c r="E42" s="63">
        <f>IF(ข้อมูลสูตร!$A39="","",ข้อมูลสูตร!F39)</f>
        <v>0</v>
      </c>
      <c r="F42" s="63">
        <f>IF(ข้อมูลสูตร!$A39="","",ข้อมูลสูตร!G39)</f>
        <v>69</v>
      </c>
      <c r="G42" s="63">
        <f>IF(ข้อมูลสูตร!$A39="","",ข้อมูลสูตร!H39)</f>
        <v>20.5</v>
      </c>
      <c r="H42" s="63">
        <f>IF(ข้อมูลสูตร!$A39="","",ข้อมูลสูตร!I39)</f>
        <v>0</v>
      </c>
      <c r="I42" s="63">
        <f>IF(ข้อมูลสูตร!$A39="","",ข้อมูลสูตร!J39)</f>
        <v>34.200000000000003</v>
      </c>
      <c r="J42" s="63">
        <f>IF(ข้อมูลสูตร!$A39="","",ข้อมูลสูตร!K39)</f>
        <v>0</v>
      </c>
      <c r="K42" s="63">
        <f>IF(ข้อมูลสูตร!$A39="","",ข้อมูลสูตร!L39)</f>
        <v>0</v>
      </c>
      <c r="L42" s="63">
        <f>IF(ข้อมูลสูตร!$A39="","",ข้อมูลสูตร!M39)</f>
        <v>0</v>
      </c>
      <c r="M42" s="63">
        <f>IF(ข้อมูลสูตร!$A39="","",ข้อมูลสูตร!N39)</f>
        <v>0</v>
      </c>
      <c r="N42" s="63">
        <f>IF(ข้อมูลสูตร!$A39="","",ข้อมูลสูตร!O39)</f>
        <v>0</v>
      </c>
      <c r="O42" s="63">
        <f>IF(ข้อมูลสูตร!$A39="","",ข้อมูลสูตร!P39)</f>
        <v>0</v>
      </c>
      <c r="P42" s="63">
        <f>IF(ข้อมูลสูตร!$A39="","",ข้อมูลสูตร!Q39)</f>
        <v>0</v>
      </c>
      <c r="Q42" s="63">
        <f>IF(ข้อมูลสูตร!$A39="","",ข้อมูลสูตร!R39)</f>
        <v>69</v>
      </c>
      <c r="R42" s="63">
        <f>IF(ข้อมูลสูตร!$A39="","",ข้อมูลสูตร!S39)</f>
        <v>270</v>
      </c>
      <c r="S42" s="63">
        <f>IF(ข้อมูลสูตร!$A39="","",ข้อมูลสูตร!T39)</f>
        <v>0</v>
      </c>
      <c r="T42" s="63">
        <f>IF(ข้อมูลสูตร!$A39="","",ข้อมูลสูตร!U39)</f>
        <v>0</v>
      </c>
      <c r="U42" s="64">
        <f>IF(ข้อมูลสูตร!$A39="","",ข้อมูลสูตร!V39)</f>
        <v>281.7</v>
      </c>
      <c r="V42" s="8">
        <f>IF(ข้อมูลสูตร!$A39="","",ข้อมูลสูตร!W39)</f>
        <v>28.07</v>
      </c>
      <c r="W42" s="64">
        <f>IF(ข้อมูลสูตร!$A39="","",ข้อมูลสูตร!X39)</f>
        <v>75</v>
      </c>
      <c r="X42" s="23">
        <f>IF(ข้อมูลสูตร!$A39="","",ข้อมูลสูตร!Y39)</f>
        <v>0.62573333333333336</v>
      </c>
      <c r="Y42" s="48" t="str">
        <f>IF(ข้อมูลสูตร!$A39="","",ข้อมูลสูตร!Z39)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2" s="48" t="str">
        <f>ข้อมูลสูตร!$A39</f>
        <v>Whip Cheese|22 oz|50%</v>
      </c>
    </row>
    <row r="43" spans="1:26" x14ac:dyDescent="0.25">
      <c r="A43" s="4" t="str">
        <f>IF(ข้อมูลสูตร!$A40="","",ข้อมูลสูตร!B40)</f>
        <v>Whip Cheese</v>
      </c>
      <c r="B43" s="4" t="str">
        <f>IF(ข้อมูลสูตร!$A40="","",ข้อมูลสูตร!C40)</f>
        <v>22 oz</v>
      </c>
      <c r="C43" s="4" t="str">
        <f>IF(ข้อมูลสูตร!$A40="","",ข้อมูลสูตร!D40)</f>
        <v>75%</v>
      </c>
      <c r="D43" s="63">
        <f>IF(ข้อมูลสูตร!$A40="","",ข้อมูลสูตร!E40)</f>
        <v>158</v>
      </c>
      <c r="E43" s="63">
        <f>IF(ข้อมูลสูตร!$A40="","",ข้อมูลสูตร!F40)</f>
        <v>0</v>
      </c>
      <c r="F43" s="63">
        <f>IF(ข้อมูลสูตร!$A40="","",ข้อมูลสูตร!G40)</f>
        <v>69</v>
      </c>
      <c r="G43" s="63">
        <f>IF(ข้อมูลสูตร!$A40="","",ข้อมูลสูตร!H40)</f>
        <v>20.5</v>
      </c>
      <c r="H43" s="63">
        <f>IF(ข้อมูลสูตร!$A40="","",ข้อมูลสูตร!I40)</f>
        <v>0</v>
      </c>
      <c r="I43" s="63">
        <f>IF(ข้อมูลสูตร!$A40="","",ข้อมูลสูตร!J40)</f>
        <v>40.700000000000003</v>
      </c>
      <c r="J43" s="63">
        <f>IF(ข้อมูลสูตร!$A40="","",ข้อมูลสูตร!K40)</f>
        <v>0</v>
      </c>
      <c r="K43" s="63">
        <f>IF(ข้อมูลสูตร!$A40="","",ข้อมูลสูตร!L40)</f>
        <v>0</v>
      </c>
      <c r="L43" s="63">
        <f>IF(ข้อมูลสูตร!$A40="","",ข้อมูลสูตร!M40)</f>
        <v>0</v>
      </c>
      <c r="M43" s="63">
        <f>IF(ข้อมูลสูตร!$A40="","",ข้อมูลสูตร!N40)</f>
        <v>0</v>
      </c>
      <c r="N43" s="63">
        <f>IF(ข้อมูลสูตร!$A40="","",ข้อมูลสูตร!O40)</f>
        <v>0</v>
      </c>
      <c r="O43" s="63">
        <f>IF(ข้อมูลสูตร!$A40="","",ข้อมูลสูตร!P40)</f>
        <v>0</v>
      </c>
      <c r="P43" s="63">
        <f>IF(ข้อมูลสูตร!$A40="","",ข้อมูลสูตร!Q40)</f>
        <v>0</v>
      </c>
      <c r="Q43" s="63">
        <f>IF(ข้อมูลสูตร!$A40="","",ข้อมูลสูตร!R40)</f>
        <v>69</v>
      </c>
      <c r="R43" s="63">
        <f>IF(ข้อมูลสูตร!$A40="","",ข้อมูลสูตร!S40)</f>
        <v>270</v>
      </c>
      <c r="S43" s="63">
        <f>IF(ข้อมูลสูตร!$A40="","",ข้อมูลสูตร!T40)</f>
        <v>0</v>
      </c>
      <c r="T43" s="63">
        <f>IF(ข้อมูลสูตร!$A40="","",ข้อมูลสูตร!U40)</f>
        <v>0</v>
      </c>
      <c r="U43" s="64">
        <f>IF(ข้อมูลสูตร!$A40="","",ข้อมูลสูตร!V40)</f>
        <v>288.2</v>
      </c>
      <c r="V43" s="8">
        <f>IF(ข้อมูลสูตร!$A40="","",ข้อมูลสูตร!W40)</f>
        <v>28.18</v>
      </c>
      <c r="W43" s="64">
        <f>IF(ข้อมูลสูตร!$A40="","",ข้อมูลสูตร!X40)</f>
        <v>75</v>
      </c>
      <c r="X43" s="23">
        <f>IF(ข้อมูลสูตร!$A40="","",ข้อมูลสูตร!Y40)</f>
        <v>0.62426666666666664</v>
      </c>
      <c r="Y43" s="48" t="str">
        <f>IF(ข้อมูลสูตร!$A40="","",ข้อมูลสูตร!Z40)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3" s="48" t="str">
        <f>ข้อมูลสูตร!$A40</f>
        <v>Whip Cheese|22 oz|75%</v>
      </c>
    </row>
    <row r="44" spans="1:26" x14ac:dyDescent="0.25">
      <c r="A44" s="4" t="str">
        <f>IF(ข้อมูลสูตร!$A41="","",ข้อมูลสูตร!B41)</f>
        <v>Whip Cheese</v>
      </c>
      <c r="B44" s="4" t="str">
        <f>IF(ข้อมูลสูตร!$A41="","",ข้อมูลสูตร!C41)</f>
        <v>22 oz</v>
      </c>
      <c r="C44" s="4" t="str">
        <f>IF(ข้อมูลสูตร!$A41="","",ข้อมูลสูตร!D41)</f>
        <v>100%</v>
      </c>
      <c r="D44" s="63">
        <f>IF(ข้อมูลสูตร!$A41="","",ข้อมูลสูตร!E41)</f>
        <v>158</v>
      </c>
      <c r="E44" s="63">
        <f>IF(ข้อมูลสูตร!$A41="","",ข้อมูลสูตร!F41)</f>
        <v>0</v>
      </c>
      <c r="F44" s="63">
        <f>IF(ข้อมูลสูตร!$A41="","",ข้อมูลสูตร!G41)</f>
        <v>69</v>
      </c>
      <c r="G44" s="63">
        <f>IF(ข้อมูลสูตร!$A41="","",ข้อมูลสูตร!H41)</f>
        <v>20.5</v>
      </c>
      <c r="H44" s="63">
        <f>IF(ข้อมูลสูตร!$A41="","",ข้อมูลสูตร!I41)</f>
        <v>0</v>
      </c>
      <c r="I44" s="63">
        <f>IF(ข้อมูลสูตร!$A41="","",ข้อมูลสูตร!J41)</f>
        <v>47.7</v>
      </c>
      <c r="J44" s="63">
        <f>IF(ข้อมูลสูตร!$A41="","",ข้อมูลสูตร!K41)</f>
        <v>0</v>
      </c>
      <c r="K44" s="63">
        <f>IF(ข้อมูลสูตร!$A41="","",ข้อมูลสูตร!L41)</f>
        <v>0</v>
      </c>
      <c r="L44" s="63">
        <f>IF(ข้อมูลสูตร!$A41="","",ข้อมูลสูตร!M41)</f>
        <v>0</v>
      </c>
      <c r="M44" s="63">
        <f>IF(ข้อมูลสูตร!$A41="","",ข้อมูลสูตร!N41)</f>
        <v>0</v>
      </c>
      <c r="N44" s="63">
        <f>IF(ข้อมูลสูตร!$A41="","",ข้อมูลสูตร!O41)</f>
        <v>0</v>
      </c>
      <c r="O44" s="63">
        <f>IF(ข้อมูลสูตร!$A41="","",ข้อมูลสูตร!P41)</f>
        <v>0</v>
      </c>
      <c r="P44" s="63">
        <f>IF(ข้อมูลสูตร!$A41="","",ข้อมูลสูตร!Q41)</f>
        <v>0</v>
      </c>
      <c r="Q44" s="63">
        <f>IF(ข้อมูลสูตร!$A41="","",ข้อมูลสูตร!R41)</f>
        <v>69</v>
      </c>
      <c r="R44" s="63">
        <f>IF(ข้อมูลสูตร!$A41="","",ข้อมูลสูตร!S41)</f>
        <v>270</v>
      </c>
      <c r="S44" s="63">
        <f>IF(ข้อมูลสูตร!$A41="","",ข้อมูลสูตร!T41)</f>
        <v>0</v>
      </c>
      <c r="T44" s="63">
        <f>IF(ข้อมูลสูตร!$A41="","",ข้อมูลสูตร!U41)</f>
        <v>0</v>
      </c>
      <c r="U44" s="64">
        <f>IF(ข้อมูลสูตร!$A41="","",ข้อมูลสูตร!V41)</f>
        <v>295.2</v>
      </c>
      <c r="V44" s="8">
        <f>IF(ข้อมูลสูตร!$A41="","",ข้อมูลสูตร!W41)</f>
        <v>28.3</v>
      </c>
      <c r="W44" s="64">
        <f>IF(ข้อมูลสูตร!$A41="","",ข้อมูลสูตร!X41)</f>
        <v>75</v>
      </c>
      <c r="X44" s="23">
        <f>IF(ข้อมูลสูตร!$A41="","",ข้อมูลสูตร!Y41)</f>
        <v>0.6226666666666667</v>
      </c>
      <c r="Y44" s="48" t="str">
        <f>IF(ข้อมูลสูตร!$A41="","",ข้อมูลสูตร!Z41)</f>
        <v>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4" s="48" t="str">
        <f>ข้อมูลสูตร!$A41</f>
        <v>Whip Cheese|22 oz|100%</v>
      </c>
    </row>
    <row r="45" spans="1:26" x14ac:dyDescent="0.25">
      <c r="A45" s="4" t="str">
        <f>IF(ข้อมูลสูตร!$A42="","",ข้อมูลสูตร!B42)</f>
        <v>Orange Latte</v>
      </c>
      <c r="B45" s="4" t="str">
        <f>IF(ข้อมูลสูตร!$A42="","",ข้อมูลสูตร!C42)</f>
        <v>16 oz</v>
      </c>
      <c r="C45" s="4" t="str">
        <f>IF(ข้อมูลสูตร!$A42="","",ข้อมูลสูตร!D42)</f>
        <v>0%</v>
      </c>
      <c r="D45" s="63">
        <f>IF(ข้อมูลสูตร!$A42="","",ข้อมูลสูตร!E42)</f>
        <v>75</v>
      </c>
      <c r="E45" s="63">
        <f>IF(ข้อมูลสูตร!$A42="","",ข้อมูลสูตร!F42)</f>
        <v>0</v>
      </c>
      <c r="F45" s="63">
        <f>IF(ข้อมูลสูตร!$A42="","",ข้อมูลสูตร!G42)</f>
        <v>22</v>
      </c>
      <c r="G45" s="63">
        <f>IF(ข้อมูลสูตร!$A42="","",ข้อมูลสูตร!H42)</f>
        <v>18</v>
      </c>
      <c r="H45" s="63">
        <f>IF(ข้อมูลสูตร!$A42="","",ข้อมูลสูตร!I42)</f>
        <v>0</v>
      </c>
      <c r="I45" s="63">
        <f>IF(ข้อมูลสูตร!$A42="","",ข้อมูลสูตร!J42)</f>
        <v>0</v>
      </c>
      <c r="J45" s="63">
        <f>IF(ข้อมูลสูตร!$A42="","",ข้อมูลสูตร!K42)</f>
        <v>0</v>
      </c>
      <c r="K45" s="63">
        <f>IF(ข้อมูลสูตร!$A42="","",ข้อมูลสูตร!L42)</f>
        <v>0</v>
      </c>
      <c r="L45" s="63">
        <f>IF(ข้อมูลสูตร!$A42="","",ข้อมูลสูตร!M42)</f>
        <v>80</v>
      </c>
      <c r="M45" s="63">
        <f>IF(ข้อมูลสูตร!$A42="","",ข้อมูลสูตร!N42)</f>
        <v>0</v>
      </c>
      <c r="N45" s="63">
        <f>IF(ข้อมูลสูตร!$A42="","",ข้อมูลสูตร!O42)</f>
        <v>0</v>
      </c>
      <c r="O45" s="63">
        <f>IF(ข้อมูลสูตร!$A42="","",ข้อมูลสูตร!P42)</f>
        <v>0</v>
      </c>
      <c r="P45" s="63">
        <f>IF(ข้อมูลสูตร!$A42="","",ข้อมูลสูตร!Q42)</f>
        <v>0</v>
      </c>
      <c r="Q45" s="63">
        <f>IF(ข้อมูลสูตร!$A42="","",ข้อมูลสูตร!R42)</f>
        <v>0</v>
      </c>
      <c r="R45" s="63">
        <f>IF(ข้อมูลสูตร!$A42="","",ข้อมูลสูตร!S42)</f>
        <v>240</v>
      </c>
      <c r="S45" s="63">
        <f>IF(ข้อมูลสูตร!$A42="","",ข้อมูลสูตร!T42)</f>
        <v>0</v>
      </c>
      <c r="T45" s="63">
        <f>IF(ข้อมูลสูตร!$A42="","",ข้อมูลสูตร!U42)</f>
        <v>0</v>
      </c>
      <c r="U45" s="64">
        <f>IF(ข้อมูลสูตร!$A42="","",ข้อมูลสูตร!V42)</f>
        <v>195</v>
      </c>
      <c r="V45" s="8">
        <f>IF(ข้อมูลสูตร!$A42="","",ข้อมูลสูตร!W42)</f>
        <v>15.65</v>
      </c>
      <c r="W45" s="64">
        <f>IF(ข้อมูลสูตร!$A42="","",ข้อมูลสูตร!X42)</f>
        <v>55</v>
      </c>
      <c r="X45" s="23">
        <f>IF(ข้อมูลสูตร!$A42="","",ข้อมูลสูตร!Y42)</f>
        <v>0.71545454545454545</v>
      </c>
      <c r="Y45" s="48" t="str">
        <f>IF(ข้อมูลสูตร!$A42="","",ข้อมูลสูตร!Z42)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45" s="48" t="str">
        <f>ข้อมูลสูตร!$A42</f>
        <v>Orange Latte|16 oz|0%</v>
      </c>
    </row>
    <row r="46" spans="1:26" x14ac:dyDescent="0.25">
      <c r="A46" s="4" t="str">
        <f>IF(ข้อมูลสูตร!$A43="","",ข้อมูลสูตร!B43)</f>
        <v>Orange Latte</v>
      </c>
      <c r="B46" s="4" t="str">
        <f>IF(ข้อมูลสูตร!$A43="","",ข้อมูลสูตร!C43)</f>
        <v>16 oz</v>
      </c>
      <c r="C46" s="4" t="str">
        <f>IF(ข้อมูลสูตร!$A43="","",ข้อมูลสูตร!D43)</f>
        <v>25%</v>
      </c>
      <c r="D46" s="63">
        <f>IF(ข้อมูลสูตร!$A43="","",ข้อมูลสูตร!E43)</f>
        <v>75</v>
      </c>
      <c r="E46" s="63">
        <f>IF(ข้อมูลสูตร!$A43="","",ข้อมูลสูตร!F43)</f>
        <v>0</v>
      </c>
      <c r="F46" s="63">
        <f>IF(ข้อมูลสูตร!$A43="","",ข้อมูลสูตร!G43)</f>
        <v>22</v>
      </c>
      <c r="G46" s="63">
        <f>IF(ข้อมูลสูตร!$A43="","",ข้อมูลสูตร!H43)</f>
        <v>18</v>
      </c>
      <c r="H46" s="63">
        <f>IF(ข้อมูลสูตร!$A43="","",ข้อมูลสูตร!I43)</f>
        <v>5</v>
      </c>
      <c r="I46" s="63">
        <f>IF(ข้อมูลสูตร!$A43="","",ข้อมูลสูตร!J43)</f>
        <v>9.6</v>
      </c>
      <c r="J46" s="63">
        <f>IF(ข้อมูลสูตร!$A43="","",ข้อมูลสูตร!K43)</f>
        <v>0</v>
      </c>
      <c r="K46" s="63">
        <f>IF(ข้อมูลสูตร!$A43="","",ข้อมูลสูตร!L43)</f>
        <v>0</v>
      </c>
      <c r="L46" s="63">
        <f>IF(ข้อมูลสูตร!$A43="","",ข้อมูลสูตร!M43)</f>
        <v>80</v>
      </c>
      <c r="M46" s="63">
        <f>IF(ข้อมูลสูตร!$A43="","",ข้อมูลสูตร!N43)</f>
        <v>0</v>
      </c>
      <c r="N46" s="63">
        <f>IF(ข้อมูลสูตร!$A43="","",ข้อมูลสูตร!O43)</f>
        <v>0</v>
      </c>
      <c r="O46" s="63">
        <f>IF(ข้อมูลสูตร!$A43="","",ข้อมูลสูตร!P43)</f>
        <v>0</v>
      </c>
      <c r="P46" s="63">
        <f>IF(ข้อมูลสูตร!$A43="","",ข้อมูลสูตร!Q43)</f>
        <v>0</v>
      </c>
      <c r="Q46" s="63">
        <f>IF(ข้อมูลสูตร!$A43="","",ข้อมูลสูตร!R43)</f>
        <v>0</v>
      </c>
      <c r="R46" s="63">
        <f>IF(ข้อมูลสูตร!$A43="","",ข้อมูลสูตร!S43)</f>
        <v>240</v>
      </c>
      <c r="S46" s="63">
        <f>IF(ข้อมูลสูตร!$A43="","",ข้อมูลสูตร!T43)</f>
        <v>0</v>
      </c>
      <c r="T46" s="63">
        <f>IF(ข้อมูลสูตร!$A43="","",ข้อมูลสูตร!U43)</f>
        <v>0</v>
      </c>
      <c r="U46" s="64">
        <f>IF(ข้อมูลสูตร!$A43="","",ข้อมูลสูตร!V43)</f>
        <v>209.6</v>
      </c>
      <c r="V46" s="8">
        <f>IF(ข้อมูลสูตร!$A43="","",ข้อมูลสูตร!W43)</f>
        <v>16.16</v>
      </c>
      <c r="W46" s="64">
        <f>IF(ข้อมูลสูตร!$A43="","",ข้อมูลสูตร!X43)</f>
        <v>55</v>
      </c>
      <c r="X46" s="23">
        <f>IF(ข้อมูลสูตร!$A43="","",ข้อมูลสูตร!Y43)</f>
        <v>0.70618181818181824</v>
      </c>
      <c r="Y46" s="48" t="str">
        <f>IF(ข้อมูลสูตร!$A43="","",ข้อมูลสูตร!Z43)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6" s="48" t="str">
        <f>ข้อมูลสูตร!$A43</f>
        <v>Orange Latte|16 oz|25%</v>
      </c>
    </row>
    <row r="47" spans="1:26" x14ac:dyDescent="0.25">
      <c r="A47" s="4" t="str">
        <f>IF(ข้อมูลสูตร!$A44="","",ข้อมูลสูตร!B44)</f>
        <v>Orange Latte</v>
      </c>
      <c r="B47" s="4" t="str">
        <f>IF(ข้อมูลสูตร!$A44="","",ข้อมูลสูตร!C44)</f>
        <v>16 oz</v>
      </c>
      <c r="C47" s="4" t="str">
        <f>IF(ข้อมูลสูตร!$A44="","",ข้อมูลสูตร!D44)</f>
        <v>50%</v>
      </c>
      <c r="D47" s="63">
        <f>IF(ข้อมูลสูตร!$A44="","",ข้อมูลสูตร!E44)</f>
        <v>75</v>
      </c>
      <c r="E47" s="63">
        <f>IF(ข้อมูลสูตร!$A44="","",ข้อมูลสูตร!F44)</f>
        <v>0</v>
      </c>
      <c r="F47" s="63">
        <f>IF(ข้อมูลสูตร!$A44="","",ข้อมูลสูตร!G44)</f>
        <v>22</v>
      </c>
      <c r="G47" s="63">
        <f>IF(ข้อมูลสูตร!$A44="","",ข้อมูลสูตร!H44)</f>
        <v>18</v>
      </c>
      <c r="H47" s="63">
        <f>IF(ข้อมูลสูตร!$A44="","",ข้อมูลสูตร!I44)</f>
        <v>10</v>
      </c>
      <c r="I47" s="63">
        <f>IF(ข้อมูลสูตร!$A44="","",ข้อมูลสูตร!J44)</f>
        <v>9.6</v>
      </c>
      <c r="J47" s="63">
        <f>IF(ข้อมูลสูตร!$A44="","",ข้อมูลสูตร!K44)</f>
        <v>0</v>
      </c>
      <c r="K47" s="63">
        <f>IF(ข้อมูลสูตร!$A44="","",ข้อมูลสูตร!L44)</f>
        <v>0</v>
      </c>
      <c r="L47" s="63">
        <f>IF(ข้อมูลสูตร!$A44="","",ข้อมูลสูตร!M44)</f>
        <v>80</v>
      </c>
      <c r="M47" s="63">
        <f>IF(ข้อมูลสูตร!$A44="","",ข้อมูลสูตร!N44)</f>
        <v>0</v>
      </c>
      <c r="N47" s="63">
        <f>IF(ข้อมูลสูตร!$A44="","",ข้อมูลสูตร!O44)</f>
        <v>0</v>
      </c>
      <c r="O47" s="63">
        <f>IF(ข้อมูลสูตร!$A44="","",ข้อมูลสูตร!P44)</f>
        <v>0</v>
      </c>
      <c r="P47" s="63">
        <f>IF(ข้อมูลสูตร!$A44="","",ข้อมูลสูตร!Q44)</f>
        <v>0</v>
      </c>
      <c r="Q47" s="63">
        <f>IF(ข้อมูลสูตร!$A44="","",ข้อมูลสูตร!R44)</f>
        <v>0</v>
      </c>
      <c r="R47" s="63">
        <f>IF(ข้อมูลสูตร!$A44="","",ข้อมูลสูตร!S44)</f>
        <v>240</v>
      </c>
      <c r="S47" s="63">
        <f>IF(ข้อมูลสูตร!$A44="","",ข้อมูลสูตร!T44)</f>
        <v>0</v>
      </c>
      <c r="T47" s="63">
        <f>IF(ข้อมูลสูตร!$A44="","",ข้อมูลสูตร!U44)</f>
        <v>0</v>
      </c>
      <c r="U47" s="64">
        <f>IF(ข้อมูลสูตร!$A44="","",ข้อมูลสูตร!V44)</f>
        <v>214.6</v>
      </c>
      <c r="V47" s="8">
        <f>IF(ข้อมูลสูตร!$A44="","",ข้อมูลสูตร!W44)</f>
        <v>16.5</v>
      </c>
      <c r="W47" s="64">
        <f>IF(ข้อมูลสูตร!$A44="","",ข้อมูลสูตร!X44)</f>
        <v>55</v>
      </c>
      <c r="X47" s="23">
        <f>IF(ข้อมูลสูตร!$A44="","",ข้อมูลสูตร!Y44)</f>
        <v>0.7</v>
      </c>
      <c r="Y47" s="48" t="str">
        <f>IF(ข้อมูลสูตร!$A44="","",ข้อมูลสูตร!Z44)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7" s="48" t="str">
        <f>ข้อมูลสูตร!$A44</f>
        <v>Orange Latte|16 oz|50%</v>
      </c>
    </row>
    <row r="48" spans="1:26" x14ac:dyDescent="0.25">
      <c r="A48" s="4" t="str">
        <f>IF(ข้อมูลสูตร!$A45="","",ข้อมูลสูตร!B45)</f>
        <v>Orange Latte</v>
      </c>
      <c r="B48" s="4" t="str">
        <f>IF(ข้อมูลสูตร!$A45="","",ข้อมูลสูตร!C45)</f>
        <v>16 oz</v>
      </c>
      <c r="C48" s="4" t="str">
        <f>IF(ข้อมูลสูตร!$A45="","",ข้อมูลสูตร!D45)</f>
        <v>75%</v>
      </c>
      <c r="D48" s="63">
        <f>IF(ข้อมูลสูตร!$A45="","",ข้อมูลสูตร!E45)</f>
        <v>75</v>
      </c>
      <c r="E48" s="63">
        <f>IF(ข้อมูลสูตร!$A45="","",ข้อมูลสูตร!F45)</f>
        <v>0</v>
      </c>
      <c r="F48" s="63">
        <f>IF(ข้อมูลสูตร!$A45="","",ข้อมูลสูตร!G45)</f>
        <v>22</v>
      </c>
      <c r="G48" s="63">
        <f>IF(ข้อมูลสูตร!$A45="","",ข้อมูลสูตร!H45)</f>
        <v>18</v>
      </c>
      <c r="H48" s="63">
        <f>IF(ข้อมูลสูตร!$A45="","",ข้อมูลสูตร!I45)</f>
        <v>15</v>
      </c>
      <c r="I48" s="63">
        <f>IF(ข้อมูลสูตร!$A45="","",ข้อมูลสูตร!J45)</f>
        <v>9.6</v>
      </c>
      <c r="J48" s="63">
        <f>IF(ข้อมูลสูตร!$A45="","",ข้อมูลสูตร!K45)</f>
        <v>0</v>
      </c>
      <c r="K48" s="63">
        <f>IF(ข้อมูลสูตร!$A45="","",ข้อมูลสูตร!L45)</f>
        <v>0</v>
      </c>
      <c r="L48" s="63">
        <f>IF(ข้อมูลสูตร!$A45="","",ข้อมูลสูตร!M45)</f>
        <v>80</v>
      </c>
      <c r="M48" s="63">
        <f>IF(ข้อมูลสูตร!$A45="","",ข้อมูลสูตร!N45)</f>
        <v>0</v>
      </c>
      <c r="N48" s="63">
        <f>IF(ข้อมูลสูตร!$A45="","",ข้อมูลสูตร!O45)</f>
        <v>0</v>
      </c>
      <c r="O48" s="63">
        <f>IF(ข้อมูลสูตร!$A45="","",ข้อมูลสูตร!P45)</f>
        <v>0</v>
      </c>
      <c r="P48" s="63">
        <f>IF(ข้อมูลสูตร!$A45="","",ข้อมูลสูตร!Q45)</f>
        <v>0</v>
      </c>
      <c r="Q48" s="63">
        <f>IF(ข้อมูลสูตร!$A45="","",ข้อมูลสูตร!R45)</f>
        <v>0</v>
      </c>
      <c r="R48" s="63">
        <f>IF(ข้อมูลสูตร!$A45="","",ข้อมูลสูตร!S45)</f>
        <v>240</v>
      </c>
      <c r="S48" s="63">
        <f>IF(ข้อมูลสูตร!$A45="","",ข้อมูลสูตร!T45)</f>
        <v>0</v>
      </c>
      <c r="T48" s="63">
        <f>IF(ข้อมูลสูตร!$A45="","",ข้อมูลสูตร!U45)</f>
        <v>0</v>
      </c>
      <c r="U48" s="64">
        <f>IF(ข้อมูลสูตร!$A45="","",ข้อมูลสูตร!V45)</f>
        <v>219.6</v>
      </c>
      <c r="V48" s="8">
        <f>IF(ข้อมูลสูตร!$A45="","",ข้อมูลสูตร!W45)</f>
        <v>16.850000000000001</v>
      </c>
      <c r="W48" s="64">
        <f>IF(ข้อมูลสูตร!$A45="","",ข้อมูลสูตร!X45)</f>
        <v>55</v>
      </c>
      <c r="X48" s="23">
        <f>IF(ข้อมูลสูตร!$A45="","",ข้อมูลสูตร!Y45)</f>
        <v>0.69363636363636361</v>
      </c>
      <c r="Y48" s="48" t="str">
        <f>IF(ข้อมูลสูตร!$A45="","",ข้อมูลสูตร!Z45)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8" s="48" t="str">
        <f>ข้อมูลสูตร!$A45</f>
        <v>Orange Latte|16 oz|75%</v>
      </c>
    </row>
    <row r="49" spans="1:26" x14ac:dyDescent="0.25">
      <c r="A49" s="4" t="str">
        <f>IF(ข้อมูลสูตร!$A46="","",ข้อมูลสูตร!B46)</f>
        <v>Orange Latte</v>
      </c>
      <c r="B49" s="4" t="str">
        <f>IF(ข้อมูลสูตร!$A46="","",ข้อมูลสูตร!C46)</f>
        <v>16 oz</v>
      </c>
      <c r="C49" s="4" t="str">
        <f>IF(ข้อมูลสูตร!$A46="","",ข้อมูลสูตร!D46)</f>
        <v>100%</v>
      </c>
      <c r="D49" s="63">
        <f>IF(ข้อมูลสูตร!$A46="","",ข้อมูลสูตร!E46)</f>
        <v>75</v>
      </c>
      <c r="E49" s="63">
        <f>IF(ข้อมูลสูตร!$A46="","",ข้อมูลสูตร!F46)</f>
        <v>0</v>
      </c>
      <c r="F49" s="63">
        <f>IF(ข้อมูลสูตร!$A46="","",ข้อมูลสูตร!G46)</f>
        <v>22</v>
      </c>
      <c r="G49" s="63">
        <f>IF(ข้อมูลสูตร!$A46="","",ข้อมูลสูตร!H46)</f>
        <v>18</v>
      </c>
      <c r="H49" s="63">
        <f>IF(ข้อมูลสูตร!$A46="","",ข้อมูลสูตร!I46)</f>
        <v>20</v>
      </c>
      <c r="I49" s="63">
        <f>IF(ข้อมูลสูตร!$A46="","",ข้อมูลสูตร!J46)</f>
        <v>9.6</v>
      </c>
      <c r="J49" s="63">
        <f>IF(ข้อมูลสูตร!$A46="","",ข้อมูลสูตร!K46)</f>
        <v>0</v>
      </c>
      <c r="K49" s="63">
        <f>IF(ข้อมูลสูตร!$A46="","",ข้อมูลสูตร!L46)</f>
        <v>0</v>
      </c>
      <c r="L49" s="63">
        <f>IF(ข้อมูลสูตร!$A46="","",ข้อมูลสูตร!M46)</f>
        <v>80</v>
      </c>
      <c r="M49" s="63">
        <f>IF(ข้อมูลสูตร!$A46="","",ข้อมูลสูตร!N46)</f>
        <v>0</v>
      </c>
      <c r="N49" s="63">
        <f>IF(ข้อมูลสูตร!$A46="","",ข้อมูลสูตร!O46)</f>
        <v>0</v>
      </c>
      <c r="O49" s="63">
        <f>IF(ข้อมูลสูตร!$A46="","",ข้อมูลสูตร!P46)</f>
        <v>0</v>
      </c>
      <c r="P49" s="63">
        <f>IF(ข้อมูลสูตร!$A46="","",ข้อมูลสูตร!Q46)</f>
        <v>0</v>
      </c>
      <c r="Q49" s="63">
        <f>IF(ข้อมูลสูตร!$A46="","",ข้อมูลสูตร!R46)</f>
        <v>0</v>
      </c>
      <c r="R49" s="63">
        <f>IF(ข้อมูลสูตร!$A46="","",ข้อมูลสูตร!S46)</f>
        <v>240</v>
      </c>
      <c r="S49" s="63">
        <f>IF(ข้อมูลสูตร!$A46="","",ข้อมูลสูตร!T46)</f>
        <v>0</v>
      </c>
      <c r="T49" s="63">
        <f>IF(ข้อมูลสูตร!$A46="","",ข้อมูลสูตร!U46)</f>
        <v>0</v>
      </c>
      <c r="U49" s="64">
        <f>IF(ข้อมูลสูตร!$A46="","",ข้อมูลสูตร!V46)</f>
        <v>224.6</v>
      </c>
      <c r="V49" s="8">
        <f>IF(ข้อมูลสูตร!$A46="","",ข้อมูลสูตร!W46)</f>
        <v>17.2</v>
      </c>
      <c r="W49" s="64">
        <f>IF(ข้อมูลสูตร!$A46="","",ข้อมูลสูตร!X46)</f>
        <v>55</v>
      </c>
      <c r="X49" s="23">
        <f>IF(ข้อมูลสูตร!$A46="","",ข้อมูลสูตร!Y46)</f>
        <v>0.68727272727272726</v>
      </c>
      <c r="Y49" s="48" t="str">
        <f>IF(ข้อมูลสูตร!$A46="","",ข้อมูลสูตร!Z46)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49" s="48" t="str">
        <f>ข้อมูลสูตร!$A46</f>
        <v>Orange Latte|16 oz|100%</v>
      </c>
    </row>
    <row r="50" spans="1:26" x14ac:dyDescent="0.25">
      <c r="A50" s="4" t="str">
        <f>IF(ข้อมูลสูตร!$A47="","",ข้อมูลสูตร!B47)</f>
        <v>Orange Latte</v>
      </c>
      <c r="B50" s="4" t="str">
        <f>IF(ข้อมูลสูตร!$A47="","",ข้อมูลสูตร!C47)</f>
        <v>22 oz</v>
      </c>
      <c r="C50" s="4" t="str">
        <f>IF(ข้อมูลสูตร!$A47="","",ข้อมูลสูตร!D47)</f>
        <v>0%</v>
      </c>
      <c r="D50" s="63">
        <f>IF(ข้อมูลสูตร!$A47="","",ข้อมูลสูตร!E47)</f>
        <v>103</v>
      </c>
      <c r="E50" s="63">
        <f>IF(ข้อมูลสูตร!$A47="","",ข้อมูลสูตร!F47)</f>
        <v>0</v>
      </c>
      <c r="F50" s="63">
        <f>IF(ข้อมูลสูตร!$A47="","",ข้อมูลสูตร!G47)</f>
        <v>30</v>
      </c>
      <c r="G50" s="63">
        <f>IF(ข้อมูลสูตร!$A47="","",ข้อมูลสูตร!H47)</f>
        <v>25</v>
      </c>
      <c r="H50" s="63">
        <f>IF(ข้อมูลสูตร!$A47="","",ข้อมูลสูตร!I47)</f>
        <v>0</v>
      </c>
      <c r="I50" s="63">
        <f>IF(ข้อมูลสูตร!$A47="","",ข้อมูลสูตร!J47)</f>
        <v>0</v>
      </c>
      <c r="J50" s="63">
        <f>IF(ข้อมูลสูตร!$A47="","",ข้อมูลสูตร!K47)</f>
        <v>0</v>
      </c>
      <c r="K50" s="63">
        <f>IF(ข้อมูลสูตร!$A47="","",ข้อมูลสูตร!L47)</f>
        <v>0</v>
      </c>
      <c r="L50" s="63">
        <f>IF(ข้อมูลสูตร!$A47="","",ข้อมูลสูตร!M47)</f>
        <v>110</v>
      </c>
      <c r="M50" s="63">
        <f>IF(ข้อมูลสูตร!$A47="","",ข้อมูลสูตร!N47)</f>
        <v>0</v>
      </c>
      <c r="N50" s="63">
        <f>IF(ข้อมูลสูตร!$A47="","",ข้อมูลสูตร!O47)</f>
        <v>0</v>
      </c>
      <c r="O50" s="63">
        <f>IF(ข้อมูลสูตร!$A47="","",ข้อมูลสูตร!P47)</f>
        <v>0</v>
      </c>
      <c r="P50" s="63">
        <f>IF(ข้อมูลสูตร!$A47="","",ข้อมูลสูตร!Q47)</f>
        <v>0</v>
      </c>
      <c r="Q50" s="63">
        <f>IF(ข้อมูลสูตร!$A47="","",ข้อมูลสูตร!R47)</f>
        <v>0</v>
      </c>
      <c r="R50" s="63">
        <f>IF(ข้อมูลสูตร!$A47="","",ข้อมูลสูตร!S47)</f>
        <v>330</v>
      </c>
      <c r="S50" s="63">
        <f>IF(ข้อมูลสูตร!$A47="","",ข้อมูลสูตร!T47)</f>
        <v>0</v>
      </c>
      <c r="T50" s="63">
        <f>IF(ข้อมูลสูตร!$A47="","",ข้อมูลสูตร!U47)</f>
        <v>0</v>
      </c>
      <c r="U50" s="64">
        <f>IF(ข้อมูลสูตร!$A47="","",ข้อมูลสูตร!V47)</f>
        <v>268</v>
      </c>
      <c r="V50" s="8">
        <f>IF(ข้อมูลสูตร!$A47="","",ข้อมูลสูตร!W47)</f>
        <v>20.82</v>
      </c>
      <c r="W50" s="64">
        <f>IF(ข้อมูลสูตร!$A47="","",ข้อมูลสูตร!X47)</f>
        <v>65</v>
      </c>
      <c r="X50" s="23">
        <f>IF(ข้อมูลสูตร!$A47="","",ข้อมูลสูตร!Y47)</f>
        <v>0.67969230769230771</v>
      </c>
      <c r="Y50" s="48" t="str">
        <f>IF(ข้อมูลสูตร!$A47="","",ข้อมูลสูตร!Z47)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50" s="48" t="str">
        <f>ข้อมูลสูตร!$A47</f>
        <v>Orange Latte|22 oz|0%</v>
      </c>
    </row>
    <row r="51" spans="1:26" x14ac:dyDescent="0.25">
      <c r="A51" s="4" t="str">
        <f>IF(ข้อมูลสูตร!$A48="","",ข้อมูลสูตร!B48)</f>
        <v>Orange Latte</v>
      </c>
      <c r="B51" s="4" t="str">
        <f>IF(ข้อมูลสูตร!$A48="","",ข้อมูลสูตร!C48)</f>
        <v>22 oz</v>
      </c>
      <c r="C51" s="4" t="str">
        <f>IF(ข้อมูลสูตร!$A48="","",ข้อมูลสูตร!D48)</f>
        <v>25%</v>
      </c>
      <c r="D51" s="63">
        <f>IF(ข้อมูลสูตร!$A48="","",ข้อมูลสูตร!E48)</f>
        <v>103</v>
      </c>
      <c r="E51" s="63">
        <f>IF(ข้อมูลสูตร!$A48="","",ข้อมูลสูตร!F48)</f>
        <v>0</v>
      </c>
      <c r="F51" s="63">
        <f>IF(ข้อมูลสูตร!$A48="","",ข้อมูลสูตร!G48)</f>
        <v>30</v>
      </c>
      <c r="G51" s="63">
        <f>IF(ข้อมูลสูตร!$A48="","",ข้อมูลสูตร!H48)</f>
        <v>25</v>
      </c>
      <c r="H51" s="63">
        <f>IF(ข้อมูลสูตร!$A48="","",ข้อมูลสูตร!I48)</f>
        <v>7</v>
      </c>
      <c r="I51" s="63">
        <f>IF(ข้อมูลสูตร!$A48="","",ข้อมูลสูตร!J48)</f>
        <v>13.2</v>
      </c>
      <c r="J51" s="63">
        <f>IF(ข้อมูลสูตร!$A48="","",ข้อมูลสูตร!K48)</f>
        <v>0</v>
      </c>
      <c r="K51" s="63">
        <f>IF(ข้อมูลสูตร!$A48="","",ข้อมูลสูตร!L48)</f>
        <v>0</v>
      </c>
      <c r="L51" s="63">
        <f>IF(ข้อมูลสูตร!$A48="","",ข้อมูลสูตร!M48)</f>
        <v>110</v>
      </c>
      <c r="M51" s="63">
        <f>IF(ข้อมูลสูตร!$A48="","",ข้อมูลสูตร!N48)</f>
        <v>0</v>
      </c>
      <c r="N51" s="63">
        <f>IF(ข้อมูลสูตร!$A48="","",ข้อมูลสูตร!O48)</f>
        <v>0</v>
      </c>
      <c r="O51" s="63">
        <f>IF(ข้อมูลสูตร!$A48="","",ข้อมูลสูตร!P48)</f>
        <v>0</v>
      </c>
      <c r="P51" s="63">
        <f>IF(ข้อมูลสูตร!$A48="","",ข้อมูลสูตร!Q48)</f>
        <v>0</v>
      </c>
      <c r="Q51" s="63">
        <f>IF(ข้อมูลสูตร!$A48="","",ข้อมูลสูตร!R48)</f>
        <v>0</v>
      </c>
      <c r="R51" s="63">
        <f>IF(ข้อมูลสูตร!$A48="","",ข้อมูลสูตร!S48)</f>
        <v>330</v>
      </c>
      <c r="S51" s="63">
        <f>IF(ข้อมูลสูตร!$A48="","",ข้อมูลสูตร!T48)</f>
        <v>0</v>
      </c>
      <c r="T51" s="63">
        <f>IF(ข้อมูลสูตร!$A48="","",ข้อมูลสูตร!U48)</f>
        <v>0</v>
      </c>
      <c r="U51" s="64">
        <f>IF(ข้อมูลสูตร!$A48="","",ข้อมูลสูตร!V48)</f>
        <v>288.2</v>
      </c>
      <c r="V51" s="8">
        <f>IF(ข้อมูลสูตร!$A48="","",ข้อมูลสูตร!W48)</f>
        <v>21.53</v>
      </c>
      <c r="W51" s="64">
        <f>IF(ข้อมูลสูตร!$A48="","",ข้อมูลสูตร!X48)</f>
        <v>65</v>
      </c>
      <c r="X51" s="23">
        <f>IF(ข้อมูลสูตร!$A48="","",ข้อมูลสูตร!Y48)</f>
        <v>0.66876923076923078</v>
      </c>
      <c r="Y51" s="48" t="str">
        <f>IF(ข้อมูลสูตร!$A48="","",ข้อมูลสูตร!Z48)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1" s="48" t="str">
        <f>ข้อมูลสูตร!$A48</f>
        <v>Orange Latte|22 oz|25%</v>
      </c>
    </row>
    <row r="52" spans="1:26" x14ac:dyDescent="0.25">
      <c r="A52" s="4" t="str">
        <f>IF(ข้อมูลสูตร!$A49="","",ข้อมูลสูตร!B49)</f>
        <v>Orange Latte</v>
      </c>
      <c r="B52" s="4" t="str">
        <f>IF(ข้อมูลสูตร!$A49="","",ข้อมูลสูตร!C49)</f>
        <v>22 oz</v>
      </c>
      <c r="C52" s="4" t="str">
        <f>IF(ข้อมูลสูตร!$A49="","",ข้อมูลสูตร!D49)</f>
        <v>50%</v>
      </c>
      <c r="D52" s="63">
        <f>IF(ข้อมูลสูตร!$A49="","",ข้อมูลสูตร!E49)</f>
        <v>103</v>
      </c>
      <c r="E52" s="63">
        <f>IF(ข้อมูลสูตร!$A49="","",ข้อมูลสูตร!F49)</f>
        <v>0</v>
      </c>
      <c r="F52" s="63">
        <f>IF(ข้อมูลสูตร!$A49="","",ข้อมูลสูตร!G49)</f>
        <v>30</v>
      </c>
      <c r="G52" s="63">
        <f>IF(ข้อมูลสูตร!$A49="","",ข้อมูลสูตร!H49)</f>
        <v>25</v>
      </c>
      <c r="H52" s="63">
        <f>IF(ข้อมูลสูตร!$A49="","",ข้อมูลสูตร!I49)</f>
        <v>14</v>
      </c>
      <c r="I52" s="63">
        <f>IF(ข้อมูลสูตร!$A49="","",ข้อมูลสูตร!J49)</f>
        <v>13.2</v>
      </c>
      <c r="J52" s="63">
        <f>IF(ข้อมูลสูตร!$A49="","",ข้อมูลสูตร!K49)</f>
        <v>0</v>
      </c>
      <c r="K52" s="63">
        <f>IF(ข้อมูลสูตร!$A49="","",ข้อมูลสูตร!L49)</f>
        <v>0</v>
      </c>
      <c r="L52" s="63">
        <f>IF(ข้อมูลสูตร!$A49="","",ข้อมูลสูตร!M49)</f>
        <v>110</v>
      </c>
      <c r="M52" s="63">
        <f>IF(ข้อมูลสูตร!$A49="","",ข้อมูลสูตร!N49)</f>
        <v>0</v>
      </c>
      <c r="N52" s="63">
        <f>IF(ข้อมูลสูตร!$A49="","",ข้อมูลสูตร!O49)</f>
        <v>0</v>
      </c>
      <c r="O52" s="63">
        <f>IF(ข้อมูลสูตร!$A49="","",ข้อมูลสูตร!P49)</f>
        <v>0</v>
      </c>
      <c r="P52" s="63">
        <f>IF(ข้อมูลสูตร!$A49="","",ข้อมูลสูตร!Q49)</f>
        <v>0</v>
      </c>
      <c r="Q52" s="63">
        <f>IF(ข้อมูลสูตร!$A49="","",ข้อมูลสูตร!R49)</f>
        <v>0</v>
      </c>
      <c r="R52" s="63">
        <f>IF(ข้อมูลสูตร!$A49="","",ข้อมูลสูตร!S49)</f>
        <v>330</v>
      </c>
      <c r="S52" s="63">
        <f>IF(ข้อมูลสูตร!$A49="","",ข้อมูลสูตร!T49)</f>
        <v>0</v>
      </c>
      <c r="T52" s="63">
        <f>IF(ข้อมูลสูตร!$A49="","",ข้อมูลสูตร!U49)</f>
        <v>0</v>
      </c>
      <c r="U52" s="64">
        <f>IF(ข้อมูลสูตร!$A49="","",ข้อมูลสูตร!V49)</f>
        <v>295.2</v>
      </c>
      <c r="V52" s="8">
        <f>IF(ข้อมูลสูตร!$A49="","",ข้อมูลสูตร!W49)</f>
        <v>22.01</v>
      </c>
      <c r="W52" s="64">
        <f>IF(ข้อมูลสูตร!$A49="","",ข้อมูลสูตร!X49)</f>
        <v>65</v>
      </c>
      <c r="X52" s="23">
        <f>IF(ข้อมูลสูตร!$A49="","",ข้อมูลสูตร!Y49)</f>
        <v>0.66138461538461535</v>
      </c>
      <c r="Y52" s="48" t="str">
        <f>IF(ข้อมูลสูตร!$A49="","",ข้อมูลสูตร!Z49)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2" s="48" t="str">
        <f>ข้อมูลสูตร!$A49</f>
        <v>Orange Latte|22 oz|50%</v>
      </c>
    </row>
    <row r="53" spans="1:26" x14ac:dyDescent="0.25">
      <c r="A53" s="4" t="str">
        <f>IF(ข้อมูลสูตร!$A50="","",ข้อมูลสูตร!B50)</f>
        <v>Orange Latte</v>
      </c>
      <c r="B53" s="4" t="str">
        <f>IF(ข้อมูลสูตร!$A50="","",ข้อมูลสูตร!C50)</f>
        <v>22 oz</v>
      </c>
      <c r="C53" s="4" t="str">
        <f>IF(ข้อมูลสูตร!$A50="","",ข้อมูลสูตร!D50)</f>
        <v>75%</v>
      </c>
      <c r="D53" s="63">
        <f>IF(ข้อมูลสูตร!$A50="","",ข้อมูลสูตร!E50)</f>
        <v>103</v>
      </c>
      <c r="E53" s="63">
        <f>IF(ข้อมูลสูตร!$A50="","",ข้อมูลสูตร!F50)</f>
        <v>0</v>
      </c>
      <c r="F53" s="63">
        <f>IF(ข้อมูลสูตร!$A50="","",ข้อมูลสูตร!G50)</f>
        <v>30</v>
      </c>
      <c r="G53" s="63">
        <f>IF(ข้อมูลสูตร!$A50="","",ข้อมูลสูตร!H50)</f>
        <v>25</v>
      </c>
      <c r="H53" s="63">
        <f>IF(ข้อมูลสูตร!$A50="","",ข้อมูลสูตร!I50)</f>
        <v>20.5</v>
      </c>
      <c r="I53" s="63">
        <f>IF(ข้อมูลสูตร!$A50="","",ข้อมูลสูตร!J50)</f>
        <v>13.2</v>
      </c>
      <c r="J53" s="63">
        <f>IF(ข้อมูลสูตร!$A50="","",ข้อมูลสูตร!K50)</f>
        <v>0</v>
      </c>
      <c r="K53" s="63">
        <f>IF(ข้อมูลสูตร!$A50="","",ข้อมูลสูตร!L50)</f>
        <v>0</v>
      </c>
      <c r="L53" s="63">
        <f>IF(ข้อมูลสูตร!$A50="","",ข้อมูลสูตร!M50)</f>
        <v>110</v>
      </c>
      <c r="M53" s="63">
        <f>IF(ข้อมูลสูตร!$A50="","",ข้อมูลสูตร!N50)</f>
        <v>0</v>
      </c>
      <c r="N53" s="63">
        <f>IF(ข้อมูลสูตร!$A50="","",ข้อมูลสูตร!O50)</f>
        <v>0</v>
      </c>
      <c r="O53" s="63">
        <f>IF(ข้อมูลสูตร!$A50="","",ข้อมูลสูตร!P50)</f>
        <v>0</v>
      </c>
      <c r="P53" s="63">
        <f>IF(ข้อมูลสูตร!$A50="","",ข้อมูลสูตร!Q50)</f>
        <v>0</v>
      </c>
      <c r="Q53" s="63">
        <f>IF(ข้อมูลสูตร!$A50="","",ข้อมูลสูตร!R50)</f>
        <v>0</v>
      </c>
      <c r="R53" s="63">
        <f>IF(ข้อมูลสูตร!$A50="","",ข้อมูลสูตร!S50)</f>
        <v>330</v>
      </c>
      <c r="S53" s="63">
        <f>IF(ข้อมูลสูตร!$A50="","",ข้อมูลสูตร!T50)</f>
        <v>0</v>
      </c>
      <c r="T53" s="63">
        <f>IF(ข้อมูลสูตร!$A50="","",ข้อมูลสูตร!U50)</f>
        <v>0</v>
      </c>
      <c r="U53" s="64">
        <f>IF(ข้อมูลสูตร!$A50="","",ข้อมูลสูตร!V50)</f>
        <v>301.7</v>
      </c>
      <c r="V53" s="8">
        <f>IF(ข้อมูลสูตร!$A50="","",ข้อมูลสูตร!W50)</f>
        <v>22.46</v>
      </c>
      <c r="W53" s="64">
        <f>IF(ข้อมูลสูตร!$A50="","",ข้อมูลสูตร!X50)</f>
        <v>65</v>
      </c>
      <c r="X53" s="23">
        <f>IF(ข้อมูลสูตร!$A50="","",ข้อมูลสูตร!Y50)</f>
        <v>0.65446153846153843</v>
      </c>
      <c r="Y53" s="48" t="str">
        <f>IF(ข้อมูลสูตร!$A50="","",ข้อมูลสูตร!Z50)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3" s="48" t="str">
        <f>ข้อมูลสูตร!$A50</f>
        <v>Orange Latte|22 oz|75%</v>
      </c>
    </row>
    <row r="54" spans="1:26" x14ac:dyDescent="0.25">
      <c r="A54" s="4" t="str">
        <f>IF(ข้อมูลสูตร!$A51="","",ข้อมูลสูตร!B51)</f>
        <v>Orange Latte</v>
      </c>
      <c r="B54" s="4" t="str">
        <f>IF(ข้อมูลสูตร!$A51="","",ข้อมูลสูตร!C51)</f>
        <v>22 oz</v>
      </c>
      <c r="C54" s="4" t="str">
        <f>IF(ข้อมูลสูตร!$A51="","",ข้อมูลสูตร!D51)</f>
        <v>100%</v>
      </c>
      <c r="D54" s="63">
        <f>IF(ข้อมูลสูตร!$A51="","",ข้อมูลสูตร!E51)</f>
        <v>103</v>
      </c>
      <c r="E54" s="63">
        <f>IF(ข้อมูลสูตร!$A51="","",ข้อมูลสูตร!F51)</f>
        <v>0</v>
      </c>
      <c r="F54" s="63">
        <f>IF(ข้อมูลสูตร!$A51="","",ข้อมูลสูตร!G51)</f>
        <v>30</v>
      </c>
      <c r="G54" s="63">
        <f>IF(ข้อมูลสูตร!$A51="","",ข้อมูลสูตร!H51)</f>
        <v>25</v>
      </c>
      <c r="H54" s="63">
        <f>IF(ข้อมูลสูตร!$A51="","",ข้อมูลสูตร!I51)</f>
        <v>27.5</v>
      </c>
      <c r="I54" s="63">
        <f>IF(ข้อมูลสูตร!$A51="","",ข้อมูลสูตร!J51)</f>
        <v>13.2</v>
      </c>
      <c r="J54" s="63">
        <f>IF(ข้อมูลสูตร!$A51="","",ข้อมูลสูตร!K51)</f>
        <v>0</v>
      </c>
      <c r="K54" s="63">
        <f>IF(ข้อมูลสูตร!$A51="","",ข้อมูลสูตร!L51)</f>
        <v>0</v>
      </c>
      <c r="L54" s="63">
        <f>IF(ข้อมูลสูตร!$A51="","",ข้อมูลสูตร!M51)</f>
        <v>110</v>
      </c>
      <c r="M54" s="63">
        <f>IF(ข้อมูลสูตร!$A51="","",ข้อมูลสูตร!N51)</f>
        <v>0</v>
      </c>
      <c r="N54" s="63">
        <f>IF(ข้อมูลสูตร!$A51="","",ข้อมูลสูตร!O51)</f>
        <v>0</v>
      </c>
      <c r="O54" s="63">
        <f>IF(ข้อมูลสูตร!$A51="","",ข้อมูลสูตร!P51)</f>
        <v>0</v>
      </c>
      <c r="P54" s="63">
        <f>IF(ข้อมูลสูตร!$A51="","",ข้อมูลสูตร!Q51)</f>
        <v>0</v>
      </c>
      <c r="Q54" s="63">
        <f>IF(ข้อมูลสูตร!$A51="","",ข้อมูลสูตร!R51)</f>
        <v>0</v>
      </c>
      <c r="R54" s="63">
        <f>IF(ข้อมูลสูตร!$A51="","",ข้อมูลสูตร!S51)</f>
        <v>330</v>
      </c>
      <c r="S54" s="63">
        <f>IF(ข้อมูลสูตร!$A51="","",ข้อมูลสูตร!T51)</f>
        <v>0</v>
      </c>
      <c r="T54" s="63">
        <f>IF(ข้อมูลสูตร!$A51="","",ข้อมูลสูตร!U51)</f>
        <v>0</v>
      </c>
      <c r="U54" s="64">
        <f>IF(ข้อมูลสูตร!$A51="","",ข้อมูลสูตร!V51)</f>
        <v>308.7</v>
      </c>
      <c r="V54" s="8">
        <f>IF(ข้อมูลสูตร!$A51="","",ข้อมูลสูตร!W51)</f>
        <v>22.95</v>
      </c>
      <c r="W54" s="64">
        <f>IF(ข้อมูลสูตร!$A51="","",ข้อมูลสูตร!X51)</f>
        <v>65</v>
      </c>
      <c r="X54" s="23">
        <f>IF(ข้อมูลสูตร!$A51="","",ข้อมูลสูตร!Y51)</f>
        <v>0.64692307692307693</v>
      </c>
      <c r="Y54" s="48" t="str">
        <f>IF(ข้อมูลสูตร!$A51="","",ข้อมูลสูตร!Z51)</f>
        <v>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4" s="48" t="str">
        <f>ข้อมูลสูตร!$A51</f>
        <v>Orange Latte|22 oz|100%</v>
      </c>
    </row>
    <row r="55" spans="1:26" x14ac:dyDescent="0.25">
      <c r="A55" s="4" t="str">
        <f>IF(ข้อมูลสูตร!$A52="","",ข้อมูลสูตร!B52)</f>
        <v>Cocoa</v>
      </c>
      <c r="B55" s="4" t="str">
        <f>IF(ข้อมูลสูตร!$A52="","",ข้อมูลสูตร!C52)</f>
        <v>16 oz</v>
      </c>
      <c r="C55" s="4" t="str">
        <f>IF(ข้อมูลสูตร!$A52="","",ข้อมูลสูตร!D52)</f>
        <v>0%</v>
      </c>
      <c r="D55" s="63">
        <f>IF(ข้อมูลสูตร!$A52="","",ข้อมูลสูตร!E52)</f>
        <v>125</v>
      </c>
      <c r="E55" s="63">
        <f>IF(ข้อมูลสูตร!$A52="","",ข้อมูลสูตร!F52)</f>
        <v>0</v>
      </c>
      <c r="F55" s="63">
        <f>IF(ข้อมูลสูตร!$A52="","",ข้อมูลสูตร!G52)</f>
        <v>35</v>
      </c>
      <c r="G55" s="63">
        <f>IF(ข้อมูลสูตร!$A52="","",ข้อมูลสูตร!H52)</f>
        <v>25</v>
      </c>
      <c r="H55" s="63">
        <f>IF(ข้อมูลสูตร!$A52="","",ข้อมูลสูตร!I52)</f>
        <v>0</v>
      </c>
      <c r="I55" s="63">
        <f>IF(ข้อมูลสูตร!$A52="","",ข้อมูลสูตร!J52)</f>
        <v>0</v>
      </c>
      <c r="J55" s="63">
        <f>IF(ข้อมูลสูตร!$A52="","",ข้อมูลสูตร!K52)</f>
        <v>0</v>
      </c>
      <c r="K55" s="63">
        <f>IF(ข้อมูลสูตร!$A52="","",ข้อมูลสูตร!L52)</f>
        <v>6</v>
      </c>
      <c r="L55" s="63">
        <f>IF(ข้อมูลสูตร!$A52="","",ข้อมูลสูตร!M52)</f>
        <v>0</v>
      </c>
      <c r="M55" s="63">
        <f>IF(ข้อมูลสูตร!$A52="","",ข้อมูลสูตร!N52)</f>
        <v>0</v>
      </c>
      <c r="N55" s="63">
        <f>IF(ข้อมูลสูตร!$A52="","",ข้อมูลสูตร!O52)</f>
        <v>0</v>
      </c>
      <c r="O55" s="63">
        <f>IF(ข้อมูลสูตร!$A52="","",ข้อมูลสูตร!P52)</f>
        <v>0</v>
      </c>
      <c r="P55" s="63">
        <f>IF(ข้อมูลสูตร!$A52="","",ข้อมูลสูตร!Q52)</f>
        <v>0</v>
      </c>
      <c r="Q55" s="63">
        <f>IF(ข้อมูลสูตร!$A52="","",ข้อมูลสูตร!R52)</f>
        <v>0</v>
      </c>
      <c r="R55" s="63">
        <f>IF(ข้อมูลสูตร!$A52="","",ข้อมูลสูตร!S52)</f>
        <v>240</v>
      </c>
      <c r="S55" s="63">
        <f>IF(ข้อมูลสูตร!$A52="","",ข้อมูลสูตร!T52)</f>
        <v>0</v>
      </c>
      <c r="T55" s="63">
        <f>IF(ข้อมูลสูตร!$A52="","",ข้อมูลสูตร!U52)</f>
        <v>0</v>
      </c>
      <c r="U55" s="64">
        <f>IF(ข้อมูลสูตร!$A52="","",ข้อมูลสูตร!V52)</f>
        <v>185</v>
      </c>
      <c r="V55" s="8">
        <f>IF(ข้อมูลสูตร!$A52="","",ข้อมูลสูตร!W52)</f>
        <v>16.989999999999998</v>
      </c>
      <c r="W55" s="64">
        <f>IF(ข้อมูลสูตร!$A52="","",ข้อมูลสูตร!X52)</f>
        <v>55</v>
      </c>
      <c r="X55" s="23">
        <f>IF(ข้อมูลสูตร!$A52="","",ข้อมูลสูตร!Y52)</f>
        <v>0.6910909090909092</v>
      </c>
      <c r="Y55" s="48" t="str">
        <f>IF(ข้อมูลสูตร!$A52="","",ข้อมูลสูตร!Z52)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55" s="48" t="str">
        <f>ข้อมูลสูตร!$A52</f>
        <v>Cocoa|16 oz|0%</v>
      </c>
    </row>
    <row r="56" spans="1:26" x14ac:dyDescent="0.25">
      <c r="A56" s="4" t="str">
        <f>IF(ข้อมูลสูตร!$A53="","",ข้อมูลสูตร!B53)</f>
        <v>Cocoa</v>
      </c>
      <c r="B56" s="4" t="str">
        <f>IF(ข้อมูลสูตร!$A53="","",ข้อมูลสูตร!C53)</f>
        <v>16 oz</v>
      </c>
      <c r="C56" s="4" t="str">
        <f>IF(ข้อมูลสูตร!$A53="","",ข้อมูลสูตร!D53)</f>
        <v>25%</v>
      </c>
      <c r="D56" s="63">
        <f>IF(ข้อมูลสูตร!$A53="","",ข้อมูลสูตร!E53)</f>
        <v>125</v>
      </c>
      <c r="E56" s="63">
        <f>IF(ข้อมูลสูตร!$A53="","",ข้อมูลสูตร!F53)</f>
        <v>0</v>
      </c>
      <c r="F56" s="63">
        <f>IF(ข้อมูลสูตร!$A53="","",ข้อมูลสูตร!G53)</f>
        <v>35</v>
      </c>
      <c r="G56" s="63">
        <f>IF(ข้อมูลสูตร!$A53="","",ข้อมูลสูตร!H53)</f>
        <v>25</v>
      </c>
      <c r="H56" s="63">
        <f>IF(ข้อมูลสูตร!$A53="","",ข้อมูลสูตร!I53)</f>
        <v>6</v>
      </c>
      <c r="I56" s="63">
        <f>IF(ข้อมูลสูตร!$A53="","",ข้อมูลสูตร!J53)</f>
        <v>16</v>
      </c>
      <c r="J56" s="63">
        <f>IF(ข้อมูลสูตร!$A53="","",ข้อมูลสูตร!K53)</f>
        <v>0</v>
      </c>
      <c r="K56" s="63">
        <f>IF(ข้อมูลสูตร!$A53="","",ข้อมูลสูตร!L53)</f>
        <v>6</v>
      </c>
      <c r="L56" s="63">
        <f>IF(ข้อมูลสูตร!$A53="","",ข้อมูลสูตร!M53)</f>
        <v>0</v>
      </c>
      <c r="M56" s="63">
        <f>IF(ข้อมูลสูตร!$A53="","",ข้อมูลสูตร!N53)</f>
        <v>0</v>
      </c>
      <c r="N56" s="63">
        <f>IF(ข้อมูลสูตร!$A53="","",ข้อมูลสูตร!O53)</f>
        <v>0</v>
      </c>
      <c r="O56" s="63">
        <f>IF(ข้อมูลสูตร!$A53="","",ข้อมูลสูตร!P53)</f>
        <v>0</v>
      </c>
      <c r="P56" s="63">
        <f>IF(ข้อมูลสูตร!$A53="","",ข้อมูลสูตร!Q53)</f>
        <v>0</v>
      </c>
      <c r="Q56" s="63">
        <f>IF(ข้อมูลสูตร!$A53="","",ข้อมูลสูตร!R53)</f>
        <v>0</v>
      </c>
      <c r="R56" s="63">
        <f>IF(ข้อมูลสูตร!$A53="","",ข้อมูลสูตร!S53)</f>
        <v>240</v>
      </c>
      <c r="S56" s="63">
        <f>IF(ข้อมูลสูตร!$A53="","",ข้อมูลสูตร!T53)</f>
        <v>0</v>
      </c>
      <c r="T56" s="63">
        <f>IF(ข้อมูลสูตร!$A53="","",ข้อมูลสูตร!U53)</f>
        <v>0</v>
      </c>
      <c r="U56" s="64">
        <f>IF(ข้อมูลสูตร!$A53="","",ข้อมูลสูตร!V53)</f>
        <v>207</v>
      </c>
      <c r="V56" s="8">
        <f>IF(ข้อมูลสูตร!$A53="","",ข้อมูลสูตร!W53)</f>
        <v>17.68</v>
      </c>
      <c r="W56" s="64">
        <f>IF(ข้อมูลสูตร!$A53="","",ข้อมูลสูตร!X53)</f>
        <v>55</v>
      </c>
      <c r="X56" s="23">
        <f>IF(ข้อมูลสูตร!$A53="","",ข้อมูลสูตร!Y53)</f>
        <v>0.67854545454545456</v>
      </c>
      <c r="Y56" s="48" t="str">
        <f>IF(ข้อมูลสูตร!$A53="","",ข้อมูลสูตร!Z53)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6" s="48" t="str">
        <f>ข้อมูลสูตร!$A53</f>
        <v>Cocoa|16 oz|25%</v>
      </c>
    </row>
    <row r="57" spans="1:26" x14ac:dyDescent="0.25">
      <c r="A57" s="4" t="str">
        <f>IF(ข้อมูลสูตร!$A54="","",ข้อมูลสูตร!B54)</f>
        <v>Cocoa</v>
      </c>
      <c r="B57" s="4" t="str">
        <f>IF(ข้อมูลสูตร!$A54="","",ข้อมูลสูตร!C54)</f>
        <v>16 oz</v>
      </c>
      <c r="C57" s="4" t="str">
        <f>IF(ข้อมูลสูตร!$A54="","",ข้อมูลสูตร!D54)</f>
        <v>50%</v>
      </c>
      <c r="D57" s="63">
        <f>IF(ข้อมูลสูตร!$A54="","",ข้อมูลสูตร!E54)</f>
        <v>125</v>
      </c>
      <c r="E57" s="63">
        <f>IF(ข้อมูลสูตร!$A54="","",ข้อมูลสูตร!F54)</f>
        <v>0</v>
      </c>
      <c r="F57" s="63">
        <f>IF(ข้อมูลสูตร!$A54="","",ข้อมูลสูตร!G54)</f>
        <v>35</v>
      </c>
      <c r="G57" s="63">
        <f>IF(ข้อมูลสูตร!$A54="","",ข้อมูลสูตร!H54)</f>
        <v>25</v>
      </c>
      <c r="H57" s="63">
        <f>IF(ข้อมูลสูตร!$A54="","",ข้อมูลสูตร!I54)</f>
        <v>12</v>
      </c>
      <c r="I57" s="63">
        <f>IF(ข้อมูลสูตร!$A54="","",ข้อมูลสูตร!J54)</f>
        <v>16</v>
      </c>
      <c r="J57" s="63">
        <f>IF(ข้อมูลสูตร!$A54="","",ข้อมูลสูตร!K54)</f>
        <v>0</v>
      </c>
      <c r="K57" s="63">
        <f>IF(ข้อมูลสูตร!$A54="","",ข้อมูลสูตร!L54)</f>
        <v>6</v>
      </c>
      <c r="L57" s="63">
        <f>IF(ข้อมูลสูตร!$A54="","",ข้อมูลสูตร!M54)</f>
        <v>0</v>
      </c>
      <c r="M57" s="63">
        <f>IF(ข้อมูลสูตร!$A54="","",ข้อมูลสูตร!N54)</f>
        <v>0</v>
      </c>
      <c r="N57" s="63">
        <f>IF(ข้อมูลสูตร!$A54="","",ข้อมูลสูตร!O54)</f>
        <v>0</v>
      </c>
      <c r="O57" s="63">
        <f>IF(ข้อมูลสูตร!$A54="","",ข้อมูลสูตร!P54)</f>
        <v>0</v>
      </c>
      <c r="P57" s="63">
        <f>IF(ข้อมูลสูตร!$A54="","",ข้อมูลสูตร!Q54)</f>
        <v>0</v>
      </c>
      <c r="Q57" s="63">
        <f>IF(ข้อมูลสูตร!$A54="","",ข้อมูลสูตร!R54)</f>
        <v>0</v>
      </c>
      <c r="R57" s="63">
        <f>IF(ข้อมูลสูตร!$A54="","",ข้อมูลสูตร!S54)</f>
        <v>240</v>
      </c>
      <c r="S57" s="63">
        <f>IF(ข้อมูลสูตร!$A54="","",ข้อมูลสูตร!T54)</f>
        <v>0</v>
      </c>
      <c r="T57" s="63">
        <f>IF(ข้อมูลสูตร!$A54="","",ข้อมูลสูตร!U54)</f>
        <v>0</v>
      </c>
      <c r="U57" s="64">
        <f>IF(ข้อมูลสูตร!$A54="","",ข้อมูลสูตร!V54)</f>
        <v>213</v>
      </c>
      <c r="V57" s="8">
        <f>IF(ข้อมูลสูตร!$A54="","",ข้อมูลสูตร!W54)</f>
        <v>18.09</v>
      </c>
      <c r="W57" s="64">
        <f>IF(ข้อมูลสูตร!$A54="","",ข้อมูลสูตร!X54)</f>
        <v>55</v>
      </c>
      <c r="X57" s="23">
        <f>IF(ข้อมูลสูตร!$A54="","",ข้อมูลสูตร!Y54)</f>
        <v>0.67109090909090907</v>
      </c>
      <c r="Y57" s="48" t="str">
        <f>IF(ข้อมูลสูตร!$A54="","",ข้อมูลสูตร!Z54)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7" s="48" t="str">
        <f>ข้อมูลสูตร!$A54</f>
        <v>Cocoa|16 oz|50%</v>
      </c>
    </row>
    <row r="58" spans="1:26" x14ac:dyDescent="0.25">
      <c r="A58" s="4" t="str">
        <f>IF(ข้อมูลสูตร!$A55="","",ข้อมูลสูตร!B55)</f>
        <v>Cocoa</v>
      </c>
      <c r="B58" s="4" t="str">
        <f>IF(ข้อมูลสูตร!$A55="","",ข้อมูลสูตร!C55)</f>
        <v>16 oz</v>
      </c>
      <c r="C58" s="4" t="str">
        <f>IF(ข้อมูลสูตร!$A55="","",ข้อมูลสูตร!D55)</f>
        <v>75%</v>
      </c>
      <c r="D58" s="63">
        <f>IF(ข้อมูลสูตร!$A55="","",ข้อมูลสูตร!E55)</f>
        <v>125</v>
      </c>
      <c r="E58" s="63">
        <f>IF(ข้อมูลสูตร!$A55="","",ข้อมูลสูตร!F55)</f>
        <v>0</v>
      </c>
      <c r="F58" s="63">
        <f>IF(ข้อมูลสูตร!$A55="","",ข้อมูลสูตร!G55)</f>
        <v>35</v>
      </c>
      <c r="G58" s="63">
        <f>IF(ข้อมูลสูตร!$A55="","",ข้อมูลสูตร!H55)</f>
        <v>25</v>
      </c>
      <c r="H58" s="63">
        <f>IF(ข้อมูลสูตร!$A55="","",ข้อมูลสูตร!I55)</f>
        <v>18</v>
      </c>
      <c r="I58" s="63">
        <f>IF(ข้อมูลสูตร!$A55="","",ข้อมูลสูตร!J55)</f>
        <v>16</v>
      </c>
      <c r="J58" s="63">
        <f>IF(ข้อมูลสูตร!$A55="","",ข้อมูลสูตร!K55)</f>
        <v>0</v>
      </c>
      <c r="K58" s="63">
        <f>IF(ข้อมูลสูตร!$A55="","",ข้อมูลสูตร!L55)</f>
        <v>6</v>
      </c>
      <c r="L58" s="63">
        <f>IF(ข้อมูลสูตร!$A55="","",ข้อมูลสูตร!M55)</f>
        <v>0</v>
      </c>
      <c r="M58" s="63">
        <f>IF(ข้อมูลสูตร!$A55="","",ข้อมูลสูตร!N55)</f>
        <v>0</v>
      </c>
      <c r="N58" s="63">
        <f>IF(ข้อมูลสูตร!$A55="","",ข้อมูลสูตร!O55)</f>
        <v>0</v>
      </c>
      <c r="O58" s="63">
        <f>IF(ข้อมูลสูตร!$A55="","",ข้อมูลสูตร!P55)</f>
        <v>0</v>
      </c>
      <c r="P58" s="63">
        <f>IF(ข้อมูลสูตร!$A55="","",ข้อมูลสูตร!Q55)</f>
        <v>0</v>
      </c>
      <c r="Q58" s="63">
        <f>IF(ข้อมูลสูตร!$A55="","",ข้อมูลสูตร!R55)</f>
        <v>0</v>
      </c>
      <c r="R58" s="63">
        <f>IF(ข้อมูลสูตร!$A55="","",ข้อมูลสูตร!S55)</f>
        <v>240</v>
      </c>
      <c r="S58" s="63">
        <f>IF(ข้อมูลสูตร!$A55="","",ข้อมูลสูตร!T55)</f>
        <v>0</v>
      </c>
      <c r="T58" s="63">
        <f>IF(ข้อมูลสูตร!$A55="","",ข้อมูลสูตร!U55)</f>
        <v>0</v>
      </c>
      <c r="U58" s="64">
        <f>IF(ข้อมูลสูตร!$A55="","",ข้อมูลสูตร!V55)</f>
        <v>219</v>
      </c>
      <c r="V58" s="8">
        <f>IF(ข้อมูลสูตร!$A55="","",ข้อมูลสูตร!W55)</f>
        <v>18.510000000000002</v>
      </c>
      <c r="W58" s="64">
        <f>IF(ข้อมูลสูตร!$A55="","",ข้อมูลสูตร!X55)</f>
        <v>55</v>
      </c>
      <c r="X58" s="23">
        <f>IF(ข้อมูลสูตร!$A55="","",ข้อมูลสูตร!Y55)</f>
        <v>0.66345454545454541</v>
      </c>
      <c r="Y58" s="48" t="str">
        <f>IF(ข้อมูลสูตร!$A55="","",ข้อมูลสูตร!Z55)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8" s="48" t="str">
        <f>ข้อมูลสูตร!$A55</f>
        <v>Cocoa|16 oz|75%</v>
      </c>
    </row>
    <row r="59" spans="1:26" x14ac:dyDescent="0.25">
      <c r="A59" s="4" t="str">
        <f>IF(ข้อมูลสูตร!$A56="","",ข้อมูลสูตร!B56)</f>
        <v>Cocoa</v>
      </c>
      <c r="B59" s="4" t="str">
        <f>IF(ข้อมูลสูตร!$A56="","",ข้อมูลสูตร!C56)</f>
        <v>16 oz</v>
      </c>
      <c r="C59" s="4" t="str">
        <f>IF(ข้อมูลสูตร!$A56="","",ข้อมูลสูตร!D56)</f>
        <v>100%</v>
      </c>
      <c r="D59" s="63">
        <f>IF(ข้อมูลสูตร!$A56="","",ข้อมูลสูตร!E56)</f>
        <v>125</v>
      </c>
      <c r="E59" s="63">
        <f>IF(ข้อมูลสูตร!$A56="","",ข้อมูลสูตร!F56)</f>
        <v>0</v>
      </c>
      <c r="F59" s="63">
        <f>IF(ข้อมูลสูตร!$A56="","",ข้อมูลสูตร!G56)</f>
        <v>35</v>
      </c>
      <c r="G59" s="63">
        <f>IF(ข้อมูลสูตร!$A56="","",ข้อมูลสูตร!H56)</f>
        <v>25</v>
      </c>
      <c r="H59" s="63">
        <f>IF(ข้อมูลสูตร!$A56="","",ข้อมูลสูตร!I56)</f>
        <v>24</v>
      </c>
      <c r="I59" s="63">
        <f>IF(ข้อมูลสูตร!$A56="","",ข้อมูลสูตร!J56)</f>
        <v>16</v>
      </c>
      <c r="J59" s="63">
        <f>IF(ข้อมูลสูตร!$A56="","",ข้อมูลสูตร!K56)</f>
        <v>0</v>
      </c>
      <c r="K59" s="63">
        <f>IF(ข้อมูลสูตร!$A56="","",ข้อมูลสูตร!L56)</f>
        <v>6</v>
      </c>
      <c r="L59" s="63">
        <f>IF(ข้อมูลสูตร!$A56="","",ข้อมูลสูตร!M56)</f>
        <v>0</v>
      </c>
      <c r="M59" s="63">
        <f>IF(ข้อมูลสูตร!$A56="","",ข้อมูลสูตร!N56)</f>
        <v>0</v>
      </c>
      <c r="N59" s="63">
        <f>IF(ข้อมูลสูตร!$A56="","",ข้อมูลสูตร!O56)</f>
        <v>0</v>
      </c>
      <c r="O59" s="63">
        <f>IF(ข้อมูลสูตร!$A56="","",ข้อมูลสูตร!P56)</f>
        <v>0</v>
      </c>
      <c r="P59" s="63">
        <f>IF(ข้อมูลสูตร!$A56="","",ข้อมูลสูตร!Q56)</f>
        <v>0</v>
      </c>
      <c r="Q59" s="63">
        <f>IF(ข้อมูลสูตร!$A56="","",ข้อมูลสูตร!R56)</f>
        <v>0</v>
      </c>
      <c r="R59" s="63">
        <f>IF(ข้อมูลสูตร!$A56="","",ข้อมูลสูตร!S56)</f>
        <v>240</v>
      </c>
      <c r="S59" s="63">
        <f>IF(ข้อมูลสูตร!$A56="","",ข้อมูลสูตร!T56)</f>
        <v>0</v>
      </c>
      <c r="T59" s="63">
        <f>IF(ข้อมูลสูตร!$A56="","",ข้อมูลสูตร!U56)</f>
        <v>0</v>
      </c>
      <c r="U59" s="64">
        <f>IF(ข้อมูลสูตร!$A56="","",ข้อมูลสูตร!V56)</f>
        <v>225</v>
      </c>
      <c r="V59" s="8">
        <f>IF(ข้อมูลสูตร!$A56="","",ข้อมูลสูตร!W56)</f>
        <v>18.920000000000002</v>
      </c>
      <c r="W59" s="64">
        <f>IF(ข้อมูลสูตร!$A56="","",ข้อมูลสูตร!X56)</f>
        <v>55</v>
      </c>
      <c r="X59" s="23">
        <f>IF(ข้อมูลสูตร!$A56="","",ข้อมูลสูตร!Y56)</f>
        <v>0.65599999999999992</v>
      </c>
      <c r="Y59" s="48" t="str">
        <f>IF(ข้อมูลสูตร!$A56="","",ข้อมูลสูตร!Z56)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59" s="48" t="str">
        <f>ข้อมูลสูตร!$A56</f>
        <v>Cocoa|16 oz|100%</v>
      </c>
    </row>
    <row r="60" spans="1:26" x14ac:dyDescent="0.25">
      <c r="A60" s="4" t="str">
        <f>IF(ข้อมูลสูตร!$A57="","",ข้อมูลสูตร!B57)</f>
        <v>Cocoa</v>
      </c>
      <c r="B60" s="4" t="str">
        <f>IF(ข้อมูลสูตร!$A57="","",ข้อมูลสูตร!C57)</f>
        <v>22 oz</v>
      </c>
      <c r="C60" s="4" t="str">
        <f>IF(ข้อมูลสูตร!$A57="","",ข้อมูลสูตร!D57)</f>
        <v>0%</v>
      </c>
      <c r="D60" s="63">
        <f>IF(ข้อมูลสูตร!$A57="","",ข้อมูลสูตร!E57)</f>
        <v>172</v>
      </c>
      <c r="E60" s="63">
        <f>IF(ข้อมูลสูตร!$A57="","",ข้อมูลสูตร!F57)</f>
        <v>0</v>
      </c>
      <c r="F60" s="63">
        <f>IF(ข้อมูลสูตร!$A57="","",ข้อมูลสูตร!G57)</f>
        <v>48</v>
      </c>
      <c r="G60" s="63">
        <f>IF(ข้อมูลสูตร!$A57="","",ข้อมูลสูตร!H57)</f>
        <v>34.5</v>
      </c>
      <c r="H60" s="63">
        <f>IF(ข้อมูลสูตร!$A57="","",ข้อมูลสูตร!I57)</f>
        <v>0</v>
      </c>
      <c r="I60" s="63">
        <f>IF(ข้อมูลสูตร!$A57="","",ข้อมูลสูตร!J57)</f>
        <v>0</v>
      </c>
      <c r="J60" s="63">
        <f>IF(ข้อมูลสูตร!$A57="","",ข้อมูลสูตร!K57)</f>
        <v>0</v>
      </c>
      <c r="K60" s="63">
        <f>IF(ข้อมูลสูตร!$A57="","",ข้อมูลสูตร!L57)</f>
        <v>8</v>
      </c>
      <c r="L60" s="63">
        <f>IF(ข้อมูลสูตร!$A57="","",ข้อมูลสูตร!M57)</f>
        <v>0</v>
      </c>
      <c r="M60" s="63">
        <f>IF(ข้อมูลสูตร!$A57="","",ข้อมูลสูตร!N57)</f>
        <v>0</v>
      </c>
      <c r="N60" s="63">
        <f>IF(ข้อมูลสูตร!$A57="","",ข้อมูลสูตร!O57)</f>
        <v>0</v>
      </c>
      <c r="O60" s="63">
        <f>IF(ข้อมูลสูตร!$A57="","",ข้อมูลสูตร!P57)</f>
        <v>0</v>
      </c>
      <c r="P60" s="63">
        <f>IF(ข้อมูลสูตร!$A57="","",ข้อมูลสูตร!Q57)</f>
        <v>0</v>
      </c>
      <c r="Q60" s="63">
        <f>IF(ข้อมูลสูตร!$A57="","",ข้อมูลสูตร!R57)</f>
        <v>0</v>
      </c>
      <c r="R60" s="63">
        <f>IF(ข้อมูลสูตร!$A57="","",ข้อมูลสูตร!S57)</f>
        <v>330</v>
      </c>
      <c r="S60" s="63">
        <f>IF(ข้อมูลสูตร!$A57="","",ข้อมูลสูตร!T57)</f>
        <v>0</v>
      </c>
      <c r="T60" s="63">
        <f>IF(ข้อมูลสูตร!$A57="","",ข้อมูลสูตร!U57)</f>
        <v>0</v>
      </c>
      <c r="U60" s="64">
        <f>IF(ข้อมูลสูตร!$A57="","",ข้อมูลสูตร!V57)</f>
        <v>254.5</v>
      </c>
      <c r="V60" s="8">
        <f>IF(ข้อมูลสูตร!$A57="","",ข้อมูลสูตร!W57)</f>
        <v>22.52</v>
      </c>
      <c r="W60" s="64">
        <f>IF(ข้อมูลสูตร!$A57="","",ข้อมูลสูตร!X57)</f>
        <v>65</v>
      </c>
      <c r="X60" s="23">
        <f>IF(ข้อมูลสูตร!$A57="","",ข้อมูลสูตร!Y57)</f>
        <v>0.65353846153846162</v>
      </c>
      <c r="Y60" s="48" t="str">
        <f>IF(ข้อมูลสูตร!$A57="","",ข้อมูลสูตร!Z57)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60" s="48" t="str">
        <f>ข้อมูลสูตร!$A57</f>
        <v>Cocoa|22 oz|0%</v>
      </c>
    </row>
    <row r="61" spans="1:26" x14ac:dyDescent="0.25">
      <c r="A61" s="4" t="str">
        <f>IF(ข้อมูลสูตร!$A58="","",ข้อมูลสูตร!B58)</f>
        <v>Cocoa</v>
      </c>
      <c r="B61" s="4" t="str">
        <f>IF(ข้อมูลสูตร!$A58="","",ข้อมูลสูตร!C58)</f>
        <v>22 oz</v>
      </c>
      <c r="C61" s="4" t="str">
        <f>IF(ข้อมูลสูตร!$A58="","",ข้อมูลสูตร!D58)</f>
        <v>25%</v>
      </c>
      <c r="D61" s="63">
        <f>IF(ข้อมูลสูตร!$A58="","",ข้อมูลสูตร!E58)</f>
        <v>172</v>
      </c>
      <c r="E61" s="63">
        <f>IF(ข้อมูลสูตร!$A58="","",ข้อมูลสูตร!F58)</f>
        <v>0</v>
      </c>
      <c r="F61" s="63">
        <f>IF(ข้อมูลสูตร!$A58="","",ข้อมูลสูตร!G58)</f>
        <v>48</v>
      </c>
      <c r="G61" s="63">
        <f>IF(ข้อมูลสูตร!$A58="","",ข้อมูลสูตร!H58)</f>
        <v>34.5</v>
      </c>
      <c r="H61" s="63">
        <f>IF(ข้อมูลสูตร!$A58="","",ข้อมูลสูตร!I58)</f>
        <v>8</v>
      </c>
      <c r="I61" s="63">
        <f>IF(ข้อมูลสูตร!$A58="","",ข้อมูลสูตร!J58)</f>
        <v>22</v>
      </c>
      <c r="J61" s="63">
        <f>IF(ข้อมูลสูตร!$A58="","",ข้อมูลสูตร!K58)</f>
        <v>0</v>
      </c>
      <c r="K61" s="63">
        <f>IF(ข้อมูลสูตร!$A58="","",ข้อมูลสูตร!L58)</f>
        <v>8</v>
      </c>
      <c r="L61" s="63">
        <f>IF(ข้อมูลสูตร!$A58="","",ข้อมูลสูตร!M58)</f>
        <v>0</v>
      </c>
      <c r="M61" s="63">
        <f>IF(ข้อมูลสูตร!$A58="","",ข้อมูลสูตร!N58)</f>
        <v>0</v>
      </c>
      <c r="N61" s="63">
        <f>IF(ข้อมูลสูตร!$A58="","",ข้อมูลสูตร!O58)</f>
        <v>0</v>
      </c>
      <c r="O61" s="63">
        <f>IF(ข้อมูลสูตร!$A58="","",ข้อมูลสูตร!P58)</f>
        <v>0</v>
      </c>
      <c r="P61" s="63">
        <f>IF(ข้อมูลสูตร!$A58="","",ข้อมูลสูตร!Q58)</f>
        <v>0</v>
      </c>
      <c r="Q61" s="63">
        <f>IF(ข้อมูลสูตร!$A58="","",ข้อมูลสูตร!R58)</f>
        <v>0</v>
      </c>
      <c r="R61" s="63">
        <f>IF(ข้อมูลสูตร!$A58="","",ข้อมูลสูตร!S58)</f>
        <v>330</v>
      </c>
      <c r="S61" s="63">
        <f>IF(ข้อมูลสูตร!$A58="","",ข้อมูลสูตร!T58)</f>
        <v>0</v>
      </c>
      <c r="T61" s="63">
        <f>IF(ข้อมูลสูตร!$A58="","",ข้อมูลสูตร!U58)</f>
        <v>0</v>
      </c>
      <c r="U61" s="64">
        <f>IF(ข้อมูลสูตร!$A58="","",ข้อมูลสูตร!V58)</f>
        <v>284.5</v>
      </c>
      <c r="V61" s="8">
        <f>IF(ข้อมูลสูตร!$A58="","",ข้อมูลสูตร!W58)</f>
        <v>23.44</v>
      </c>
      <c r="W61" s="64">
        <f>IF(ข้อมูลสูตร!$A58="","",ข้อมูลสูตร!X58)</f>
        <v>65</v>
      </c>
      <c r="X61" s="23">
        <f>IF(ข้อมูลสูตร!$A58="","",ข้อมูลสูตร!Y58)</f>
        <v>0.63938461538461544</v>
      </c>
      <c r="Y61" s="48" t="str">
        <f>IF(ข้อมูลสูตร!$A58="","",ข้อมูลสูตร!Z58)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1" s="48" t="str">
        <f>ข้อมูลสูตร!$A58</f>
        <v>Cocoa|22 oz|25%</v>
      </c>
    </row>
    <row r="62" spans="1:26" x14ac:dyDescent="0.25">
      <c r="A62" s="4" t="str">
        <f>IF(ข้อมูลสูตร!$A59="","",ข้อมูลสูตร!B59)</f>
        <v>Cocoa</v>
      </c>
      <c r="B62" s="4" t="str">
        <f>IF(ข้อมูลสูตร!$A59="","",ข้อมูลสูตร!C59)</f>
        <v>22 oz</v>
      </c>
      <c r="C62" s="4" t="str">
        <f>IF(ข้อมูลสูตร!$A59="","",ข้อมูลสูตร!D59)</f>
        <v>50%</v>
      </c>
      <c r="D62" s="63">
        <f>IF(ข้อมูลสูตร!$A59="","",ข้อมูลสูตร!E59)</f>
        <v>172</v>
      </c>
      <c r="E62" s="63">
        <f>IF(ข้อมูลสูตร!$A59="","",ข้อมูลสูตร!F59)</f>
        <v>0</v>
      </c>
      <c r="F62" s="63">
        <f>IF(ข้อมูลสูตร!$A59="","",ข้อมูลสูตร!G59)</f>
        <v>48</v>
      </c>
      <c r="G62" s="63">
        <f>IF(ข้อมูลสูตร!$A59="","",ข้อมูลสูตร!H59)</f>
        <v>34.5</v>
      </c>
      <c r="H62" s="63">
        <f>IF(ข้อมูลสูตร!$A59="","",ข้อมูลสูตร!I59)</f>
        <v>16.5</v>
      </c>
      <c r="I62" s="63">
        <f>IF(ข้อมูลสูตร!$A59="","",ข้อมูลสูตร!J59)</f>
        <v>22</v>
      </c>
      <c r="J62" s="63">
        <f>IF(ข้อมูลสูตร!$A59="","",ข้อมูลสูตร!K59)</f>
        <v>0</v>
      </c>
      <c r="K62" s="63">
        <f>IF(ข้อมูลสูตร!$A59="","",ข้อมูลสูตร!L59)</f>
        <v>8</v>
      </c>
      <c r="L62" s="63">
        <f>IF(ข้อมูลสูตร!$A59="","",ข้อมูลสูตร!M59)</f>
        <v>0</v>
      </c>
      <c r="M62" s="63">
        <f>IF(ข้อมูลสูตร!$A59="","",ข้อมูลสูตร!N59)</f>
        <v>0</v>
      </c>
      <c r="N62" s="63">
        <f>IF(ข้อมูลสูตร!$A59="","",ข้อมูลสูตร!O59)</f>
        <v>0</v>
      </c>
      <c r="O62" s="63">
        <f>IF(ข้อมูลสูตร!$A59="","",ข้อมูลสูตร!P59)</f>
        <v>0</v>
      </c>
      <c r="P62" s="63">
        <f>IF(ข้อมูลสูตร!$A59="","",ข้อมูลสูตร!Q59)</f>
        <v>0</v>
      </c>
      <c r="Q62" s="63">
        <f>IF(ข้อมูลสูตร!$A59="","",ข้อมูลสูตร!R59)</f>
        <v>0</v>
      </c>
      <c r="R62" s="63">
        <f>IF(ข้อมูลสูตร!$A59="","",ข้อมูลสูตร!S59)</f>
        <v>330</v>
      </c>
      <c r="S62" s="63">
        <f>IF(ข้อมูลสูตร!$A59="","",ข้อมูลสูตร!T59)</f>
        <v>0</v>
      </c>
      <c r="T62" s="63">
        <f>IF(ข้อมูลสูตร!$A59="","",ข้อมูลสูตร!U59)</f>
        <v>0</v>
      </c>
      <c r="U62" s="64">
        <f>IF(ข้อมูลสูตร!$A59="","",ข้อมูลสูตร!V59)</f>
        <v>293</v>
      </c>
      <c r="V62" s="8">
        <f>IF(ข้อมูลสูตร!$A59="","",ข้อมูลสูตร!W59)</f>
        <v>24.03</v>
      </c>
      <c r="W62" s="64">
        <f>IF(ข้อมูลสูตร!$A59="","",ข้อมูลสูตร!X59)</f>
        <v>65</v>
      </c>
      <c r="X62" s="23">
        <f>IF(ข้อมูลสูตร!$A59="","",ข้อมูลสูตร!Y59)</f>
        <v>0.63030769230769224</v>
      </c>
      <c r="Y62" s="48" t="str">
        <f>IF(ข้อมูลสูตร!$A59="","",ข้อมูลสูตร!Z59)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2" s="48" t="str">
        <f>ข้อมูลสูตร!$A59</f>
        <v>Cocoa|22 oz|50%</v>
      </c>
    </row>
    <row r="63" spans="1:26" x14ac:dyDescent="0.25">
      <c r="A63" s="4" t="str">
        <f>IF(ข้อมูลสูตร!$A60="","",ข้อมูลสูตร!B60)</f>
        <v>Cocoa</v>
      </c>
      <c r="B63" s="4" t="str">
        <f>IF(ข้อมูลสูตร!$A60="","",ข้อมูลสูตร!C60)</f>
        <v>22 oz</v>
      </c>
      <c r="C63" s="4" t="str">
        <f>IF(ข้อมูลสูตร!$A60="","",ข้อมูลสูตร!D60)</f>
        <v>75%</v>
      </c>
      <c r="D63" s="63">
        <f>IF(ข้อมูลสูตร!$A60="","",ข้อมูลสูตร!E60)</f>
        <v>172</v>
      </c>
      <c r="E63" s="63">
        <f>IF(ข้อมูลสูตร!$A60="","",ข้อมูลสูตร!F60)</f>
        <v>0</v>
      </c>
      <c r="F63" s="63">
        <f>IF(ข้อมูลสูตร!$A60="","",ข้อมูลสูตร!G60)</f>
        <v>48</v>
      </c>
      <c r="G63" s="63">
        <f>IF(ข้อมูลสูตร!$A60="","",ข้อมูลสูตร!H60)</f>
        <v>34.5</v>
      </c>
      <c r="H63" s="63">
        <f>IF(ข้อมูลสูตร!$A60="","",ข้อมูลสูตร!I60)</f>
        <v>25</v>
      </c>
      <c r="I63" s="63">
        <f>IF(ข้อมูลสูตร!$A60="","",ข้อมูลสูตร!J60)</f>
        <v>22</v>
      </c>
      <c r="J63" s="63">
        <f>IF(ข้อมูลสูตร!$A60="","",ข้อมูลสูตร!K60)</f>
        <v>0</v>
      </c>
      <c r="K63" s="63">
        <f>IF(ข้อมูลสูตร!$A60="","",ข้อมูลสูตร!L60)</f>
        <v>8</v>
      </c>
      <c r="L63" s="63">
        <f>IF(ข้อมูลสูตร!$A60="","",ข้อมูลสูตร!M60)</f>
        <v>0</v>
      </c>
      <c r="M63" s="63">
        <f>IF(ข้อมูลสูตร!$A60="","",ข้อมูลสูตร!N60)</f>
        <v>0</v>
      </c>
      <c r="N63" s="63">
        <f>IF(ข้อมูลสูตร!$A60="","",ข้อมูลสูตร!O60)</f>
        <v>0</v>
      </c>
      <c r="O63" s="63">
        <f>IF(ข้อมูลสูตร!$A60="","",ข้อมูลสูตร!P60)</f>
        <v>0</v>
      </c>
      <c r="P63" s="63">
        <f>IF(ข้อมูลสูตร!$A60="","",ข้อมูลสูตร!Q60)</f>
        <v>0</v>
      </c>
      <c r="Q63" s="63">
        <f>IF(ข้อมูลสูตร!$A60="","",ข้อมูลสูตร!R60)</f>
        <v>0</v>
      </c>
      <c r="R63" s="63">
        <f>IF(ข้อมูลสูตร!$A60="","",ข้อมูลสูตร!S60)</f>
        <v>330</v>
      </c>
      <c r="S63" s="63">
        <f>IF(ข้อมูลสูตร!$A60="","",ข้อมูลสูตร!T60)</f>
        <v>0</v>
      </c>
      <c r="T63" s="63">
        <f>IF(ข้อมูลสูตร!$A60="","",ข้อมูลสูตร!U60)</f>
        <v>0</v>
      </c>
      <c r="U63" s="64">
        <f>IF(ข้อมูลสูตร!$A60="","",ข้อมูลสูตร!V60)</f>
        <v>301.5</v>
      </c>
      <c r="V63" s="8">
        <f>IF(ข้อมูลสูตร!$A60="","",ข้อมูลสูตร!W60)</f>
        <v>24.62</v>
      </c>
      <c r="W63" s="64">
        <f>IF(ข้อมูลสูตร!$A60="","",ข้อมูลสูตร!X60)</f>
        <v>65</v>
      </c>
      <c r="X63" s="23">
        <f>IF(ข้อมูลสูตร!$A60="","",ข้อมูลสูตร!Y60)</f>
        <v>0.62123076923076914</v>
      </c>
      <c r="Y63" s="48" t="str">
        <f>IF(ข้อมูลสูตร!$A60="","",ข้อมูลสูตร!Z60)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3" s="48" t="str">
        <f>ข้อมูลสูตร!$A60</f>
        <v>Cocoa|22 oz|75%</v>
      </c>
    </row>
    <row r="64" spans="1:26" x14ac:dyDescent="0.25">
      <c r="A64" s="4" t="str">
        <f>IF(ข้อมูลสูตร!$A61="","",ข้อมูลสูตร!B61)</f>
        <v>Cocoa</v>
      </c>
      <c r="B64" s="4" t="str">
        <f>IF(ข้อมูลสูตร!$A61="","",ข้อมูลสูตร!C61)</f>
        <v>22 oz</v>
      </c>
      <c r="C64" s="4" t="str">
        <f>IF(ข้อมูลสูตร!$A61="","",ข้อมูลสูตร!D61)</f>
        <v>100%</v>
      </c>
      <c r="D64" s="63">
        <f>IF(ข้อมูลสูตร!$A61="","",ข้อมูลสูตร!E61)</f>
        <v>172</v>
      </c>
      <c r="E64" s="63">
        <f>IF(ข้อมูลสูตร!$A61="","",ข้อมูลสูตร!F61)</f>
        <v>0</v>
      </c>
      <c r="F64" s="63">
        <f>IF(ข้อมูลสูตร!$A61="","",ข้อมูลสูตร!G61)</f>
        <v>48</v>
      </c>
      <c r="G64" s="63">
        <f>IF(ข้อมูลสูตร!$A61="","",ข้อมูลสูตร!H61)</f>
        <v>34.5</v>
      </c>
      <c r="H64" s="63">
        <f>IF(ข้อมูลสูตร!$A61="","",ข้อมูลสูตร!I61)</f>
        <v>33</v>
      </c>
      <c r="I64" s="63">
        <f>IF(ข้อมูลสูตร!$A61="","",ข้อมูลสูตร!J61)</f>
        <v>22</v>
      </c>
      <c r="J64" s="63">
        <f>IF(ข้อมูลสูตร!$A61="","",ข้อมูลสูตร!K61)</f>
        <v>0</v>
      </c>
      <c r="K64" s="63">
        <f>IF(ข้อมูลสูตร!$A61="","",ข้อมูลสูตร!L61)</f>
        <v>8</v>
      </c>
      <c r="L64" s="63">
        <f>IF(ข้อมูลสูตร!$A61="","",ข้อมูลสูตร!M61)</f>
        <v>0</v>
      </c>
      <c r="M64" s="63">
        <f>IF(ข้อมูลสูตร!$A61="","",ข้อมูลสูตร!N61)</f>
        <v>0</v>
      </c>
      <c r="N64" s="63">
        <f>IF(ข้อมูลสูตร!$A61="","",ข้อมูลสูตร!O61)</f>
        <v>0</v>
      </c>
      <c r="O64" s="63">
        <f>IF(ข้อมูลสูตร!$A61="","",ข้อมูลสูตร!P61)</f>
        <v>0</v>
      </c>
      <c r="P64" s="63">
        <f>IF(ข้อมูลสูตร!$A61="","",ข้อมูลสูตร!Q61)</f>
        <v>0</v>
      </c>
      <c r="Q64" s="63">
        <f>IF(ข้อมูลสูตร!$A61="","",ข้อมูลสูตร!R61)</f>
        <v>0</v>
      </c>
      <c r="R64" s="63">
        <f>IF(ข้อมูลสูตร!$A61="","",ข้อมูลสูตร!S61)</f>
        <v>330</v>
      </c>
      <c r="S64" s="63">
        <f>IF(ข้อมูลสูตร!$A61="","",ข้อมูลสูตร!T61)</f>
        <v>0</v>
      </c>
      <c r="T64" s="63">
        <f>IF(ข้อมูลสูตร!$A61="","",ข้อมูลสูตร!U61)</f>
        <v>0</v>
      </c>
      <c r="U64" s="64">
        <f>IF(ข้อมูลสูตร!$A61="","",ข้อมูลสูตร!V61)</f>
        <v>309.5</v>
      </c>
      <c r="V64" s="8">
        <f>IF(ข้อมูลสูตร!$A61="","",ข้อมูลสูตร!W61)</f>
        <v>25.18</v>
      </c>
      <c r="W64" s="64">
        <f>IF(ข้อมูลสูตร!$A61="","",ข้อมูลสูตร!X61)</f>
        <v>65</v>
      </c>
      <c r="X64" s="23">
        <f>IF(ข้อมูลสูตร!$A61="","",ข้อมูลสูตร!Y61)</f>
        <v>0.61261538461538467</v>
      </c>
      <c r="Y64" s="48" t="str">
        <f>IF(ข้อมูลสูตร!$A61="","",ข้อมูลสูตร!Z61)</f>
        <v>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4" s="48" t="str">
        <f>ข้อมูลสูตร!$A61</f>
        <v>Cocoa|22 oz|100%</v>
      </c>
    </row>
    <row r="65" spans="1:26" x14ac:dyDescent="0.25">
      <c r="A65" s="4" t="str">
        <f>IF(ข้อมูลสูตร!$A62="","",ข้อมูลสูตร!B62)</f>
        <v>Thai Tea Frappe</v>
      </c>
      <c r="B65" s="4" t="str">
        <f>IF(ข้อมูลสูตร!$A62="","",ข้อมูลสูตร!C62)</f>
        <v>16 oz</v>
      </c>
      <c r="C65" s="4" t="str">
        <f>IF(ข้อมูลสูตร!$A62="","",ข้อมูลสูตร!D62)</f>
        <v>0%</v>
      </c>
      <c r="D65" s="63">
        <f>IF(ข้อมูลสูตร!$A62="","",ข้อมูลสูตร!E62)</f>
        <v>90</v>
      </c>
      <c r="E65" s="63">
        <f>IF(ข้อมูลสูตร!$A62="","",ข้อมูลสูตร!F62)</f>
        <v>0</v>
      </c>
      <c r="F65" s="63">
        <f>IF(ข้อมูลสูตร!$A62="","",ข้อมูลสูตร!G62)</f>
        <v>70</v>
      </c>
      <c r="G65" s="63">
        <f>IF(ข้อมูลสูตร!$A62="","",ข้อมูลสูตร!H62)</f>
        <v>20</v>
      </c>
      <c r="H65" s="63">
        <f>IF(ข้อมูลสูตร!$A62="","",ข้อมูลสูตร!I62)</f>
        <v>0</v>
      </c>
      <c r="I65" s="63">
        <f>IF(ข้อมูลสูตร!$A62="","",ข้อมูลสูตร!J62)</f>
        <v>0</v>
      </c>
      <c r="J65" s="63">
        <f>IF(ข้อมูลสูตร!$A62="","",ข้อมูลสูตร!K62)</f>
        <v>0</v>
      </c>
      <c r="K65" s="63">
        <f>IF(ข้อมูลสูตร!$A62="","",ข้อมูลสูตร!L62)</f>
        <v>0</v>
      </c>
      <c r="L65" s="63">
        <f>IF(ข้อมูลสูตร!$A62="","",ข้อมูลสูตร!M62)</f>
        <v>0</v>
      </c>
      <c r="M65" s="63">
        <f>IF(ข้อมูลสูตร!$A62="","",ข้อมูลสูตร!N62)</f>
        <v>0</v>
      </c>
      <c r="N65" s="63">
        <f>IF(ข้อมูลสูตร!$A62="","",ข้อมูลสูตร!O62)</f>
        <v>0</v>
      </c>
      <c r="O65" s="63">
        <f>IF(ข้อมูลสูตร!$A62="","",ข้อมูลสูตร!P62)</f>
        <v>0</v>
      </c>
      <c r="P65" s="63">
        <f>IF(ข้อมูลสูตร!$A62="","",ข้อมูลสูตร!Q62)</f>
        <v>0</v>
      </c>
      <c r="Q65" s="63">
        <f>IF(ข้อมูลสูตร!$A62="","",ข้อมูลสูตร!R62)</f>
        <v>0</v>
      </c>
      <c r="R65" s="63">
        <f>IF(ข้อมูลสูตร!$A62="","",ข้อมูลสูตร!S62)</f>
        <v>200</v>
      </c>
      <c r="S65" s="63">
        <f>IF(ข้อมูลสูตร!$A62="","",ข้อมูลสูตร!T62)</f>
        <v>0</v>
      </c>
      <c r="T65" s="63">
        <f>IF(ข้อมูลสูตร!$A62="","",ข้อมูลสูตร!U62)</f>
        <v>0</v>
      </c>
      <c r="U65" s="64">
        <f>IF(ข้อมูลสูตร!$A62="","",ข้อมูลสูตร!V62)</f>
        <v>180</v>
      </c>
      <c r="V65" s="8">
        <f>IF(ข้อมูลสูตร!$A62="","",ข้อมูลสูตร!W62)</f>
        <v>13.44</v>
      </c>
      <c r="W65" s="64">
        <f>IF(ข้อมูลสูตร!$A62="","",ข้อมูลสูตร!X62)</f>
        <v>65</v>
      </c>
      <c r="X65" s="23">
        <f>IF(ข้อมูลสูตร!$A62="","",ข้อมูลสูตร!Y62)</f>
        <v>0.79323076923076929</v>
      </c>
      <c r="Y65" s="48" t="str">
        <f>IF(ข้อมูลสูตร!$A62="","",ข้อมูลสูตร!Z62)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65" s="48" t="str">
        <f>ข้อมูลสูตร!$A62</f>
        <v>Thai Tea Frappe|16 oz|0%</v>
      </c>
    </row>
    <row r="66" spans="1:26" x14ac:dyDescent="0.25">
      <c r="A66" s="4" t="str">
        <f>IF(ข้อมูลสูตร!$A63="","",ข้อมูลสูตร!B63)</f>
        <v>Thai Tea Frappe</v>
      </c>
      <c r="B66" s="4" t="str">
        <f>IF(ข้อมูลสูตร!$A63="","",ข้อมูลสูตร!C63)</f>
        <v>16 oz</v>
      </c>
      <c r="C66" s="4" t="str">
        <f>IF(ข้อมูลสูตร!$A63="","",ข้อมูลสูตร!D63)</f>
        <v>25%</v>
      </c>
      <c r="D66" s="63">
        <f>IF(ข้อมูลสูตร!$A63="","",ข้อมูลสูตร!E63)</f>
        <v>90</v>
      </c>
      <c r="E66" s="63">
        <f>IF(ข้อมูลสูตร!$A63="","",ข้อมูลสูตร!F63)</f>
        <v>0</v>
      </c>
      <c r="F66" s="63">
        <f>IF(ข้อมูลสูตร!$A63="","",ข้อมูลสูตร!G63)</f>
        <v>70</v>
      </c>
      <c r="G66" s="63">
        <f>IF(ข้อมูลสูตร!$A63="","",ข้อมูลสูตร!H63)</f>
        <v>20</v>
      </c>
      <c r="H66" s="63">
        <f>IF(ข้อมูลสูตร!$A63="","",ข้อมูลสูตร!I63)</f>
        <v>8</v>
      </c>
      <c r="I66" s="63">
        <f>IF(ข้อมูลสูตร!$A63="","",ข้อมูลสูตร!J63)</f>
        <v>11.5</v>
      </c>
      <c r="J66" s="63">
        <f>IF(ข้อมูลสูตร!$A63="","",ข้อมูลสูตร!K63)</f>
        <v>0</v>
      </c>
      <c r="K66" s="63">
        <f>IF(ข้อมูลสูตร!$A63="","",ข้อมูลสูตร!L63)</f>
        <v>0</v>
      </c>
      <c r="L66" s="63">
        <f>IF(ข้อมูลสูตร!$A63="","",ข้อมูลสูตร!M63)</f>
        <v>0</v>
      </c>
      <c r="M66" s="63">
        <f>IF(ข้อมูลสูตร!$A63="","",ข้อมูลสูตร!N63)</f>
        <v>0</v>
      </c>
      <c r="N66" s="63">
        <f>IF(ข้อมูลสูตร!$A63="","",ข้อมูลสูตร!O63)</f>
        <v>0</v>
      </c>
      <c r="O66" s="63">
        <f>IF(ข้อมูลสูตร!$A63="","",ข้อมูลสูตร!P63)</f>
        <v>0</v>
      </c>
      <c r="P66" s="63">
        <f>IF(ข้อมูลสูตร!$A63="","",ข้อมูลสูตร!Q63)</f>
        <v>0</v>
      </c>
      <c r="Q66" s="63">
        <f>IF(ข้อมูลสูตร!$A63="","",ข้อมูลสูตร!R63)</f>
        <v>0</v>
      </c>
      <c r="R66" s="63">
        <f>IF(ข้อมูลสูตร!$A63="","",ข้อมูลสูตร!S63)</f>
        <v>200</v>
      </c>
      <c r="S66" s="63">
        <f>IF(ข้อมูลสูตร!$A63="","",ข้อมูลสูตร!T63)</f>
        <v>0</v>
      </c>
      <c r="T66" s="63">
        <f>IF(ข้อมูลสูตร!$A63="","",ข้อมูลสูตร!U63)</f>
        <v>0</v>
      </c>
      <c r="U66" s="64">
        <f>IF(ข้อมูลสูตร!$A63="","",ข้อมูลสูตร!V63)</f>
        <v>199.5</v>
      </c>
      <c r="V66" s="8">
        <f>IF(ข้อมูลสูตร!$A63="","",ข้อมูลสูตร!W63)</f>
        <v>14.19</v>
      </c>
      <c r="W66" s="64">
        <f>IF(ข้อมูลสูตร!$A63="","",ข้อมูลสูตร!X63)</f>
        <v>65</v>
      </c>
      <c r="X66" s="23">
        <f>IF(ข้อมูลสูตร!$A63="","",ข้อมูลสูตร!Y63)</f>
        <v>0.78169230769230769</v>
      </c>
      <c r="Y66" s="48" t="str">
        <f>IF(ข้อมูลสูตร!$A63="","",ข้อมูลสูตร!Z63)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6" s="48" t="str">
        <f>ข้อมูลสูตร!$A63</f>
        <v>Thai Tea Frappe|16 oz|25%</v>
      </c>
    </row>
    <row r="67" spans="1:26" x14ac:dyDescent="0.25">
      <c r="A67" s="4" t="str">
        <f>IF(ข้อมูลสูตร!$A64="","",ข้อมูลสูตร!B64)</f>
        <v>Thai Tea Frappe</v>
      </c>
      <c r="B67" s="4" t="str">
        <f>IF(ข้อมูลสูตร!$A64="","",ข้อมูลสูตร!C64)</f>
        <v>16 oz</v>
      </c>
      <c r="C67" s="4" t="str">
        <f>IF(ข้อมูลสูตร!$A64="","",ข้อมูลสูตร!D64)</f>
        <v>50%</v>
      </c>
      <c r="D67" s="63">
        <f>IF(ข้อมูลสูตร!$A64="","",ข้อมูลสูตร!E64)</f>
        <v>90</v>
      </c>
      <c r="E67" s="63">
        <f>IF(ข้อมูลสูตร!$A64="","",ข้อมูลสูตร!F64)</f>
        <v>0</v>
      </c>
      <c r="F67" s="63">
        <f>IF(ข้อมูลสูตร!$A64="","",ข้อมูลสูตร!G64)</f>
        <v>70</v>
      </c>
      <c r="G67" s="63">
        <f>IF(ข้อมูลสูตร!$A64="","",ข้อมูลสูตร!H64)</f>
        <v>20</v>
      </c>
      <c r="H67" s="63">
        <f>IF(ข้อมูลสูตร!$A64="","",ข้อมูลสูตร!I64)</f>
        <v>16</v>
      </c>
      <c r="I67" s="63">
        <f>IF(ข้อมูลสูตร!$A64="","",ข้อมูลสูตร!J64)</f>
        <v>11.5</v>
      </c>
      <c r="J67" s="63">
        <f>IF(ข้อมูลสูตร!$A64="","",ข้อมูลสูตร!K64)</f>
        <v>0</v>
      </c>
      <c r="K67" s="63">
        <f>IF(ข้อมูลสูตร!$A64="","",ข้อมูลสูตร!L64)</f>
        <v>0</v>
      </c>
      <c r="L67" s="63">
        <f>IF(ข้อมูลสูตร!$A64="","",ข้อมูลสูตร!M64)</f>
        <v>0</v>
      </c>
      <c r="M67" s="63">
        <f>IF(ข้อมูลสูตร!$A64="","",ข้อมูลสูตร!N64)</f>
        <v>0</v>
      </c>
      <c r="N67" s="63">
        <f>IF(ข้อมูลสูตร!$A64="","",ข้อมูลสูตร!O64)</f>
        <v>0</v>
      </c>
      <c r="O67" s="63">
        <f>IF(ข้อมูลสูตร!$A64="","",ข้อมูลสูตร!P64)</f>
        <v>0</v>
      </c>
      <c r="P67" s="63">
        <f>IF(ข้อมูลสูตร!$A64="","",ข้อมูลสูตร!Q64)</f>
        <v>0</v>
      </c>
      <c r="Q67" s="63">
        <f>IF(ข้อมูลสูตร!$A64="","",ข้อมูลสูตร!R64)</f>
        <v>0</v>
      </c>
      <c r="R67" s="63">
        <f>IF(ข้อมูลสูตร!$A64="","",ข้อมูลสูตร!S64)</f>
        <v>200</v>
      </c>
      <c r="S67" s="63">
        <f>IF(ข้อมูลสูตร!$A64="","",ข้อมูลสูตร!T64)</f>
        <v>0</v>
      </c>
      <c r="T67" s="63">
        <f>IF(ข้อมูลสูตร!$A64="","",ข้อมูลสูตร!U64)</f>
        <v>0</v>
      </c>
      <c r="U67" s="64">
        <f>IF(ข้อมูลสูตร!$A64="","",ข้อมูลสูตร!V64)</f>
        <v>207.5</v>
      </c>
      <c r="V67" s="8">
        <f>IF(ข้อมูลสูตร!$A64="","",ข้อมูลสูตร!W64)</f>
        <v>14.74</v>
      </c>
      <c r="W67" s="64">
        <f>IF(ข้อมูลสูตร!$A64="","",ข้อมูลสูตร!X64)</f>
        <v>65</v>
      </c>
      <c r="X67" s="23">
        <f>IF(ข้อมูลสูตร!$A64="","",ข้อมูลสูตร!Y64)</f>
        <v>0.77323076923076917</v>
      </c>
      <c r="Y67" s="48" t="str">
        <f>IF(ข้อมูลสูตร!$A64="","",ข้อมูลสูตร!Z64)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7" s="48" t="str">
        <f>ข้อมูลสูตร!$A64</f>
        <v>Thai Tea Frappe|16 oz|50%</v>
      </c>
    </row>
    <row r="68" spans="1:26" x14ac:dyDescent="0.25">
      <c r="A68" s="4" t="str">
        <f>IF(ข้อมูลสูตร!$A65="","",ข้อมูลสูตร!B65)</f>
        <v>Thai Tea Frappe</v>
      </c>
      <c r="B68" s="4" t="str">
        <f>IF(ข้อมูลสูตร!$A65="","",ข้อมูลสูตร!C65)</f>
        <v>16 oz</v>
      </c>
      <c r="C68" s="4" t="str">
        <f>IF(ข้อมูลสูตร!$A65="","",ข้อมูลสูตร!D65)</f>
        <v>75%</v>
      </c>
      <c r="D68" s="63">
        <f>IF(ข้อมูลสูตร!$A65="","",ข้อมูลสูตร!E65)</f>
        <v>90</v>
      </c>
      <c r="E68" s="63">
        <f>IF(ข้อมูลสูตร!$A65="","",ข้อมูลสูตร!F65)</f>
        <v>0</v>
      </c>
      <c r="F68" s="63">
        <f>IF(ข้อมูลสูตร!$A65="","",ข้อมูลสูตร!G65)</f>
        <v>70</v>
      </c>
      <c r="G68" s="63">
        <f>IF(ข้อมูลสูตร!$A65="","",ข้อมูลสูตร!H65)</f>
        <v>20</v>
      </c>
      <c r="H68" s="63">
        <f>IF(ข้อมูลสูตร!$A65="","",ข้อมูลสูตร!I65)</f>
        <v>24</v>
      </c>
      <c r="I68" s="63">
        <f>IF(ข้อมูลสูตร!$A65="","",ข้อมูลสูตร!J65)</f>
        <v>11.5</v>
      </c>
      <c r="J68" s="63">
        <f>IF(ข้อมูลสูตร!$A65="","",ข้อมูลสูตร!K65)</f>
        <v>0</v>
      </c>
      <c r="K68" s="63">
        <f>IF(ข้อมูลสูตร!$A65="","",ข้อมูลสูตร!L65)</f>
        <v>0</v>
      </c>
      <c r="L68" s="63">
        <f>IF(ข้อมูลสูตร!$A65="","",ข้อมูลสูตร!M65)</f>
        <v>0</v>
      </c>
      <c r="M68" s="63">
        <f>IF(ข้อมูลสูตร!$A65="","",ข้อมูลสูตร!N65)</f>
        <v>0</v>
      </c>
      <c r="N68" s="63">
        <f>IF(ข้อมูลสูตร!$A65="","",ข้อมูลสูตร!O65)</f>
        <v>0</v>
      </c>
      <c r="O68" s="63">
        <f>IF(ข้อมูลสูตร!$A65="","",ข้อมูลสูตร!P65)</f>
        <v>0</v>
      </c>
      <c r="P68" s="63">
        <f>IF(ข้อมูลสูตร!$A65="","",ข้อมูลสูตร!Q65)</f>
        <v>0</v>
      </c>
      <c r="Q68" s="63">
        <f>IF(ข้อมูลสูตร!$A65="","",ข้อมูลสูตร!R65)</f>
        <v>0</v>
      </c>
      <c r="R68" s="63">
        <f>IF(ข้อมูลสูตร!$A65="","",ข้อมูลสูตร!S65)</f>
        <v>200</v>
      </c>
      <c r="S68" s="63">
        <f>IF(ข้อมูลสูตร!$A65="","",ข้อมูลสูตร!T65)</f>
        <v>0</v>
      </c>
      <c r="T68" s="63">
        <f>IF(ข้อมูลสูตร!$A65="","",ข้อมูลสูตร!U65)</f>
        <v>0</v>
      </c>
      <c r="U68" s="64">
        <f>IF(ข้อมูลสูตร!$A65="","",ข้อมูลสูตร!V65)</f>
        <v>215.5</v>
      </c>
      <c r="V68" s="8">
        <f>IF(ข้อมูลสูตร!$A65="","",ข้อมูลสูตร!W65)</f>
        <v>15.3</v>
      </c>
      <c r="W68" s="64">
        <f>IF(ข้อมูลสูตร!$A65="","",ข้อมูลสูตร!X65)</f>
        <v>65</v>
      </c>
      <c r="X68" s="23">
        <f>IF(ข้อมูลสูตร!$A65="","",ข้อมูลสูตร!Y65)</f>
        <v>0.7646153846153847</v>
      </c>
      <c r="Y68" s="48" t="str">
        <f>IF(ข้อมูลสูตร!$A65="","",ข้อมูลสูตร!Z65)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8" s="48" t="str">
        <f>ข้อมูลสูตร!$A65</f>
        <v>Thai Tea Frappe|16 oz|75%</v>
      </c>
    </row>
    <row r="69" spans="1:26" x14ac:dyDescent="0.25">
      <c r="A69" s="4" t="str">
        <f>IF(ข้อมูลสูตร!$A66="","",ข้อมูลสูตร!B66)</f>
        <v>Thai Tea Frappe</v>
      </c>
      <c r="B69" s="4" t="str">
        <f>IF(ข้อมูลสูตร!$A66="","",ข้อมูลสูตร!C66)</f>
        <v>16 oz</v>
      </c>
      <c r="C69" s="4" t="str">
        <f>IF(ข้อมูลสูตร!$A66="","",ข้อมูลสูตร!D66)</f>
        <v>100%</v>
      </c>
      <c r="D69" s="63">
        <f>IF(ข้อมูลสูตร!$A66="","",ข้อมูลสูตร!E66)</f>
        <v>90</v>
      </c>
      <c r="E69" s="63">
        <f>IF(ข้อมูลสูตร!$A66="","",ข้อมูลสูตร!F66)</f>
        <v>0</v>
      </c>
      <c r="F69" s="63">
        <f>IF(ข้อมูลสูตร!$A66="","",ข้อมูลสูตร!G66)</f>
        <v>70</v>
      </c>
      <c r="G69" s="63">
        <f>IF(ข้อมูลสูตร!$A66="","",ข้อมูลสูตร!H66)</f>
        <v>20</v>
      </c>
      <c r="H69" s="63">
        <f>IF(ข้อมูลสูตร!$A66="","",ข้อมูลสูตร!I66)</f>
        <v>32</v>
      </c>
      <c r="I69" s="63">
        <f>IF(ข้อมูลสูตร!$A66="","",ข้อมูลสูตร!J66)</f>
        <v>11.5</v>
      </c>
      <c r="J69" s="63">
        <f>IF(ข้อมูลสูตร!$A66="","",ข้อมูลสูตร!K66)</f>
        <v>0</v>
      </c>
      <c r="K69" s="63">
        <f>IF(ข้อมูลสูตร!$A66="","",ข้อมูลสูตร!L66)</f>
        <v>0</v>
      </c>
      <c r="L69" s="63">
        <f>IF(ข้อมูลสูตร!$A66="","",ข้อมูลสูตร!M66)</f>
        <v>0</v>
      </c>
      <c r="M69" s="63">
        <f>IF(ข้อมูลสูตร!$A66="","",ข้อมูลสูตร!N66)</f>
        <v>0</v>
      </c>
      <c r="N69" s="63">
        <f>IF(ข้อมูลสูตร!$A66="","",ข้อมูลสูตร!O66)</f>
        <v>0</v>
      </c>
      <c r="O69" s="63">
        <f>IF(ข้อมูลสูตร!$A66="","",ข้อมูลสูตร!P66)</f>
        <v>0</v>
      </c>
      <c r="P69" s="63">
        <f>IF(ข้อมูลสูตร!$A66="","",ข้อมูลสูตร!Q66)</f>
        <v>0</v>
      </c>
      <c r="Q69" s="63">
        <f>IF(ข้อมูลสูตร!$A66="","",ข้อมูลสูตร!R66)</f>
        <v>0</v>
      </c>
      <c r="R69" s="63">
        <f>IF(ข้อมูลสูตร!$A66="","",ข้อมูลสูตร!S66)</f>
        <v>200</v>
      </c>
      <c r="S69" s="63">
        <f>IF(ข้อมูลสูตร!$A66="","",ข้อมูลสูตร!T66)</f>
        <v>0</v>
      </c>
      <c r="T69" s="63">
        <f>IF(ข้อมูลสูตร!$A66="","",ข้อมูลสูตร!U66)</f>
        <v>0</v>
      </c>
      <c r="U69" s="64">
        <f>IF(ข้อมูลสูตร!$A66="","",ข้อมูลสูตร!V66)</f>
        <v>223.5</v>
      </c>
      <c r="V69" s="8">
        <f>IF(ข้อมูลสูตร!$A66="","",ข้อมูลสูตร!W66)</f>
        <v>15.85</v>
      </c>
      <c r="W69" s="64">
        <f>IF(ข้อมูลสูตร!$A66="","",ข้อมูลสูตร!X66)</f>
        <v>65</v>
      </c>
      <c r="X69" s="23">
        <f>IF(ข้อมูลสูตร!$A66="","",ข้อมูลสูตร!Y66)</f>
        <v>0.75615384615384618</v>
      </c>
      <c r="Y69" s="48" t="str">
        <f>IF(ข้อมูลสูตร!$A66="","",ข้อมูลสูตร!Z66)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69" s="48" t="str">
        <f>ข้อมูลสูตร!$A66</f>
        <v>Thai Tea Frappe|16 oz|100%</v>
      </c>
    </row>
    <row r="70" spans="1:26" x14ac:dyDescent="0.25">
      <c r="A70" s="4" t="str">
        <f>IF(ข้อมูลสูตร!$A67="","",ข้อมูลสูตร!B67)</f>
        <v>Thai Tea Frappe</v>
      </c>
      <c r="B70" s="4" t="str">
        <f>IF(ข้อมูลสูตร!$A67="","",ข้อมูลสูตร!C67)</f>
        <v>22 oz</v>
      </c>
      <c r="C70" s="4" t="str">
        <f>IF(ข้อมูลสูตร!$A67="","",ข้อมูลสูตร!D67)</f>
        <v>0%</v>
      </c>
      <c r="D70" s="63">
        <f>IF(ข้อมูลสูตร!$A67="","",ข้อมูลสูตร!E67)</f>
        <v>124</v>
      </c>
      <c r="E70" s="63">
        <f>IF(ข้อมูลสูตร!$A67="","",ข้อมูลสูตร!F67)</f>
        <v>0</v>
      </c>
      <c r="F70" s="63">
        <f>IF(ข้อมูลสูตร!$A67="","",ข้อมูลสูตร!G67)</f>
        <v>96</v>
      </c>
      <c r="G70" s="63">
        <f>IF(ข้อมูลสูตร!$A67="","",ข้อมูลสูตร!H67)</f>
        <v>27.5</v>
      </c>
      <c r="H70" s="63">
        <f>IF(ข้อมูลสูตร!$A67="","",ข้อมูลสูตร!I67)</f>
        <v>0</v>
      </c>
      <c r="I70" s="63">
        <f>IF(ข้อมูลสูตร!$A67="","",ข้อมูลสูตร!J67)</f>
        <v>0</v>
      </c>
      <c r="J70" s="63">
        <f>IF(ข้อมูลสูตร!$A67="","",ข้อมูลสูตร!K67)</f>
        <v>0</v>
      </c>
      <c r="K70" s="63">
        <f>IF(ข้อมูลสูตร!$A67="","",ข้อมูลสูตร!L67)</f>
        <v>0</v>
      </c>
      <c r="L70" s="63">
        <f>IF(ข้อมูลสูตร!$A67="","",ข้อมูลสูตร!M67)</f>
        <v>0</v>
      </c>
      <c r="M70" s="63">
        <f>IF(ข้อมูลสูตร!$A67="","",ข้อมูลสูตร!N67)</f>
        <v>0</v>
      </c>
      <c r="N70" s="63">
        <f>IF(ข้อมูลสูตร!$A67="","",ข้อมูลสูตร!O67)</f>
        <v>0</v>
      </c>
      <c r="O70" s="63">
        <f>IF(ข้อมูลสูตร!$A67="","",ข้อมูลสูตร!P67)</f>
        <v>0</v>
      </c>
      <c r="P70" s="63">
        <f>IF(ข้อมูลสูตร!$A67="","",ข้อมูลสูตร!Q67)</f>
        <v>0</v>
      </c>
      <c r="Q70" s="63">
        <f>IF(ข้อมูลสูตร!$A67="","",ข้อมูลสูตร!R67)</f>
        <v>0</v>
      </c>
      <c r="R70" s="63">
        <f>IF(ข้อมูลสูตร!$A67="","",ข้อมูลสูตร!S67)</f>
        <v>270</v>
      </c>
      <c r="S70" s="63">
        <f>IF(ข้อมูลสูตร!$A67="","",ข้อมูลสูตร!T67)</f>
        <v>0</v>
      </c>
      <c r="T70" s="63">
        <f>IF(ข้อมูลสูตร!$A67="","",ข้อมูลสูตร!U67)</f>
        <v>0</v>
      </c>
      <c r="U70" s="64">
        <f>IF(ข้อมูลสูตร!$A67="","",ข้อมูลสูตร!V67)</f>
        <v>247.5</v>
      </c>
      <c r="V70" s="8">
        <f>IF(ข้อมูลสูตร!$A67="","",ข้อมูลสูตร!W67)</f>
        <v>17.71</v>
      </c>
      <c r="W70" s="64">
        <f>IF(ข้อมูลสูตร!$A67="","",ข้อมูลสูตร!X67)</f>
        <v>75</v>
      </c>
      <c r="X70" s="23">
        <f>IF(ข้อมูลสูตร!$A67="","",ข้อมูลสูตร!Y67)</f>
        <v>0.76386666666666669</v>
      </c>
      <c r="Y70" s="48" t="str">
        <f>IF(ข้อมูลสูตร!$A67="","",ข้อมูลสูตร!Z67)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70" s="48" t="str">
        <f>ข้อมูลสูตร!$A67</f>
        <v>Thai Tea Frappe|22 oz|0%</v>
      </c>
    </row>
    <row r="71" spans="1:26" x14ac:dyDescent="0.25">
      <c r="A71" s="4" t="str">
        <f>IF(ข้อมูลสูตร!$A68="","",ข้อมูลสูตร!B68)</f>
        <v>Thai Tea Frappe</v>
      </c>
      <c r="B71" s="4" t="str">
        <f>IF(ข้อมูลสูตร!$A68="","",ข้อมูลสูตร!C68)</f>
        <v>22 oz</v>
      </c>
      <c r="C71" s="4" t="str">
        <f>IF(ข้อมูลสูตร!$A68="","",ข้อมูลสูตร!D68)</f>
        <v>25%</v>
      </c>
      <c r="D71" s="63">
        <f>IF(ข้อมูลสูตร!$A68="","",ข้อมูลสูตร!E68)</f>
        <v>124</v>
      </c>
      <c r="E71" s="63">
        <f>IF(ข้อมูลสูตร!$A68="","",ข้อมูลสูตร!F68)</f>
        <v>0</v>
      </c>
      <c r="F71" s="63">
        <f>IF(ข้อมูลสูตร!$A68="","",ข้อมูลสูตร!G68)</f>
        <v>96</v>
      </c>
      <c r="G71" s="63">
        <f>IF(ข้อมูลสูตร!$A68="","",ข้อมูลสูตร!H68)</f>
        <v>27.5</v>
      </c>
      <c r="H71" s="63">
        <f>IF(ข้อมูลสูตร!$A68="","",ข้อมูลสูตร!I68)</f>
        <v>11</v>
      </c>
      <c r="I71" s="63">
        <f>IF(ข้อมูลสูตร!$A68="","",ข้อมูลสูตร!J68)</f>
        <v>15.9</v>
      </c>
      <c r="J71" s="63">
        <f>IF(ข้อมูลสูตร!$A68="","",ข้อมูลสูตร!K68)</f>
        <v>0</v>
      </c>
      <c r="K71" s="63">
        <f>IF(ข้อมูลสูตร!$A68="","",ข้อมูลสูตร!L68)</f>
        <v>0</v>
      </c>
      <c r="L71" s="63">
        <f>IF(ข้อมูลสูตร!$A68="","",ข้อมูลสูตร!M68)</f>
        <v>0</v>
      </c>
      <c r="M71" s="63">
        <f>IF(ข้อมูลสูตร!$A68="","",ข้อมูลสูตร!N68)</f>
        <v>0</v>
      </c>
      <c r="N71" s="63">
        <f>IF(ข้อมูลสูตร!$A68="","",ข้อมูลสูตร!O68)</f>
        <v>0</v>
      </c>
      <c r="O71" s="63">
        <f>IF(ข้อมูลสูตร!$A68="","",ข้อมูลสูตร!P68)</f>
        <v>0</v>
      </c>
      <c r="P71" s="63">
        <f>IF(ข้อมูลสูตร!$A68="","",ข้อมูลสูตร!Q68)</f>
        <v>0</v>
      </c>
      <c r="Q71" s="63">
        <f>IF(ข้อมูลสูตร!$A68="","",ข้อมูลสูตร!R68)</f>
        <v>0</v>
      </c>
      <c r="R71" s="63">
        <f>IF(ข้อมูลสูตร!$A68="","",ข้อมูลสูตร!S68)</f>
        <v>270</v>
      </c>
      <c r="S71" s="63">
        <f>IF(ข้อมูลสูตร!$A68="","",ข้อมูลสูตร!T68)</f>
        <v>0</v>
      </c>
      <c r="T71" s="63">
        <f>IF(ข้อมูลสูตร!$A68="","",ข้อมูลสูตร!U68)</f>
        <v>0</v>
      </c>
      <c r="U71" s="64">
        <f>IF(ข้อมูลสูตร!$A68="","",ข้อมูลสูตร!V68)</f>
        <v>274.39999999999998</v>
      </c>
      <c r="V71" s="8">
        <f>IF(ข้อมูลสูตร!$A68="","",ข้อมูลสูตร!W68)</f>
        <v>18.73</v>
      </c>
      <c r="W71" s="64">
        <f>IF(ข้อมูลสูตร!$A68="","",ข้อมูลสูตร!X68)</f>
        <v>75</v>
      </c>
      <c r="X71" s="23">
        <f>IF(ข้อมูลสูตร!$A68="","",ข้อมูลสูตร!Y68)</f>
        <v>0.75026666666666664</v>
      </c>
      <c r="Y71" s="48" t="str">
        <f>IF(ข้อมูลสูตร!$A68="","",ข้อมูลสูตร!Z68)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1" s="48" t="str">
        <f>ข้อมูลสูตร!$A68</f>
        <v>Thai Tea Frappe|22 oz|25%</v>
      </c>
    </row>
    <row r="72" spans="1:26" x14ac:dyDescent="0.25">
      <c r="A72" s="4" t="str">
        <f>IF(ข้อมูลสูตร!$A69="","",ข้อมูลสูตร!B69)</f>
        <v>Thai Tea Frappe</v>
      </c>
      <c r="B72" s="4" t="str">
        <f>IF(ข้อมูลสูตร!$A69="","",ข้อมูลสูตร!C69)</f>
        <v>22 oz</v>
      </c>
      <c r="C72" s="4" t="str">
        <f>IF(ข้อมูลสูตร!$A69="","",ข้อมูลสูตร!D69)</f>
        <v>50%</v>
      </c>
      <c r="D72" s="63">
        <f>IF(ข้อมูลสูตร!$A69="","",ข้อมูลสูตร!E69)</f>
        <v>124</v>
      </c>
      <c r="E72" s="63">
        <f>IF(ข้อมูลสูตร!$A69="","",ข้อมูลสูตร!F69)</f>
        <v>0</v>
      </c>
      <c r="F72" s="63">
        <f>IF(ข้อมูลสูตร!$A69="","",ข้อมูลสูตร!G69)</f>
        <v>96</v>
      </c>
      <c r="G72" s="63">
        <f>IF(ข้อมูลสูตร!$A69="","",ข้อมูลสูตร!H69)</f>
        <v>27.5</v>
      </c>
      <c r="H72" s="63">
        <f>IF(ข้อมูลสูตร!$A69="","",ข้อมูลสูตร!I69)</f>
        <v>22</v>
      </c>
      <c r="I72" s="63">
        <f>IF(ข้อมูลสูตร!$A69="","",ข้อมูลสูตร!J69)</f>
        <v>15.9</v>
      </c>
      <c r="J72" s="63">
        <f>IF(ข้อมูลสูตร!$A69="","",ข้อมูลสูตร!K69)</f>
        <v>0</v>
      </c>
      <c r="K72" s="63">
        <f>IF(ข้อมูลสูตร!$A69="","",ข้อมูลสูตร!L69)</f>
        <v>0</v>
      </c>
      <c r="L72" s="63">
        <f>IF(ข้อมูลสูตร!$A69="","",ข้อมูลสูตร!M69)</f>
        <v>0</v>
      </c>
      <c r="M72" s="63">
        <f>IF(ข้อมูลสูตร!$A69="","",ข้อมูลสูตร!N69)</f>
        <v>0</v>
      </c>
      <c r="N72" s="63">
        <f>IF(ข้อมูลสูตร!$A69="","",ข้อมูลสูตร!O69)</f>
        <v>0</v>
      </c>
      <c r="O72" s="63">
        <f>IF(ข้อมูลสูตร!$A69="","",ข้อมูลสูตร!P69)</f>
        <v>0</v>
      </c>
      <c r="P72" s="63">
        <f>IF(ข้อมูลสูตร!$A69="","",ข้อมูลสูตร!Q69)</f>
        <v>0</v>
      </c>
      <c r="Q72" s="63">
        <f>IF(ข้อมูลสูตร!$A69="","",ข้อมูลสูตร!R69)</f>
        <v>0</v>
      </c>
      <c r="R72" s="63">
        <f>IF(ข้อมูลสูตร!$A69="","",ข้อมูลสูตร!S69)</f>
        <v>270</v>
      </c>
      <c r="S72" s="63">
        <f>IF(ข้อมูลสูตร!$A69="","",ข้อมูลสูตร!T69)</f>
        <v>0</v>
      </c>
      <c r="T72" s="63">
        <f>IF(ข้อมูลสูตร!$A69="","",ข้อมูลสูตร!U69)</f>
        <v>0</v>
      </c>
      <c r="U72" s="64">
        <f>IF(ข้อมูลสูตร!$A69="","",ข้อมูลสูตร!V69)</f>
        <v>285.39999999999998</v>
      </c>
      <c r="V72" s="8">
        <f>IF(ข้อมูลสูตร!$A69="","",ข้อมูลสูตร!W69)</f>
        <v>19.5</v>
      </c>
      <c r="W72" s="64">
        <f>IF(ข้อมูลสูตร!$A69="","",ข้อมูลสูตร!X69)</f>
        <v>75</v>
      </c>
      <c r="X72" s="23">
        <f>IF(ข้อมูลสูตร!$A69="","",ข้อมูลสูตร!Y69)</f>
        <v>0.74</v>
      </c>
      <c r="Y72" s="48" t="str">
        <f>IF(ข้อมูลสูตร!$A69="","",ข้อมูลสูตร!Z69)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2" s="48" t="str">
        <f>ข้อมูลสูตร!$A69</f>
        <v>Thai Tea Frappe|22 oz|50%</v>
      </c>
    </row>
    <row r="73" spans="1:26" x14ac:dyDescent="0.25">
      <c r="A73" s="4" t="str">
        <f>IF(ข้อมูลสูตร!$A70="","",ข้อมูลสูตร!B70)</f>
        <v>Thai Tea Frappe</v>
      </c>
      <c r="B73" s="4" t="str">
        <f>IF(ข้อมูลสูตร!$A70="","",ข้อมูลสูตร!C70)</f>
        <v>22 oz</v>
      </c>
      <c r="C73" s="4" t="str">
        <f>IF(ข้อมูลสูตร!$A70="","",ข้อมูลสูตร!D70)</f>
        <v>75%</v>
      </c>
      <c r="D73" s="63">
        <f>IF(ข้อมูลสูตร!$A70="","",ข้อมูลสูตร!E70)</f>
        <v>124</v>
      </c>
      <c r="E73" s="63">
        <f>IF(ข้อมูลสูตร!$A70="","",ข้อมูลสูตร!F70)</f>
        <v>0</v>
      </c>
      <c r="F73" s="63">
        <f>IF(ข้อมูลสูตร!$A70="","",ข้อมูลสูตร!G70)</f>
        <v>96</v>
      </c>
      <c r="G73" s="63">
        <f>IF(ข้อมูลสูตร!$A70="","",ข้อมูลสูตร!H70)</f>
        <v>27.5</v>
      </c>
      <c r="H73" s="63">
        <f>IF(ข้อมูลสูตร!$A70="","",ข้อมูลสูตร!I70)</f>
        <v>33</v>
      </c>
      <c r="I73" s="63">
        <f>IF(ข้อมูลสูตร!$A70="","",ข้อมูลสูตร!J70)</f>
        <v>15.9</v>
      </c>
      <c r="J73" s="63">
        <f>IF(ข้อมูลสูตร!$A70="","",ข้อมูลสูตร!K70)</f>
        <v>0</v>
      </c>
      <c r="K73" s="63">
        <f>IF(ข้อมูลสูตร!$A70="","",ข้อมูลสูตร!L70)</f>
        <v>0</v>
      </c>
      <c r="L73" s="63">
        <f>IF(ข้อมูลสูตร!$A70="","",ข้อมูลสูตร!M70)</f>
        <v>0</v>
      </c>
      <c r="M73" s="63">
        <f>IF(ข้อมูลสูตร!$A70="","",ข้อมูลสูตร!N70)</f>
        <v>0</v>
      </c>
      <c r="N73" s="63">
        <f>IF(ข้อมูลสูตร!$A70="","",ข้อมูลสูตร!O70)</f>
        <v>0</v>
      </c>
      <c r="O73" s="63">
        <f>IF(ข้อมูลสูตร!$A70="","",ข้อมูลสูตร!P70)</f>
        <v>0</v>
      </c>
      <c r="P73" s="63">
        <f>IF(ข้อมูลสูตร!$A70="","",ข้อมูลสูตร!Q70)</f>
        <v>0</v>
      </c>
      <c r="Q73" s="63">
        <f>IF(ข้อมูลสูตร!$A70="","",ข้อมูลสูตร!R70)</f>
        <v>0</v>
      </c>
      <c r="R73" s="63">
        <f>IF(ข้อมูลสูตร!$A70="","",ข้อมูลสูตร!S70)</f>
        <v>270</v>
      </c>
      <c r="S73" s="63">
        <f>IF(ข้อมูลสูตร!$A70="","",ข้อมูลสูตร!T70)</f>
        <v>0</v>
      </c>
      <c r="T73" s="63">
        <f>IF(ข้อมูลสูตร!$A70="","",ข้อมูลสูตร!U70)</f>
        <v>0</v>
      </c>
      <c r="U73" s="64">
        <f>IF(ข้อมูลสูตร!$A70="","",ข้อมูลสูตร!V70)</f>
        <v>296.39999999999998</v>
      </c>
      <c r="V73" s="8">
        <f>IF(ข้อมูลสูตร!$A70="","",ข้อมูลสูตร!W70)</f>
        <v>20.260000000000002</v>
      </c>
      <c r="W73" s="64">
        <f>IF(ข้อมูลสูตร!$A70="","",ข้อมูลสูตร!X70)</f>
        <v>75</v>
      </c>
      <c r="X73" s="23">
        <f>IF(ข้อมูลสูตร!$A70="","",ข้อมูลสูตร!Y70)</f>
        <v>0.72986666666666655</v>
      </c>
      <c r="Y73" s="48" t="str">
        <f>IF(ข้อมูลสูตร!$A70="","",ข้อมูลสูตร!Z70)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3" s="48" t="str">
        <f>ข้อมูลสูตร!$A70</f>
        <v>Thai Tea Frappe|22 oz|75%</v>
      </c>
    </row>
    <row r="74" spans="1:26" x14ac:dyDescent="0.25">
      <c r="A74" s="4" t="str">
        <f>IF(ข้อมูลสูตร!$A71="","",ข้อมูลสูตร!B71)</f>
        <v>Thai Tea Frappe</v>
      </c>
      <c r="B74" s="4" t="str">
        <f>IF(ข้อมูลสูตร!$A71="","",ข้อมูลสูตร!C71)</f>
        <v>22 oz</v>
      </c>
      <c r="C74" s="4" t="str">
        <f>IF(ข้อมูลสูตร!$A71="","",ข้อมูลสูตร!D71)</f>
        <v>100%</v>
      </c>
      <c r="D74" s="63">
        <f>IF(ข้อมูลสูตร!$A71="","",ข้อมูลสูตร!E71)</f>
        <v>124</v>
      </c>
      <c r="E74" s="63">
        <f>IF(ข้อมูลสูตร!$A71="","",ข้อมูลสูตร!F71)</f>
        <v>0</v>
      </c>
      <c r="F74" s="63">
        <f>IF(ข้อมูลสูตร!$A71="","",ข้อมูลสูตร!G71)</f>
        <v>96</v>
      </c>
      <c r="G74" s="63">
        <f>IF(ข้อมูลสูตร!$A71="","",ข้อมูลสูตร!H71)</f>
        <v>27.5</v>
      </c>
      <c r="H74" s="63">
        <f>IF(ข้อมูลสูตร!$A71="","",ข้อมูลสูตร!I71)</f>
        <v>44</v>
      </c>
      <c r="I74" s="63">
        <f>IF(ข้อมูลสูตร!$A71="","",ข้อมูลสูตร!J71)</f>
        <v>15.9</v>
      </c>
      <c r="J74" s="63">
        <f>IF(ข้อมูลสูตร!$A71="","",ข้อมูลสูตร!K71)</f>
        <v>0</v>
      </c>
      <c r="K74" s="63">
        <f>IF(ข้อมูลสูตร!$A71="","",ข้อมูลสูตร!L71)</f>
        <v>0</v>
      </c>
      <c r="L74" s="63">
        <f>IF(ข้อมูลสูตร!$A71="","",ข้อมูลสูตร!M71)</f>
        <v>0</v>
      </c>
      <c r="M74" s="63">
        <f>IF(ข้อมูลสูตร!$A71="","",ข้อมูลสูตร!N71)</f>
        <v>0</v>
      </c>
      <c r="N74" s="63">
        <f>IF(ข้อมูลสูตร!$A71="","",ข้อมูลสูตร!O71)</f>
        <v>0</v>
      </c>
      <c r="O74" s="63">
        <f>IF(ข้อมูลสูตร!$A71="","",ข้อมูลสูตร!P71)</f>
        <v>0</v>
      </c>
      <c r="P74" s="63">
        <f>IF(ข้อมูลสูตร!$A71="","",ข้อมูลสูตร!Q71)</f>
        <v>0</v>
      </c>
      <c r="Q74" s="63">
        <f>IF(ข้อมูลสูตร!$A71="","",ข้อมูลสูตร!R71)</f>
        <v>0</v>
      </c>
      <c r="R74" s="63">
        <f>IF(ข้อมูลสูตร!$A71="","",ข้อมูลสูตร!S71)</f>
        <v>270</v>
      </c>
      <c r="S74" s="63">
        <f>IF(ข้อมูลสูตร!$A71="","",ข้อมูลสูตร!T71)</f>
        <v>0</v>
      </c>
      <c r="T74" s="63">
        <f>IF(ข้อมูลสูตร!$A71="","",ข้อมูลสูตร!U71)</f>
        <v>0</v>
      </c>
      <c r="U74" s="64">
        <f>IF(ข้อมูลสูตร!$A71="","",ข้อมูลสูตร!V71)</f>
        <v>307.39999999999998</v>
      </c>
      <c r="V74" s="8">
        <f>IF(ข้อมูลสูตร!$A71="","",ข้อมูลสูตร!W71)</f>
        <v>21.02</v>
      </c>
      <c r="W74" s="64">
        <f>IF(ข้อมูลสูตร!$A71="","",ข้อมูลสูตร!X71)</f>
        <v>75</v>
      </c>
      <c r="X74" s="23">
        <f>IF(ข้อมูลสูตร!$A71="","",ข้อมูลสูตร!Y71)</f>
        <v>0.71973333333333334</v>
      </c>
      <c r="Y74" s="48" t="str">
        <f>IF(ข้อมูลสูตร!$A71="","",ข้อมูลสูตร!Z71)</f>
        <v>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4" s="48" t="str">
        <f>ข้อมูลสูตร!$A71</f>
        <v>Thai Tea Frappe|22 oz|100%</v>
      </c>
    </row>
    <row r="75" spans="1:26" x14ac:dyDescent="0.25">
      <c r="A75" s="4" t="str">
        <f>IF(ข้อมูลสูตร!$A72="","",ข้อมูลสูตร!B72)</f>
        <v>Coconut Frappe</v>
      </c>
      <c r="B75" s="4" t="str">
        <f>IF(ข้อมูลสูตร!$A72="","",ข้อมูลสูตร!C72)</f>
        <v>16 oz</v>
      </c>
      <c r="C75" s="4" t="str">
        <f>IF(ข้อมูลสูตร!$A72="","",ข้อมูลสูตร!D72)</f>
        <v>0%</v>
      </c>
      <c r="D75" s="63">
        <f>IF(ข้อมูลสูตร!$A72="","",ข้อมูลสูตร!E72)</f>
        <v>75</v>
      </c>
      <c r="E75" s="63">
        <f>IF(ข้อมูลสูตร!$A72="","",ข้อมูลสูตร!F72)</f>
        <v>0</v>
      </c>
      <c r="F75" s="63">
        <f>IF(ข้อมูลสูตร!$A72="","",ข้อมูลสูตร!G72)</f>
        <v>35</v>
      </c>
      <c r="G75" s="63">
        <f>IF(ข้อมูลสูตร!$A72="","",ข้อมูลสูตร!H72)</f>
        <v>0</v>
      </c>
      <c r="H75" s="63">
        <f>IF(ข้อมูลสูตร!$A72="","",ข้อมูลสูตร!I72)</f>
        <v>0</v>
      </c>
      <c r="I75" s="63">
        <f>IF(ข้อมูลสูตร!$A72="","",ข้อมูลสูตร!J72)</f>
        <v>0</v>
      </c>
      <c r="J75" s="63">
        <f>IF(ข้อมูลสูตร!$A72="","",ข้อมูลสูตร!K72)</f>
        <v>0</v>
      </c>
      <c r="K75" s="63">
        <f>IF(ข้อมูลสูตร!$A72="","",ข้อมูลสูตร!L72)</f>
        <v>0</v>
      </c>
      <c r="L75" s="63">
        <f>IF(ข้อมูลสูตร!$A72="","",ข้อมูลสูตร!M72)</f>
        <v>0</v>
      </c>
      <c r="M75" s="63">
        <f>IF(ข้อมูลสูตร!$A72="","",ข้อมูลสูตร!N72)</f>
        <v>85</v>
      </c>
      <c r="N75" s="63">
        <f>IF(ข้อมูลสูตร!$A72="","",ข้อมูลสูตร!O72)</f>
        <v>0</v>
      </c>
      <c r="O75" s="63">
        <f>IF(ข้อมูลสูตร!$A72="","",ข้อมูลสูตร!P72)</f>
        <v>0</v>
      </c>
      <c r="P75" s="63">
        <f>IF(ข้อมูลสูตร!$A72="","",ข้อมูลสูตร!Q72)</f>
        <v>0</v>
      </c>
      <c r="Q75" s="63">
        <f>IF(ข้อมูลสูตร!$A72="","",ข้อมูลสูตร!R72)</f>
        <v>0</v>
      </c>
      <c r="R75" s="63">
        <f>IF(ข้อมูลสูตร!$A72="","",ข้อมูลสูตร!S72)</f>
        <v>200</v>
      </c>
      <c r="S75" s="63">
        <f>IF(ข้อมูลสูตร!$A72="","",ข้อมูลสูตร!T72)</f>
        <v>0</v>
      </c>
      <c r="T75" s="63">
        <f>IF(ข้อมูลสูตร!$A72="","",ข้อมูลสูตร!U72)</f>
        <v>0</v>
      </c>
      <c r="U75" s="64">
        <f>IF(ข้อมูลสูตร!$A72="","",ข้อมูลสูตร!V72)</f>
        <v>195</v>
      </c>
      <c r="V75" s="8">
        <f>IF(ข้อมูลสูตร!$A72="","",ข้อมูลสูตร!W72)</f>
        <v>16.23</v>
      </c>
      <c r="W75" s="64">
        <f>IF(ข้อมูลสูตร!$A72="","",ข้อมูลสูตร!X72)</f>
        <v>69</v>
      </c>
      <c r="X75" s="23">
        <f>IF(ข้อมูลสูตร!$A72="","",ข้อมูลสูตร!Y72)</f>
        <v>0.76478260869565207</v>
      </c>
      <c r="Y75" s="48" t="str">
        <f>IF(ข้อมูลสูตร!$A72="","",ข้อมูลสูตร!Z72)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75" s="48" t="str">
        <f>ข้อมูลสูตร!$A72</f>
        <v>Coconut Frappe|16 oz|0%</v>
      </c>
    </row>
    <row r="76" spans="1:26" x14ac:dyDescent="0.25">
      <c r="A76" s="4" t="str">
        <f>IF(ข้อมูลสูตร!$A73="","",ข้อมูลสูตร!B73)</f>
        <v>Coconut Frappe</v>
      </c>
      <c r="B76" s="4" t="str">
        <f>IF(ข้อมูลสูตร!$A73="","",ข้อมูลสูตร!C73)</f>
        <v>16 oz</v>
      </c>
      <c r="C76" s="4" t="str">
        <f>IF(ข้อมูลสูตร!$A73="","",ข้อมูลสูตร!D73)</f>
        <v>25%</v>
      </c>
      <c r="D76" s="63">
        <f>IF(ข้อมูลสูตร!$A73="","",ข้อมูลสูตร!E73)</f>
        <v>75</v>
      </c>
      <c r="E76" s="63">
        <f>IF(ข้อมูลสูตร!$A73="","",ข้อมูลสูตร!F73)</f>
        <v>0</v>
      </c>
      <c r="F76" s="63">
        <f>IF(ข้อมูลสูตร!$A73="","",ข้อมูลสูตร!G73)</f>
        <v>35</v>
      </c>
      <c r="G76" s="63">
        <f>IF(ข้อมูลสูตร!$A73="","",ข้อมูลสูตร!H73)</f>
        <v>0</v>
      </c>
      <c r="H76" s="63">
        <f>IF(ข้อมูลสูตร!$A73="","",ข้อมูลสูตร!I73)</f>
        <v>6</v>
      </c>
      <c r="I76" s="63">
        <f>IF(ข้อมูลสูตร!$A73="","",ข้อมูลสูตร!J73)</f>
        <v>9.6</v>
      </c>
      <c r="J76" s="63">
        <f>IF(ข้อมูลสูตร!$A73="","",ข้อมูลสูตร!K73)</f>
        <v>0</v>
      </c>
      <c r="K76" s="63">
        <f>IF(ข้อมูลสูตร!$A73="","",ข้อมูลสูตร!L73)</f>
        <v>0</v>
      </c>
      <c r="L76" s="63">
        <f>IF(ข้อมูลสูตร!$A73="","",ข้อมูลสูตร!M73)</f>
        <v>0</v>
      </c>
      <c r="M76" s="63">
        <f>IF(ข้อมูลสูตร!$A73="","",ข้อมูลสูตร!N73)</f>
        <v>85</v>
      </c>
      <c r="N76" s="63">
        <f>IF(ข้อมูลสูตร!$A73="","",ข้อมูลสูตร!O73)</f>
        <v>0</v>
      </c>
      <c r="O76" s="63">
        <f>IF(ข้อมูลสูตร!$A73="","",ข้อมูลสูตร!P73)</f>
        <v>0</v>
      </c>
      <c r="P76" s="63">
        <f>IF(ข้อมูลสูตร!$A73="","",ข้อมูลสูตร!Q73)</f>
        <v>0</v>
      </c>
      <c r="Q76" s="63">
        <f>IF(ข้อมูลสูตร!$A73="","",ข้อมูลสูตร!R73)</f>
        <v>0</v>
      </c>
      <c r="R76" s="63">
        <f>IF(ข้อมูลสูตร!$A73="","",ข้อมูลสูตร!S73)</f>
        <v>200</v>
      </c>
      <c r="S76" s="63">
        <f>IF(ข้อมูลสูตร!$A73="","",ข้อมูลสูตร!T73)</f>
        <v>0</v>
      </c>
      <c r="T76" s="63">
        <f>IF(ข้อมูลสูตร!$A73="","",ข้อมูลสูตร!U73)</f>
        <v>0</v>
      </c>
      <c r="U76" s="64">
        <f>IF(ข้อมูลสูตร!$A73="","",ข้อมูลสูตร!V73)</f>
        <v>210.6</v>
      </c>
      <c r="V76" s="8">
        <f>IF(ข้อมูลสูตร!$A73="","",ข้อมูลสูตร!W73)</f>
        <v>16.809999999999999</v>
      </c>
      <c r="W76" s="64">
        <f>IF(ข้อมูลสูตร!$A73="","",ข้อมูลสูตร!X73)</f>
        <v>69</v>
      </c>
      <c r="X76" s="23">
        <f>IF(ข้อมูลสูตร!$A73="","",ข้อมูลสูตร!Y73)</f>
        <v>0.75637681159420289</v>
      </c>
      <c r="Y76" s="48" t="str">
        <f>IF(ข้อมูลสูตร!$A73="","",ข้อมูลสูตร!Z73)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6" s="48" t="str">
        <f>ข้อมูลสูตร!$A73</f>
        <v>Coconut Frappe|16 oz|25%</v>
      </c>
    </row>
    <row r="77" spans="1:26" x14ac:dyDescent="0.25">
      <c r="A77" s="4" t="str">
        <f>IF(ข้อมูลสูตร!$A74="","",ข้อมูลสูตร!B74)</f>
        <v>Coconut Frappe</v>
      </c>
      <c r="B77" s="4" t="str">
        <f>IF(ข้อมูลสูตร!$A74="","",ข้อมูลสูตร!C74)</f>
        <v>16 oz</v>
      </c>
      <c r="C77" s="4" t="str">
        <f>IF(ข้อมูลสูตร!$A74="","",ข้อมูลสูตร!D74)</f>
        <v>50%</v>
      </c>
      <c r="D77" s="63">
        <f>IF(ข้อมูลสูตร!$A74="","",ข้อมูลสูตร!E74)</f>
        <v>75</v>
      </c>
      <c r="E77" s="63">
        <f>IF(ข้อมูลสูตร!$A74="","",ข้อมูลสูตร!F74)</f>
        <v>0</v>
      </c>
      <c r="F77" s="63">
        <f>IF(ข้อมูลสูตร!$A74="","",ข้อมูลสูตร!G74)</f>
        <v>35</v>
      </c>
      <c r="G77" s="63">
        <f>IF(ข้อมูลสูตร!$A74="","",ข้อมูลสูตร!H74)</f>
        <v>0</v>
      </c>
      <c r="H77" s="63">
        <f>IF(ข้อมูลสูตร!$A74="","",ข้อมูลสูตร!I74)</f>
        <v>12</v>
      </c>
      <c r="I77" s="63">
        <f>IF(ข้อมูลสูตร!$A74="","",ข้อมูลสูตร!J74)</f>
        <v>9.6</v>
      </c>
      <c r="J77" s="63">
        <f>IF(ข้อมูลสูตร!$A74="","",ข้อมูลสูตร!K74)</f>
        <v>0</v>
      </c>
      <c r="K77" s="63">
        <f>IF(ข้อมูลสูตร!$A74="","",ข้อมูลสูตร!L74)</f>
        <v>0</v>
      </c>
      <c r="L77" s="63">
        <f>IF(ข้อมูลสูตร!$A74="","",ข้อมูลสูตร!M74)</f>
        <v>0</v>
      </c>
      <c r="M77" s="63">
        <f>IF(ข้อมูลสูตร!$A74="","",ข้อมูลสูตร!N74)</f>
        <v>85</v>
      </c>
      <c r="N77" s="63">
        <f>IF(ข้อมูลสูตร!$A74="","",ข้อมูลสูตร!O74)</f>
        <v>0</v>
      </c>
      <c r="O77" s="63">
        <f>IF(ข้อมูลสูตร!$A74="","",ข้อมูลสูตร!P74)</f>
        <v>0</v>
      </c>
      <c r="P77" s="63">
        <f>IF(ข้อมูลสูตร!$A74="","",ข้อมูลสูตร!Q74)</f>
        <v>0</v>
      </c>
      <c r="Q77" s="63">
        <f>IF(ข้อมูลสูตร!$A74="","",ข้อมูลสูตร!R74)</f>
        <v>0</v>
      </c>
      <c r="R77" s="63">
        <f>IF(ข้อมูลสูตร!$A74="","",ข้อมูลสูตร!S74)</f>
        <v>200</v>
      </c>
      <c r="S77" s="63">
        <f>IF(ข้อมูลสูตร!$A74="","",ข้อมูลสูตร!T74)</f>
        <v>0</v>
      </c>
      <c r="T77" s="63">
        <f>IF(ข้อมูลสูตร!$A74="","",ข้อมูลสูตร!U74)</f>
        <v>0</v>
      </c>
      <c r="U77" s="64">
        <f>IF(ข้อมูลสูตร!$A74="","",ข้อมูลสูตร!V74)</f>
        <v>216.6</v>
      </c>
      <c r="V77" s="8">
        <f>IF(ข้อมูลสูตร!$A74="","",ข้อมูลสูตร!W74)</f>
        <v>17.22</v>
      </c>
      <c r="W77" s="64">
        <f>IF(ข้อมูลสูตร!$A74="","",ข้อมูลสูตร!X74)</f>
        <v>69</v>
      </c>
      <c r="X77" s="23">
        <f>IF(ข้อมูลสูตร!$A74="","",ข้อมูลสูตร!Y74)</f>
        <v>0.75043478260869567</v>
      </c>
      <c r="Y77" s="48" t="str">
        <f>IF(ข้อมูลสูตร!$A74="","",ข้อมูลสูตร!Z74)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7" s="48" t="str">
        <f>ข้อมูลสูตร!$A74</f>
        <v>Coconut Frappe|16 oz|50%</v>
      </c>
    </row>
    <row r="78" spans="1:26" x14ac:dyDescent="0.25">
      <c r="A78" s="4" t="str">
        <f>IF(ข้อมูลสูตร!$A75="","",ข้อมูลสูตร!B75)</f>
        <v>Coconut Frappe</v>
      </c>
      <c r="B78" s="4" t="str">
        <f>IF(ข้อมูลสูตร!$A75="","",ข้อมูลสูตร!C75)</f>
        <v>16 oz</v>
      </c>
      <c r="C78" s="4" t="str">
        <f>IF(ข้อมูลสูตร!$A75="","",ข้อมูลสูตร!D75)</f>
        <v>75%</v>
      </c>
      <c r="D78" s="63">
        <f>IF(ข้อมูลสูตร!$A75="","",ข้อมูลสูตร!E75)</f>
        <v>75</v>
      </c>
      <c r="E78" s="63">
        <f>IF(ข้อมูลสูตร!$A75="","",ข้อมูลสูตร!F75)</f>
        <v>0</v>
      </c>
      <c r="F78" s="63">
        <f>IF(ข้อมูลสูตร!$A75="","",ข้อมูลสูตร!G75)</f>
        <v>35</v>
      </c>
      <c r="G78" s="63">
        <f>IF(ข้อมูลสูตร!$A75="","",ข้อมูลสูตร!H75)</f>
        <v>0</v>
      </c>
      <c r="H78" s="63">
        <f>IF(ข้อมูลสูตร!$A75="","",ข้อมูลสูตร!I75)</f>
        <v>18</v>
      </c>
      <c r="I78" s="63">
        <f>IF(ข้อมูลสูตร!$A75="","",ข้อมูลสูตร!J75)</f>
        <v>9.6</v>
      </c>
      <c r="J78" s="63">
        <f>IF(ข้อมูลสูตร!$A75="","",ข้อมูลสูตร!K75)</f>
        <v>0</v>
      </c>
      <c r="K78" s="63">
        <f>IF(ข้อมูลสูตร!$A75="","",ข้อมูลสูตร!L75)</f>
        <v>0</v>
      </c>
      <c r="L78" s="63">
        <f>IF(ข้อมูลสูตร!$A75="","",ข้อมูลสูตร!M75)</f>
        <v>0</v>
      </c>
      <c r="M78" s="63">
        <f>IF(ข้อมูลสูตร!$A75="","",ข้อมูลสูตร!N75)</f>
        <v>85</v>
      </c>
      <c r="N78" s="63">
        <f>IF(ข้อมูลสูตร!$A75="","",ข้อมูลสูตร!O75)</f>
        <v>0</v>
      </c>
      <c r="O78" s="63">
        <f>IF(ข้อมูลสูตร!$A75="","",ข้อมูลสูตร!P75)</f>
        <v>0</v>
      </c>
      <c r="P78" s="63">
        <f>IF(ข้อมูลสูตร!$A75="","",ข้อมูลสูตร!Q75)</f>
        <v>0</v>
      </c>
      <c r="Q78" s="63">
        <f>IF(ข้อมูลสูตร!$A75="","",ข้อมูลสูตร!R75)</f>
        <v>0</v>
      </c>
      <c r="R78" s="63">
        <f>IF(ข้อมูลสูตร!$A75="","",ข้อมูลสูตร!S75)</f>
        <v>200</v>
      </c>
      <c r="S78" s="63">
        <f>IF(ข้อมูลสูตร!$A75="","",ข้อมูลสูตร!T75)</f>
        <v>0</v>
      </c>
      <c r="T78" s="63">
        <f>IF(ข้อมูลสูตร!$A75="","",ข้อมูลสูตร!U75)</f>
        <v>0</v>
      </c>
      <c r="U78" s="64">
        <f>IF(ข้อมูลสูตร!$A75="","",ข้อมูลสูตร!V75)</f>
        <v>222.6</v>
      </c>
      <c r="V78" s="8">
        <f>IF(ข้อมูลสูตร!$A75="","",ข้อมูลสูตร!W75)</f>
        <v>17.64</v>
      </c>
      <c r="W78" s="64">
        <f>IF(ข้อมูลสูตร!$A75="","",ข้อมูลสูตร!X75)</f>
        <v>69</v>
      </c>
      <c r="X78" s="23">
        <f>IF(ข้อมูลสูตร!$A75="","",ข้อมูลสูตร!Y75)</f>
        <v>0.74434782608695649</v>
      </c>
      <c r="Y78" s="48" t="str">
        <f>IF(ข้อมูลสูตร!$A75="","",ข้อมูลสูตร!Z75)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8" s="48" t="str">
        <f>ข้อมูลสูตร!$A75</f>
        <v>Coconut Frappe|16 oz|75%</v>
      </c>
    </row>
    <row r="79" spans="1:26" x14ac:dyDescent="0.25">
      <c r="A79" s="4" t="str">
        <f>IF(ข้อมูลสูตร!$A76="","",ข้อมูลสูตร!B76)</f>
        <v>Coconut Frappe</v>
      </c>
      <c r="B79" s="4" t="str">
        <f>IF(ข้อมูลสูตร!$A76="","",ข้อมูลสูตร!C76)</f>
        <v>16 oz</v>
      </c>
      <c r="C79" s="4" t="str">
        <f>IF(ข้อมูลสูตร!$A76="","",ข้อมูลสูตร!D76)</f>
        <v>100%</v>
      </c>
      <c r="D79" s="63">
        <f>IF(ข้อมูลสูตร!$A76="","",ข้อมูลสูตร!E76)</f>
        <v>75</v>
      </c>
      <c r="E79" s="63">
        <f>IF(ข้อมูลสูตร!$A76="","",ข้อมูลสูตร!F76)</f>
        <v>0</v>
      </c>
      <c r="F79" s="63">
        <f>IF(ข้อมูลสูตร!$A76="","",ข้อมูลสูตร!G76)</f>
        <v>35</v>
      </c>
      <c r="G79" s="63">
        <f>IF(ข้อมูลสูตร!$A76="","",ข้อมูลสูตร!H76)</f>
        <v>0</v>
      </c>
      <c r="H79" s="63">
        <f>IF(ข้อมูลสูตร!$A76="","",ข้อมูลสูตร!I76)</f>
        <v>24</v>
      </c>
      <c r="I79" s="63">
        <f>IF(ข้อมูลสูตร!$A76="","",ข้อมูลสูตร!J76)</f>
        <v>9.6</v>
      </c>
      <c r="J79" s="63">
        <f>IF(ข้อมูลสูตร!$A76="","",ข้อมูลสูตร!K76)</f>
        <v>0</v>
      </c>
      <c r="K79" s="63">
        <f>IF(ข้อมูลสูตร!$A76="","",ข้อมูลสูตร!L76)</f>
        <v>0</v>
      </c>
      <c r="L79" s="63">
        <f>IF(ข้อมูลสูตร!$A76="","",ข้อมูลสูตร!M76)</f>
        <v>0</v>
      </c>
      <c r="M79" s="63">
        <f>IF(ข้อมูลสูตร!$A76="","",ข้อมูลสูตร!N76)</f>
        <v>85</v>
      </c>
      <c r="N79" s="63">
        <f>IF(ข้อมูลสูตร!$A76="","",ข้อมูลสูตร!O76)</f>
        <v>0</v>
      </c>
      <c r="O79" s="63">
        <f>IF(ข้อมูลสูตร!$A76="","",ข้อมูลสูตร!P76)</f>
        <v>0</v>
      </c>
      <c r="P79" s="63">
        <f>IF(ข้อมูลสูตร!$A76="","",ข้อมูลสูตร!Q76)</f>
        <v>0</v>
      </c>
      <c r="Q79" s="63">
        <f>IF(ข้อมูลสูตร!$A76="","",ข้อมูลสูตร!R76)</f>
        <v>0</v>
      </c>
      <c r="R79" s="63">
        <f>IF(ข้อมูลสูตร!$A76="","",ข้อมูลสูตร!S76)</f>
        <v>200</v>
      </c>
      <c r="S79" s="63">
        <f>IF(ข้อมูลสูตร!$A76="","",ข้อมูลสูตร!T76)</f>
        <v>0</v>
      </c>
      <c r="T79" s="63">
        <f>IF(ข้อมูลสูตร!$A76="","",ข้อมูลสูตร!U76)</f>
        <v>0</v>
      </c>
      <c r="U79" s="64">
        <f>IF(ข้อมูลสูตร!$A76="","",ข้อมูลสูตร!V76)</f>
        <v>228.6</v>
      </c>
      <c r="V79" s="8">
        <f>IF(ข้อมูลสูตร!$A76="","",ข้อมูลสูตร!W76)</f>
        <v>18.05</v>
      </c>
      <c r="W79" s="64">
        <f>IF(ข้อมูลสูตร!$A76="","",ข้อมูลสูตร!X76)</f>
        <v>69</v>
      </c>
      <c r="X79" s="23">
        <f>IF(ข้อมูลสูตร!$A76="","",ข้อมูลสูตร!Y76)</f>
        <v>0.73840579710144927</v>
      </c>
      <c r="Y79" s="48" t="str">
        <f>IF(ข้อมูลสูตร!$A76="","",ข้อมูลสูตร!Z76)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79" s="48" t="str">
        <f>ข้อมูลสูตร!$A76</f>
        <v>Coconut Frappe|16 oz|100%</v>
      </c>
    </row>
    <row r="80" spans="1:26" x14ac:dyDescent="0.25">
      <c r="A80" s="4" t="str">
        <f>IF(ข้อมูลสูตร!$A77="","",ข้อมูลสูตร!B77)</f>
        <v>Coconut Frappe</v>
      </c>
      <c r="B80" s="4" t="str">
        <f>IF(ข้อมูลสูตร!$A77="","",ข้อมูลสูตร!C77)</f>
        <v>22 oz</v>
      </c>
      <c r="C80" s="4" t="str">
        <f>IF(ข้อมูลสูตร!$A77="","",ข้อมูลสูตร!D77)</f>
        <v>0%</v>
      </c>
      <c r="D80" s="63">
        <f>IF(ข้อมูลสูตร!$A77="","",ข้อมูลสูตร!E77)</f>
        <v>103</v>
      </c>
      <c r="E80" s="63">
        <f>IF(ข้อมูลสูตร!$A77="","",ข้อมูลสูตร!F77)</f>
        <v>0</v>
      </c>
      <c r="F80" s="63">
        <f>IF(ข้อมูลสูตร!$A77="","",ข้อมูลสูตร!G77)</f>
        <v>48</v>
      </c>
      <c r="G80" s="63">
        <f>IF(ข้อมูลสูตร!$A77="","",ข้อมูลสูตร!H77)</f>
        <v>0</v>
      </c>
      <c r="H80" s="63">
        <f>IF(ข้อมูลสูตร!$A77="","",ข้อมูลสูตร!I77)</f>
        <v>0</v>
      </c>
      <c r="I80" s="63">
        <f>IF(ข้อมูลสูตร!$A77="","",ข้อมูลสูตร!J77)</f>
        <v>0</v>
      </c>
      <c r="J80" s="63">
        <f>IF(ข้อมูลสูตร!$A77="","",ข้อมูลสูตร!K77)</f>
        <v>0</v>
      </c>
      <c r="K80" s="63">
        <f>IF(ข้อมูลสูตร!$A77="","",ข้อมูลสูตร!L77)</f>
        <v>0</v>
      </c>
      <c r="L80" s="63">
        <f>IF(ข้อมูลสูตร!$A77="","",ข้อมูลสูตร!M77)</f>
        <v>0</v>
      </c>
      <c r="M80" s="63">
        <f>IF(ข้อมูลสูตร!$A77="","",ข้อมูลสูตร!N77)</f>
        <v>117</v>
      </c>
      <c r="N80" s="63">
        <f>IF(ข้อมูลสูตร!$A77="","",ข้อมูลสูตร!O77)</f>
        <v>0</v>
      </c>
      <c r="O80" s="63">
        <f>IF(ข้อมูลสูตร!$A77="","",ข้อมูลสูตร!P77)</f>
        <v>0</v>
      </c>
      <c r="P80" s="63">
        <f>IF(ข้อมูลสูตร!$A77="","",ข้อมูลสูตร!Q77)</f>
        <v>0</v>
      </c>
      <c r="Q80" s="63">
        <f>IF(ข้อมูลสูตร!$A77="","",ข้อมูลสูตร!R77)</f>
        <v>0</v>
      </c>
      <c r="R80" s="63">
        <f>IF(ข้อมูลสูตร!$A77="","",ข้อมูลสูตร!S77)</f>
        <v>270</v>
      </c>
      <c r="S80" s="63">
        <f>IF(ข้อมูลสูตร!$A77="","",ข้อมูลสูตร!T77)</f>
        <v>0</v>
      </c>
      <c r="T80" s="63">
        <f>IF(ข้อมูลสูตร!$A77="","",ข้อมูลสูตร!U77)</f>
        <v>0</v>
      </c>
      <c r="U80" s="64">
        <f>IF(ข้อมูลสูตร!$A77="","",ข้อมูลสูตร!V77)</f>
        <v>268</v>
      </c>
      <c r="V80" s="8">
        <f>IF(ข้อมูลสูตร!$A77="","",ข้อมูลสูตร!W77)</f>
        <v>21.55</v>
      </c>
      <c r="W80" s="64">
        <f>IF(ข้อมูลสูตร!$A77="","",ข้อมูลสูตร!X77)</f>
        <v>79</v>
      </c>
      <c r="X80" s="23">
        <f>IF(ข้อมูลสูตร!$A77="","",ข้อมูลสูตร!Y77)</f>
        <v>0.72721518987341771</v>
      </c>
      <c r="Y80" s="48" t="str">
        <f>IF(ข้อมูลสูตร!$A77="","",ข้อมูลสูตร!Z77)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80" s="48" t="str">
        <f>ข้อมูลสูตร!$A77</f>
        <v>Coconut Frappe|22 oz|0%</v>
      </c>
    </row>
    <row r="81" spans="1:26" x14ac:dyDescent="0.25">
      <c r="A81" s="4" t="str">
        <f>IF(ข้อมูลสูตร!$A78="","",ข้อมูลสูตร!B78)</f>
        <v>Coconut Frappe</v>
      </c>
      <c r="B81" s="4" t="str">
        <f>IF(ข้อมูลสูตร!$A78="","",ข้อมูลสูตร!C78)</f>
        <v>22 oz</v>
      </c>
      <c r="C81" s="4" t="str">
        <f>IF(ข้อมูลสูตร!$A78="","",ข้อมูลสูตร!D78)</f>
        <v>25%</v>
      </c>
      <c r="D81" s="63">
        <f>IF(ข้อมูลสูตร!$A78="","",ข้อมูลสูตร!E78)</f>
        <v>103</v>
      </c>
      <c r="E81" s="63">
        <f>IF(ข้อมูลสูตร!$A78="","",ข้อมูลสูตร!F78)</f>
        <v>0</v>
      </c>
      <c r="F81" s="63">
        <f>IF(ข้อมูลสูตร!$A78="","",ข้อมูลสูตร!G78)</f>
        <v>48</v>
      </c>
      <c r="G81" s="63">
        <f>IF(ข้อมูลสูตร!$A78="","",ข้อมูลสูตร!H78)</f>
        <v>0</v>
      </c>
      <c r="H81" s="63">
        <f>IF(ข้อมูลสูตร!$A78="","",ข้อมูลสูตร!I78)</f>
        <v>8</v>
      </c>
      <c r="I81" s="63">
        <f>IF(ข้อมูลสูตร!$A78="","",ข้อมูลสูตร!J78)</f>
        <v>13.2</v>
      </c>
      <c r="J81" s="63">
        <f>IF(ข้อมูลสูตร!$A78="","",ข้อมูลสูตร!K78)</f>
        <v>0</v>
      </c>
      <c r="K81" s="63">
        <f>IF(ข้อมูลสูตร!$A78="","",ข้อมูลสูตร!L78)</f>
        <v>0</v>
      </c>
      <c r="L81" s="63">
        <f>IF(ข้อมูลสูตร!$A78="","",ข้อมูลสูตร!M78)</f>
        <v>0</v>
      </c>
      <c r="M81" s="63">
        <f>IF(ข้อมูลสูตร!$A78="","",ข้อมูลสูตร!N78)</f>
        <v>117</v>
      </c>
      <c r="N81" s="63">
        <f>IF(ข้อมูลสูตร!$A78="","",ข้อมูลสูตร!O78)</f>
        <v>0</v>
      </c>
      <c r="O81" s="63">
        <f>IF(ข้อมูลสูตร!$A78="","",ข้อมูลสูตร!P78)</f>
        <v>0</v>
      </c>
      <c r="P81" s="63">
        <f>IF(ข้อมูลสูตร!$A78="","",ข้อมูลสูตร!Q78)</f>
        <v>0</v>
      </c>
      <c r="Q81" s="63">
        <f>IF(ข้อมูลสูตร!$A78="","",ข้อมูลสูตร!R78)</f>
        <v>0</v>
      </c>
      <c r="R81" s="63">
        <f>IF(ข้อมูลสูตร!$A78="","",ข้อมูลสูตร!S78)</f>
        <v>270</v>
      </c>
      <c r="S81" s="63">
        <f>IF(ข้อมูลสูตร!$A78="","",ข้อมูลสูตร!T78)</f>
        <v>0</v>
      </c>
      <c r="T81" s="63">
        <f>IF(ข้อมูลสูตร!$A78="","",ข้อมูลสูตร!U78)</f>
        <v>0</v>
      </c>
      <c r="U81" s="64">
        <f>IF(ข้อมูลสูตร!$A78="","",ข้อมูลสูตร!V78)</f>
        <v>289.2</v>
      </c>
      <c r="V81" s="8">
        <f>IF(ข้อมูลสูตร!$A78="","",ข้อมูลสูตร!W78)</f>
        <v>22.32</v>
      </c>
      <c r="W81" s="64">
        <f>IF(ข้อมูลสูตร!$A78="","",ข้อมูลสูตร!X78)</f>
        <v>79</v>
      </c>
      <c r="X81" s="23">
        <f>IF(ข้อมูลสูตร!$A78="","",ข้อมูลสูตร!Y78)</f>
        <v>0.71746835443037971</v>
      </c>
      <c r="Y81" s="48" t="str">
        <f>IF(ข้อมูลสูตร!$A78="","",ข้อมูลสูตร!Z78)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81" s="48" t="str">
        <f>ข้อมูลสูตร!$A78</f>
        <v>Coconut Frappe|22 oz|25%</v>
      </c>
    </row>
    <row r="82" spans="1:26" x14ac:dyDescent="0.25">
      <c r="A82" s="4" t="str">
        <f>IF(ข้อมูลสูตร!$A79="","",ข้อมูลสูตร!B79)</f>
        <v>Coconut Frappe</v>
      </c>
      <c r="B82" s="4" t="str">
        <f>IF(ข้อมูลสูตร!$A79="","",ข้อมูลสูตร!C79)</f>
        <v>22 oz</v>
      </c>
      <c r="C82" s="4" t="str">
        <f>IF(ข้อมูลสูตร!$A79="","",ข้อมูลสูตร!D79)</f>
        <v>50%</v>
      </c>
      <c r="D82" s="63">
        <f>IF(ข้อมูลสูตร!$A79="","",ข้อมูลสูตร!E79)</f>
        <v>103</v>
      </c>
      <c r="E82" s="63">
        <f>IF(ข้อมูลสูตร!$A79="","",ข้อมูลสูตร!F79)</f>
        <v>0</v>
      </c>
      <c r="F82" s="63">
        <f>IF(ข้อมูลสูตร!$A79="","",ข้อมูลสูตร!G79)</f>
        <v>48</v>
      </c>
      <c r="G82" s="63">
        <f>IF(ข้อมูลสูตร!$A79="","",ข้อมูลสูตร!H79)</f>
        <v>0</v>
      </c>
      <c r="H82" s="63">
        <f>IF(ข้อมูลสูตร!$A79="","",ข้อมูลสูตร!I79)</f>
        <v>16.5</v>
      </c>
      <c r="I82" s="63">
        <f>IF(ข้อมูลสูตร!$A79="","",ข้อมูลสูตร!J79)</f>
        <v>13.2</v>
      </c>
      <c r="J82" s="63">
        <f>IF(ข้อมูลสูตร!$A79="","",ข้อมูลสูตร!K79)</f>
        <v>0</v>
      </c>
      <c r="K82" s="63">
        <f>IF(ข้อมูลสูตร!$A79="","",ข้อมูลสูตร!L79)</f>
        <v>0</v>
      </c>
      <c r="L82" s="63">
        <f>IF(ข้อมูลสูตร!$A79="","",ข้อมูลสูตร!M79)</f>
        <v>0</v>
      </c>
      <c r="M82" s="63">
        <f>IF(ข้อมูลสูตร!$A79="","",ข้อมูลสูตร!N79)</f>
        <v>117</v>
      </c>
      <c r="N82" s="63">
        <f>IF(ข้อมูลสูตร!$A79="","",ข้อมูลสูตร!O79)</f>
        <v>0</v>
      </c>
      <c r="O82" s="63">
        <f>IF(ข้อมูลสูตร!$A79="","",ข้อมูลสูตร!P79)</f>
        <v>0</v>
      </c>
      <c r="P82" s="63">
        <f>IF(ข้อมูลสูตร!$A79="","",ข้อมูลสูตร!Q79)</f>
        <v>0</v>
      </c>
      <c r="Q82" s="63">
        <f>IF(ข้อมูลสูตร!$A79="","",ข้อมูลสูตร!R79)</f>
        <v>0</v>
      </c>
      <c r="R82" s="63">
        <f>IF(ข้อมูลสูตร!$A79="","",ข้อมูลสูตร!S79)</f>
        <v>270</v>
      </c>
      <c r="S82" s="63">
        <f>IF(ข้อมูลสูตร!$A79="","",ข้อมูลสูตร!T79)</f>
        <v>0</v>
      </c>
      <c r="T82" s="63">
        <f>IF(ข้อมูลสูตร!$A79="","",ข้อมูลสูตร!U79)</f>
        <v>0</v>
      </c>
      <c r="U82" s="64">
        <f>IF(ข้อมูลสูตร!$A79="","",ข้อมูลสูตร!V79)</f>
        <v>297.7</v>
      </c>
      <c r="V82" s="8">
        <f>IF(ข้อมูลสูตร!$A79="","",ข้อมูลสูตร!W79)</f>
        <v>22.91</v>
      </c>
      <c r="W82" s="64">
        <f>IF(ข้อมูลสูตร!$A79="","",ข้อมูลสูตร!X79)</f>
        <v>79</v>
      </c>
      <c r="X82" s="23">
        <f>IF(ข้อมูลสูตร!$A79="","",ข้อมูลสูตร!Y79)</f>
        <v>0.71000000000000008</v>
      </c>
      <c r="Y82" s="48" t="str">
        <f>IF(ข้อมูลสูตร!$A79="","",ข้อมูลสูตร!Z79)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82" s="48" t="str">
        <f>ข้อมูลสูตร!$A79</f>
        <v>Coconut Frappe|22 oz|50%</v>
      </c>
    </row>
    <row r="83" spans="1:26" x14ac:dyDescent="0.25">
      <c r="A83" s="4" t="str">
        <f>IF(ข้อมูลสูตร!$A80="","",ข้อมูลสูตร!B80)</f>
        <v>Coconut Frappe</v>
      </c>
      <c r="B83" s="4" t="str">
        <f>IF(ข้อมูลสูตร!$A80="","",ข้อมูลสูตร!C80)</f>
        <v>22 oz</v>
      </c>
      <c r="C83" s="4" t="str">
        <f>IF(ข้อมูลสูตร!$A80="","",ข้อมูลสูตร!D80)</f>
        <v>75%</v>
      </c>
      <c r="D83" s="63">
        <f>IF(ข้อมูลสูตร!$A80="","",ข้อมูลสูตร!E80)</f>
        <v>103</v>
      </c>
      <c r="E83" s="63">
        <f>IF(ข้อมูลสูตร!$A80="","",ข้อมูลสูตร!F80)</f>
        <v>0</v>
      </c>
      <c r="F83" s="63">
        <f>IF(ข้อมูลสูตร!$A80="","",ข้อมูลสูตร!G80)</f>
        <v>48</v>
      </c>
      <c r="G83" s="63">
        <f>IF(ข้อมูลสูตร!$A80="","",ข้อมูลสูตร!H80)</f>
        <v>0</v>
      </c>
      <c r="H83" s="63">
        <f>IF(ข้อมูลสูตร!$A80="","",ข้อมูลสูตร!I80)</f>
        <v>25</v>
      </c>
      <c r="I83" s="63">
        <f>IF(ข้อมูลสูตร!$A80="","",ข้อมูลสูตร!J80)</f>
        <v>13.2</v>
      </c>
      <c r="J83" s="63">
        <f>IF(ข้อมูลสูตร!$A80="","",ข้อมูลสูตร!K80)</f>
        <v>0</v>
      </c>
      <c r="K83" s="63">
        <f>IF(ข้อมูลสูตร!$A80="","",ข้อมูลสูตร!L80)</f>
        <v>0</v>
      </c>
      <c r="L83" s="63">
        <f>IF(ข้อมูลสูตร!$A80="","",ข้อมูลสูตร!M80)</f>
        <v>0</v>
      </c>
      <c r="M83" s="63">
        <f>IF(ข้อมูลสูตร!$A80="","",ข้อมูลสูตร!N80)</f>
        <v>117</v>
      </c>
      <c r="N83" s="63">
        <f>IF(ข้อมูลสูตร!$A80="","",ข้อมูลสูตร!O80)</f>
        <v>0</v>
      </c>
      <c r="O83" s="63">
        <f>IF(ข้อมูลสูตร!$A80="","",ข้อมูลสูตร!P80)</f>
        <v>0</v>
      </c>
      <c r="P83" s="63">
        <f>IF(ข้อมูลสูตร!$A80="","",ข้อมูลสูตร!Q80)</f>
        <v>0</v>
      </c>
      <c r="Q83" s="63">
        <f>IF(ข้อมูลสูตร!$A80="","",ข้อมูลสูตร!R80)</f>
        <v>0</v>
      </c>
      <c r="R83" s="63">
        <f>IF(ข้อมูลสูตร!$A80="","",ข้อมูลสูตร!S80)</f>
        <v>270</v>
      </c>
      <c r="S83" s="63">
        <f>IF(ข้อมูลสูตร!$A80="","",ข้อมูลสูตร!T80)</f>
        <v>0</v>
      </c>
      <c r="T83" s="63">
        <f>IF(ข้อมูลสูตร!$A80="","",ข้อมูลสูตร!U80)</f>
        <v>0</v>
      </c>
      <c r="U83" s="64">
        <f>IF(ข้อมูลสูตร!$A80="","",ข้อมูลสูตร!V80)</f>
        <v>306.2</v>
      </c>
      <c r="V83" s="8">
        <f>IF(ข้อมูลสูตร!$A80="","",ข้อมูลสูตร!W80)</f>
        <v>23.5</v>
      </c>
      <c r="W83" s="64">
        <f>IF(ข้อมูลสูตร!$A80="","",ข้อมูลสูตร!X80)</f>
        <v>79</v>
      </c>
      <c r="X83" s="23">
        <f>IF(ข้อมูลสูตร!$A80="","",ข้อมูลสูตร!Y80)</f>
        <v>0.70253164556962022</v>
      </c>
      <c r="Y83" s="48" t="str">
        <f>IF(ข้อมูลสูตร!$A80="","",ข้อมูลสูตร!Z80)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83" s="48" t="str">
        <f>ข้อมูลสูตร!$A80</f>
        <v>Coconut Frappe|22 oz|75%</v>
      </c>
    </row>
    <row r="84" spans="1:26" x14ac:dyDescent="0.25">
      <c r="A84" s="4" t="str">
        <f>IF(ข้อมูลสูตร!$A81="","",ข้อมูลสูตร!B81)</f>
        <v>Coconut Frappe</v>
      </c>
      <c r="B84" s="4" t="str">
        <f>IF(ข้อมูลสูตร!$A81="","",ข้อมูลสูตร!C81)</f>
        <v>22 oz</v>
      </c>
      <c r="C84" s="4" t="str">
        <f>IF(ข้อมูลสูตร!$A81="","",ข้อมูลสูตร!D81)</f>
        <v>100%</v>
      </c>
      <c r="D84" s="63">
        <f>IF(ข้อมูลสูตร!$A81="","",ข้อมูลสูตร!E81)</f>
        <v>103</v>
      </c>
      <c r="E84" s="63">
        <f>IF(ข้อมูลสูตร!$A81="","",ข้อมูลสูตร!F81)</f>
        <v>0</v>
      </c>
      <c r="F84" s="63">
        <f>IF(ข้อมูลสูตร!$A81="","",ข้อมูลสูตร!G81)</f>
        <v>48</v>
      </c>
      <c r="G84" s="63">
        <f>IF(ข้อมูลสูตร!$A81="","",ข้อมูลสูตร!H81)</f>
        <v>0</v>
      </c>
      <c r="H84" s="63">
        <f>IF(ข้อมูลสูตร!$A81="","",ข้อมูลสูตร!I81)</f>
        <v>33</v>
      </c>
      <c r="I84" s="63">
        <f>IF(ข้อมูลสูตร!$A81="","",ข้อมูลสูตร!J81)</f>
        <v>13.2</v>
      </c>
      <c r="J84" s="63">
        <f>IF(ข้อมูลสูตร!$A81="","",ข้อมูลสูตร!K81)</f>
        <v>0</v>
      </c>
      <c r="K84" s="63">
        <f>IF(ข้อมูลสูตร!$A81="","",ข้อมูลสูตร!L81)</f>
        <v>0</v>
      </c>
      <c r="L84" s="63">
        <f>IF(ข้อมูลสูตร!$A81="","",ข้อมูลสูตร!M81)</f>
        <v>0</v>
      </c>
      <c r="M84" s="63">
        <f>IF(ข้อมูลสูตร!$A81="","",ข้อมูลสูตร!N81)</f>
        <v>117</v>
      </c>
      <c r="N84" s="63">
        <f>IF(ข้อมูลสูตร!$A81="","",ข้อมูลสูตร!O81)</f>
        <v>0</v>
      </c>
      <c r="O84" s="63">
        <f>IF(ข้อมูลสูตร!$A81="","",ข้อมูลสูตร!P81)</f>
        <v>0</v>
      </c>
      <c r="P84" s="63">
        <f>IF(ข้อมูลสูตร!$A81="","",ข้อมูลสูตร!Q81)</f>
        <v>0</v>
      </c>
      <c r="Q84" s="63">
        <f>IF(ข้อมูลสูตร!$A81="","",ข้อมูลสูตร!R81)</f>
        <v>0</v>
      </c>
      <c r="R84" s="63">
        <f>IF(ข้อมูลสูตร!$A81="","",ข้อมูลสูตร!S81)</f>
        <v>270</v>
      </c>
      <c r="S84" s="63">
        <f>IF(ข้อมูลสูตร!$A81="","",ข้อมูลสูตร!T81)</f>
        <v>0</v>
      </c>
      <c r="T84" s="63">
        <f>IF(ข้อมูลสูตร!$A81="","",ข้อมูลสูตร!U81)</f>
        <v>0</v>
      </c>
      <c r="U84" s="64">
        <f>IF(ข้อมูลสูตร!$A81="","",ข้อมูลสูตร!V81)</f>
        <v>314.2</v>
      </c>
      <c r="V84" s="8">
        <f>IF(ข้อมูลสูตร!$A81="","",ข้อมูลสูตร!W81)</f>
        <v>24.06</v>
      </c>
      <c r="W84" s="64">
        <f>IF(ข้อมูลสูตร!$A81="","",ข้อมูลสูตร!X81)</f>
        <v>79</v>
      </c>
      <c r="X84" s="23">
        <f>IF(ข้อมูลสูตร!$A81="","",ข้อมูลสูตร!Y81)</f>
        <v>0.69544303797468354</v>
      </c>
      <c r="Y84" s="48" t="str">
        <f>IF(ข้อมูลสูตร!$A81="","",ข้อมูลสูตร!Z81)</f>
        <v>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84" s="48" t="str">
        <f>ข้อมูลสูตร!$A81</f>
        <v>Coconut Frappe|22 oz|100%</v>
      </c>
    </row>
    <row r="85" spans="1:26" x14ac:dyDescent="0.25">
      <c r="A85" s="4" t="str">
        <f>IF(ข้อมูลสูตร!$A82="","",ข้อมูลสูตร!B82)</f>
        <v>Honey Milk</v>
      </c>
      <c r="B85" s="4" t="str">
        <f>IF(ข้อมูลสูตร!$A82="","",ข้อมูลสูตร!C82)</f>
        <v>16 oz</v>
      </c>
      <c r="C85" s="4" t="str">
        <f>IF(ข้อมูลสูตร!$A82="","",ข้อมูลสูตร!D82)</f>
        <v>0%</v>
      </c>
      <c r="D85" s="63">
        <f>IF(ข้อมูลสูตร!$A82="","",ข้อมูลสูตร!E82)</f>
        <v>120</v>
      </c>
      <c r="E85" s="63">
        <f>IF(ข้อมูลสูตร!$A82="","",ข้อมูลสูตร!F82)</f>
        <v>0</v>
      </c>
      <c r="F85" s="63">
        <f>IF(ข้อมูลสูตร!$A82="","",ข้อมูลสูตร!G82)</f>
        <v>55</v>
      </c>
      <c r="G85" s="63">
        <f>IF(ข้อมูลสูตร!$A82="","",ข้อมูลสูตร!H82)</f>
        <v>18</v>
      </c>
      <c r="H85" s="63">
        <f>IF(ข้อมูลสูตร!$A82="","",ข้อมูลสูตร!I82)</f>
        <v>0</v>
      </c>
      <c r="I85" s="63">
        <f>IF(ข้อมูลสูตร!$A82="","",ข้อมูลสูตร!J82)</f>
        <v>0</v>
      </c>
      <c r="J85" s="63">
        <f>IF(ข้อมูลสูตร!$A82="","",ข้อมูลสูตร!K82)</f>
        <v>0</v>
      </c>
      <c r="K85" s="63">
        <f>IF(ข้อมูลสูตร!$A82="","",ข้อมูลสูตร!L82)</f>
        <v>0</v>
      </c>
      <c r="L85" s="63">
        <f>IF(ข้อมูลสูตร!$A82="","",ข้อมูลสูตร!M82)</f>
        <v>0</v>
      </c>
      <c r="M85" s="63">
        <f>IF(ข้อมูลสูตร!$A82="","",ข้อมูลสูตร!N82)</f>
        <v>0</v>
      </c>
      <c r="N85" s="63">
        <f>IF(ข้อมูลสูตร!$A82="","",ข้อมูลสูตร!O82)</f>
        <v>0</v>
      </c>
      <c r="O85" s="63">
        <f>IF(ข้อมูลสูตร!$A82="","",ข้อมูลสูตร!P82)</f>
        <v>0</v>
      </c>
      <c r="P85" s="63">
        <f>IF(ข้อมูลสูตร!$A82="","",ข้อมูลสูตร!Q82)</f>
        <v>0</v>
      </c>
      <c r="Q85" s="63">
        <f>IF(ข้อมูลสูตร!$A82="","",ข้อมูลสูตร!R82)</f>
        <v>0</v>
      </c>
      <c r="R85" s="63">
        <f>IF(ข้อมูลสูตร!$A82="","",ข้อมูลสูตร!S82)</f>
        <v>240</v>
      </c>
      <c r="S85" s="63">
        <f>IF(ข้อมูลสูตร!$A82="","",ข้อมูลสูตร!T82)</f>
        <v>0</v>
      </c>
      <c r="T85" s="63">
        <f>IF(ข้อมูลสูตร!$A82="","",ข้อมูลสูตร!U82)</f>
        <v>0</v>
      </c>
      <c r="U85" s="64">
        <f>IF(ข้อมูลสูตร!$A82="","",ข้อมูลสูตร!V82)</f>
        <v>193</v>
      </c>
      <c r="V85" s="8">
        <f>IF(ข้อมูลสูตร!$A82="","",ข้อมูลสูตร!W82)</f>
        <v>13.73</v>
      </c>
      <c r="W85" s="64">
        <f>IF(ข้อมูลสูตร!$A82="","",ข้อมูลสูตร!X82)</f>
        <v>50</v>
      </c>
      <c r="X85" s="23">
        <f>IF(ข้อมูลสูตร!$A82="","",ข้อมูลสูตร!Y82)</f>
        <v>0.72539999999999993</v>
      </c>
      <c r="Y85" s="48" t="str">
        <f>IF(ข้อมูลสูตร!$A82="","",ข้อมูลสูตร!Z82)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85" s="48" t="str">
        <f>ข้อมูลสูตร!$A82</f>
        <v>Honey Milk|16 oz|0%</v>
      </c>
    </row>
    <row r="86" spans="1:26" x14ac:dyDescent="0.25">
      <c r="A86" s="4" t="str">
        <f>IF(ข้อมูลสูตร!$A83="","",ข้อมูลสูตร!B83)</f>
        <v>Honey Milk</v>
      </c>
      <c r="B86" s="4" t="str">
        <f>IF(ข้อมูลสูตร!$A83="","",ข้อมูลสูตร!C83)</f>
        <v>16 oz</v>
      </c>
      <c r="C86" s="4" t="str">
        <f>IF(ข้อมูลสูตร!$A83="","",ข้อมูลสูตร!D83)</f>
        <v>25%</v>
      </c>
      <c r="D86" s="63">
        <f>IF(ข้อมูลสูตร!$A83="","",ข้อมูลสูตร!E83)</f>
        <v>120</v>
      </c>
      <c r="E86" s="63">
        <f>IF(ข้อมูลสูตร!$A83="","",ข้อมูลสูตร!F83)</f>
        <v>0</v>
      </c>
      <c r="F86" s="63">
        <f>IF(ข้อมูลสูตร!$A83="","",ข้อมูลสูตร!G83)</f>
        <v>39.6</v>
      </c>
      <c r="G86" s="63">
        <f>IF(ข้อมูลสูตร!$A83="","",ข้อมูลสูตร!H83)</f>
        <v>18</v>
      </c>
      <c r="H86" s="63">
        <f>IF(ข้อมูลสูตร!$A83="","",ข้อมูลสูตร!I83)</f>
        <v>0</v>
      </c>
      <c r="I86" s="63">
        <f>IF(ข้อมูลสูตร!$A83="","",ข้อมูลสูตร!J83)</f>
        <v>18.399999999999999</v>
      </c>
      <c r="J86" s="63">
        <f>IF(ข้อมูลสูตร!$A83="","",ข้อมูลสูตร!K83)</f>
        <v>4</v>
      </c>
      <c r="K86" s="63">
        <f>IF(ข้อมูลสูตร!$A83="","",ข้อมูลสูตร!L83)</f>
        <v>0</v>
      </c>
      <c r="L86" s="63">
        <f>IF(ข้อมูลสูตร!$A83="","",ข้อมูลสูตร!M83)</f>
        <v>0</v>
      </c>
      <c r="M86" s="63">
        <f>IF(ข้อมูลสูตร!$A83="","",ข้อมูลสูตร!N83)</f>
        <v>0</v>
      </c>
      <c r="N86" s="63">
        <f>IF(ข้อมูลสูตร!$A83="","",ข้อมูลสูตร!O83)</f>
        <v>0</v>
      </c>
      <c r="O86" s="63">
        <f>IF(ข้อมูลสูตร!$A83="","",ข้อมูลสูตร!P83)</f>
        <v>0</v>
      </c>
      <c r="P86" s="63">
        <f>IF(ข้อมูลสูตร!$A83="","",ข้อมูลสูตร!Q83)</f>
        <v>0</v>
      </c>
      <c r="Q86" s="63">
        <f>IF(ข้อมูลสูตร!$A83="","",ข้อมูลสูตร!R83)</f>
        <v>0</v>
      </c>
      <c r="R86" s="63">
        <f>IF(ข้อมูลสูตร!$A83="","",ข้อมูลสูตร!S83)</f>
        <v>240</v>
      </c>
      <c r="S86" s="63">
        <f>IF(ข้อมูลสูตร!$A83="","",ข้อมูลสูตร!T83)</f>
        <v>0</v>
      </c>
      <c r="T86" s="63">
        <f>IF(ข้อมูลสูตร!$A83="","",ข้อมูลสูตร!U83)</f>
        <v>0</v>
      </c>
      <c r="U86" s="64">
        <f>IF(ข้อมูลสูตร!$A83="","",ข้อมูลสูตร!V83)</f>
        <v>200</v>
      </c>
      <c r="V86" s="8">
        <f>IF(ข้อมูลสูตร!$A83="","",ข้อมูลสูตร!W83)</f>
        <v>14.24</v>
      </c>
      <c r="W86" s="64">
        <f>IF(ข้อมูลสูตร!$A83="","",ข้อมูลสูตร!X83)</f>
        <v>50</v>
      </c>
      <c r="X86" s="23">
        <f>IF(ข้อมูลสูตร!$A83="","",ข้อมูลสูตร!Y83)</f>
        <v>0.71519999999999995</v>
      </c>
      <c r="Y86" s="48" t="str">
        <f>IF(ข้อมูลสูตร!$A83="","",ข้อมูลสูตร!Z83)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86" s="48" t="str">
        <f>ข้อมูลสูตร!$A83</f>
        <v>Honey Milk|16 oz|25%</v>
      </c>
    </row>
    <row r="87" spans="1:26" x14ac:dyDescent="0.25">
      <c r="A87" s="4" t="str">
        <f>IF(ข้อมูลสูตร!$A84="","",ข้อมูลสูตร!B84)</f>
        <v>Honey Milk</v>
      </c>
      <c r="B87" s="4" t="str">
        <f>IF(ข้อมูลสูตร!$A84="","",ข้อมูลสูตร!C84)</f>
        <v>16 oz</v>
      </c>
      <c r="C87" s="4" t="str">
        <f>IF(ข้อมูลสูตร!$A84="","",ข้อมูลสูตร!D84)</f>
        <v>50%</v>
      </c>
      <c r="D87" s="63">
        <f>IF(ข้อมูลสูตร!$A84="","",ข้อมูลสูตร!E84)</f>
        <v>120</v>
      </c>
      <c r="E87" s="63">
        <f>IF(ข้อมูลสูตร!$A84="","",ข้อมูลสูตร!F84)</f>
        <v>0</v>
      </c>
      <c r="F87" s="63">
        <f>IF(ข้อมูลสูตร!$A84="","",ข้อมูลสูตร!G84)</f>
        <v>39.6</v>
      </c>
      <c r="G87" s="63">
        <f>IF(ข้อมูลสูตร!$A84="","",ข้อมูลสูตร!H84)</f>
        <v>18</v>
      </c>
      <c r="H87" s="63">
        <f>IF(ข้อมูลสูตร!$A84="","",ข้อมูลสูตร!I84)</f>
        <v>0</v>
      </c>
      <c r="I87" s="63">
        <f>IF(ข้อมูลสูตร!$A84="","",ข้อมูลสูตร!J84)</f>
        <v>21.4</v>
      </c>
      <c r="J87" s="63">
        <f>IF(ข้อมูลสูตร!$A84="","",ข้อมูลสูตร!K84)</f>
        <v>8</v>
      </c>
      <c r="K87" s="63">
        <f>IF(ข้อมูลสูตร!$A84="","",ข้อมูลสูตร!L84)</f>
        <v>0</v>
      </c>
      <c r="L87" s="63">
        <f>IF(ข้อมูลสูตร!$A84="","",ข้อมูลสูตร!M84)</f>
        <v>0</v>
      </c>
      <c r="M87" s="63">
        <f>IF(ข้อมูลสูตร!$A84="","",ข้อมูลสูตร!N84)</f>
        <v>0</v>
      </c>
      <c r="N87" s="63">
        <f>IF(ข้อมูลสูตร!$A84="","",ข้อมูลสูตร!O84)</f>
        <v>0</v>
      </c>
      <c r="O87" s="63">
        <f>IF(ข้อมูลสูตร!$A84="","",ข้อมูลสูตร!P84)</f>
        <v>0</v>
      </c>
      <c r="P87" s="63">
        <f>IF(ข้อมูลสูตร!$A84="","",ข้อมูลสูตร!Q84)</f>
        <v>0</v>
      </c>
      <c r="Q87" s="63">
        <f>IF(ข้อมูลสูตร!$A84="","",ข้อมูลสูตร!R84)</f>
        <v>0</v>
      </c>
      <c r="R87" s="63">
        <f>IF(ข้อมูลสูตร!$A84="","",ข้อมูลสูตร!S84)</f>
        <v>240</v>
      </c>
      <c r="S87" s="63">
        <f>IF(ข้อมูลสูตร!$A84="","",ข้อมูลสูตร!T84)</f>
        <v>0</v>
      </c>
      <c r="T87" s="63">
        <f>IF(ข้อมูลสูตร!$A84="","",ข้อมูลสูตร!U84)</f>
        <v>0</v>
      </c>
      <c r="U87" s="64">
        <f>IF(ข้อมูลสูตร!$A84="","",ข้อมูลสูตร!V84)</f>
        <v>207</v>
      </c>
      <c r="V87" s="8">
        <f>IF(ข้อมูลสูตร!$A84="","",ข้อมูลสูตร!W84)</f>
        <v>15.22</v>
      </c>
      <c r="W87" s="64">
        <f>IF(ข้อมูลสูตร!$A84="","",ข้อมูลสูตร!X84)</f>
        <v>50</v>
      </c>
      <c r="X87" s="23">
        <f>IF(ข้อมูลสูตร!$A84="","",ข้อมูลสูตร!Y84)</f>
        <v>0.6956</v>
      </c>
      <c r="Y87" s="48" t="str">
        <f>IF(ข้อมูลสูตร!$A84="","",ข้อมูลสูตร!Z84)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87" s="48" t="str">
        <f>ข้อมูลสูตร!$A84</f>
        <v>Honey Milk|16 oz|50%</v>
      </c>
    </row>
    <row r="88" spans="1:26" x14ac:dyDescent="0.25">
      <c r="A88" s="4" t="str">
        <f>IF(ข้อมูลสูตร!$A85="","",ข้อมูลสูตร!B85)</f>
        <v>Honey Milk</v>
      </c>
      <c r="B88" s="4" t="str">
        <f>IF(ข้อมูลสูตร!$A85="","",ข้อมูลสูตร!C85)</f>
        <v>16 oz</v>
      </c>
      <c r="C88" s="4" t="str">
        <f>IF(ข้อมูลสูตร!$A85="","",ข้อมูลสูตร!D85)</f>
        <v>75%</v>
      </c>
      <c r="D88" s="63">
        <f>IF(ข้อมูลสูตร!$A85="","",ข้อมูลสูตร!E85)</f>
        <v>120</v>
      </c>
      <c r="E88" s="63">
        <f>IF(ข้อมูลสูตร!$A85="","",ข้อมูลสูตร!F85)</f>
        <v>0</v>
      </c>
      <c r="F88" s="63">
        <f>IF(ข้อมูลสูตร!$A85="","",ข้อมูลสูตร!G85)</f>
        <v>39.6</v>
      </c>
      <c r="G88" s="63">
        <f>IF(ข้อมูลสูตร!$A85="","",ข้อมูลสูตร!H85)</f>
        <v>18</v>
      </c>
      <c r="H88" s="63">
        <f>IF(ข้อมูลสูตร!$A85="","",ข้อมูลสูตร!I85)</f>
        <v>0</v>
      </c>
      <c r="I88" s="63">
        <f>IF(ข้อมูลสูตร!$A85="","",ข้อมูลสูตร!J85)</f>
        <v>24.4</v>
      </c>
      <c r="J88" s="63">
        <f>IF(ข้อมูลสูตร!$A85="","",ข้อมูลสูตร!K85)</f>
        <v>12</v>
      </c>
      <c r="K88" s="63">
        <f>IF(ข้อมูลสูตร!$A85="","",ข้อมูลสูตร!L85)</f>
        <v>0</v>
      </c>
      <c r="L88" s="63">
        <f>IF(ข้อมูลสูตร!$A85="","",ข้อมูลสูตร!M85)</f>
        <v>0</v>
      </c>
      <c r="M88" s="63">
        <f>IF(ข้อมูลสูตร!$A85="","",ข้อมูลสูตร!N85)</f>
        <v>0</v>
      </c>
      <c r="N88" s="63">
        <f>IF(ข้อมูลสูตร!$A85="","",ข้อมูลสูตร!O85)</f>
        <v>0</v>
      </c>
      <c r="O88" s="63">
        <f>IF(ข้อมูลสูตร!$A85="","",ข้อมูลสูตร!P85)</f>
        <v>0</v>
      </c>
      <c r="P88" s="63">
        <f>IF(ข้อมูลสูตร!$A85="","",ข้อมูลสูตร!Q85)</f>
        <v>0</v>
      </c>
      <c r="Q88" s="63">
        <f>IF(ข้อมูลสูตร!$A85="","",ข้อมูลสูตร!R85)</f>
        <v>0</v>
      </c>
      <c r="R88" s="63">
        <f>IF(ข้อมูลสูตร!$A85="","",ข้อมูลสูตร!S85)</f>
        <v>240</v>
      </c>
      <c r="S88" s="63">
        <f>IF(ข้อมูลสูตร!$A85="","",ข้อมูลสูตร!T85)</f>
        <v>0</v>
      </c>
      <c r="T88" s="63">
        <f>IF(ข้อมูลสูตร!$A85="","",ข้อมูลสูตร!U85)</f>
        <v>0</v>
      </c>
      <c r="U88" s="64">
        <f>IF(ข้อมูลสูตร!$A85="","",ข้อมูลสูตร!V85)</f>
        <v>214</v>
      </c>
      <c r="V88" s="8">
        <f>IF(ข้อมูลสูตร!$A85="","",ข้อมูลสูตร!W85)</f>
        <v>16.21</v>
      </c>
      <c r="W88" s="64">
        <f>IF(ข้อมูลสูตร!$A85="","",ข้อมูลสูตร!X85)</f>
        <v>50</v>
      </c>
      <c r="X88" s="23">
        <f>IF(ข้อมูลสูตร!$A85="","",ข้อมูลสูตร!Y85)</f>
        <v>0.67579999999999996</v>
      </c>
      <c r="Y88" s="48" t="str">
        <f>IF(ข้อมูลสูตร!$A85="","",ข้อมูลสูตร!Z85)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88" s="48" t="str">
        <f>ข้อมูลสูตร!$A85</f>
        <v>Honey Milk|16 oz|75%</v>
      </c>
    </row>
    <row r="89" spans="1:26" x14ac:dyDescent="0.25">
      <c r="A89" s="4" t="str">
        <f>IF(ข้อมูลสูตร!$A86="","",ข้อมูลสูตร!B86)</f>
        <v>Honey Milk</v>
      </c>
      <c r="B89" s="4" t="str">
        <f>IF(ข้อมูลสูตร!$A86="","",ข้อมูลสูตร!C86)</f>
        <v>16 oz</v>
      </c>
      <c r="C89" s="4" t="str">
        <f>IF(ข้อมูลสูตร!$A86="","",ข้อมูลสูตร!D86)</f>
        <v>100%</v>
      </c>
      <c r="D89" s="63">
        <f>IF(ข้อมูลสูตร!$A86="","",ข้อมูลสูตร!E86)</f>
        <v>120</v>
      </c>
      <c r="E89" s="63">
        <f>IF(ข้อมูลสูตร!$A86="","",ข้อมูลสูตร!F86)</f>
        <v>0</v>
      </c>
      <c r="F89" s="63">
        <f>IF(ข้อมูลสูตร!$A86="","",ข้อมูลสูตร!G86)</f>
        <v>39.6</v>
      </c>
      <c r="G89" s="63">
        <f>IF(ข้อมูลสูตร!$A86="","",ข้อมูลสูตร!H86)</f>
        <v>18</v>
      </c>
      <c r="H89" s="63">
        <f>IF(ข้อมูลสูตร!$A86="","",ข้อมูลสูตร!I86)</f>
        <v>0</v>
      </c>
      <c r="I89" s="63">
        <f>IF(ข้อมูลสูตร!$A86="","",ข้อมูลสูตร!J86)</f>
        <v>27.4</v>
      </c>
      <c r="J89" s="63">
        <f>IF(ข้อมูลสูตร!$A86="","",ข้อมูลสูตร!K86)</f>
        <v>16</v>
      </c>
      <c r="K89" s="63">
        <f>IF(ข้อมูลสูตร!$A86="","",ข้อมูลสูตร!L86)</f>
        <v>0</v>
      </c>
      <c r="L89" s="63">
        <f>IF(ข้อมูลสูตร!$A86="","",ข้อมูลสูตร!M86)</f>
        <v>0</v>
      </c>
      <c r="M89" s="63">
        <f>IF(ข้อมูลสูตร!$A86="","",ข้อมูลสูตร!N86)</f>
        <v>0</v>
      </c>
      <c r="N89" s="63">
        <f>IF(ข้อมูลสูตร!$A86="","",ข้อมูลสูตร!O86)</f>
        <v>0</v>
      </c>
      <c r="O89" s="63">
        <f>IF(ข้อมูลสูตร!$A86="","",ข้อมูลสูตร!P86)</f>
        <v>0</v>
      </c>
      <c r="P89" s="63">
        <f>IF(ข้อมูลสูตร!$A86="","",ข้อมูลสูตร!Q86)</f>
        <v>0</v>
      </c>
      <c r="Q89" s="63">
        <f>IF(ข้อมูลสูตร!$A86="","",ข้อมูลสูตร!R86)</f>
        <v>0</v>
      </c>
      <c r="R89" s="63">
        <f>IF(ข้อมูลสูตร!$A86="","",ข้อมูลสูตร!S86)</f>
        <v>240</v>
      </c>
      <c r="S89" s="63">
        <f>IF(ข้อมูลสูตร!$A86="","",ข้อมูลสูตร!T86)</f>
        <v>0</v>
      </c>
      <c r="T89" s="63">
        <f>IF(ข้อมูลสูตร!$A86="","",ข้อมูลสูตร!U86)</f>
        <v>0</v>
      </c>
      <c r="U89" s="64">
        <f>IF(ข้อมูลสูตร!$A86="","",ข้อมูลสูตร!V86)</f>
        <v>221</v>
      </c>
      <c r="V89" s="8">
        <f>IF(ข้อมูลสูตร!$A86="","",ข้อมูลสูตร!W86)</f>
        <v>17.190000000000001</v>
      </c>
      <c r="W89" s="64">
        <f>IF(ข้อมูลสูตร!$A86="","",ข้อมูลสูตร!X86)</f>
        <v>50</v>
      </c>
      <c r="X89" s="23">
        <f>IF(ข้อมูลสูตร!$A86="","",ข้อมูลสูตร!Y86)</f>
        <v>0.65620000000000001</v>
      </c>
      <c r="Y89" s="48" t="str">
        <f>IF(ข้อมูลสูตร!$A86="","",ข้อมูลสูตร!Z86)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89" s="48" t="str">
        <f>ข้อมูลสูตร!$A86</f>
        <v>Honey Milk|16 oz|100%</v>
      </c>
    </row>
    <row r="90" spans="1:26" x14ac:dyDescent="0.25">
      <c r="A90" s="4" t="str">
        <f>IF(ข้อมูลสูตร!$A87="","",ข้อมูลสูตร!B87)</f>
        <v>Honey Milk</v>
      </c>
      <c r="B90" s="4" t="str">
        <f>IF(ข้อมูลสูตร!$A87="","",ข้อมูลสูตร!C87)</f>
        <v>22 oz</v>
      </c>
      <c r="C90" s="4" t="str">
        <f>IF(ข้อมูลสูตร!$A87="","",ข้อมูลสูตร!D87)</f>
        <v>0%</v>
      </c>
      <c r="D90" s="63">
        <f>IF(ข้อมูลสูตร!$A87="","",ข้อมูลสูตร!E87)</f>
        <v>165</v>
      </c>
      <c r="E90" s="63">
        <f>IF(ข้อมูลสูตร!$A87="","",ข้อมูลสูตร!F87)</f>
        <v>0</v>
      </c>
      <c r="F90" s="63">
        <f>IF(ข้อมูลสูตร!$A87="","",ข้อมูลสูตร!G87)</f>
        <v>75.5</v>
      </c>
      <c r="G90" s="63">
        <f>IF(ข้อมูลสูตร!$A87="","",ข้อมูลสูตร!H87)</f>
        <v>25</v>
      </c>
      <c r="H90" s="63">
        <f>IF(ข้อมูลสูตร!$A87="","",ข้อมูลสูตร!I87)</f>
        <v>0</v>
      </c>
      <c r="I90" s="63">
        <f>IF(ข้อมูลสูตร!$A87="","",ข้อมูลสูตร!J87)</f>
        <v>0</v>
      </c>
      <c r="J90" s="63">
        <f>IF(ข้อมูลสูตร!$A87="","",ข้อมูลสูตร!K87)</f>
        <v>0</v>
      </c>
      <c r="K90" s="63">
        <f>IF(ข้อมูลสูตร!$A87="","",ข้อมูลสูตร!L87)</f>
        <v>0</v>
      </c>
      <c r="L90" s="63">
        <f>IF(ข้อมูลสูตร!$A87="","",ข้อมูลสูตร!M87)</f>
        <v>0</v>
      </c>
      <c r="M90" s="63">
        <f>IF(ข้อมูลสูตร!$A87="","",ข้อมูลสูตร!N87)</f>
        <v>0</v>
      </c>
      <c r="N90" s="63">
        <f>IF(ข้อมูลสูตร!$A87="","",ข้อมูลสูตร!O87)</f>
        <v>0</v>
      </c>
      <c r="O90" s="63">
        <f>IF(ข้อมูลสูตร!$A87="","",ข้อมูลสูตร!P87)</f>
        <v>0</v>
      </c>
      <c r="P90" s="63">
        <f>IF(ข้อมูลสูตร!$A87="","",ข้อมูลสูตร!Q87)</f>
        <v>0</v>
      </c>
      <c r="Q90" s="63">
        <f>IF(ข้อมูลสูตร!$A87="","",ข้อมูลสูตร!R87)</f>
        <v>0</v>
      </c>
      <c r="R90" s="63">
        <f>IF(ข้อมูลสูตร!$A87="","",ข้อมูลสูตร!S87)</f>
        <v>330</v>
      </c>
      <c r="S90" s="63">
        <f>IF(ข้อมูลสูตร!$A87="","",ข้อมูลสูตร!T87)</f>
        <v>0</v>
      </c>
      <c r="T90" s="63">
        <f>IF(ข้อมูลสูตร!$A87="","",ข้อมูลสูตร!U87)</f>
        <v>0</v>
      </c>
      <c r="U90" s="64">
        <f>IF(ข้อมูลสูตร!$A87="","",ข้อมูลสูตร!V87)</f>
        <v>265.5</v>
      </c>
      <c r="V90" s="8">
        <f>IF(ข้อมูลสูตร!$A87="","",ข้อมูลสูตร!W87)</f>
        <v>18.2</v>
      </c>
      <c r="W90" s="64">
        <f>IF(ข้อมูลสูตร!$A87="","",ข้อมูลสูตร!X87)</f>
        <v>60</v>
      </c>
      <c r="X90" s="23">
        <f>IF(ข้อมูลสูตร!$A87="","",ข้อมูลสูตร!Y87)</f>
        <v>0.69666666666666666</v>
      </c>
      <c r="Y90" s="48" t="str">
        <f>IF(ข้อมูลสูตร!$A87="","",ข้อมูลสูตร!Z87)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90" s="48" t="str">
        <f>ข้อมูลสูตร!$A87</f>
        <v>Honey Milk|22 oz|0%</v>
      </c>
    </row>
    <row r="91" spans="1:26" x14ac:dyDescent="0.25">
      <c r="A91" s="4" t="str">
        <f>IF(ข้อมูลสูตร!$A88="","",ข้อมูลสูตร!B88)</f>
        <v>Honey Milk</v>
      </c>
      <c r="B91" s="4" t="str">
        <f>IF(ข้อมูลสูตร!$A88="","",ข้อมูลสูตร!C88)</f>
        <v>22 oz</v>
      </c>
      <c r="C91" s="4" t="str">
        <f>IF(ข้อมูลสูตร!$A88="","",ข้อมูลสูตร!D88)</f>
        <v>25%</v>
      </c>
      <c r="D91" s="63">
        <f>IF(ข้อมูลสูตร!$A88="","",ข้อมูลสูตร!E88)</f>
        <v>165</v>
      </c>
      <c r="E91" s="63">
        <f>IF(ข้อมูลสูตร!$A88="","",ข้อมูลสูตร!F88)</f>
        <v>0</v>
      </c>
      <c r="F91" s="63">
        <f>IF(ข้อมูลสูตร!$A88="","",ข้อมูลสูตร!G88)</f>
        <v>54.4</v>
      </c>
      <c r="G91" s="63">
        <f>IF(ข้อมูลสูตร!$A88="","",ข้อมูลสูตร!H88)</f>
        <v>25</v>
      </c>
      <c r="H91" s="63">
        <f>IF(ข้อมูลสูตร!$A88="","",ข้อมูลสูตร!I88)</f>
        <v>0</v>
      </c>
      <c r="I91" s="63">
        <f>IF(ข้อมูลสูตร!$A88="","",ข้อมูลสูตร!J88)</f>
        <v>25.1</v>
      </c>
      <c r="J91" s="63">
        <f>IF(ข้อมูลสูตร!$A88="","",ข้อมูลสูตร!K88)</f>
        <v>5.5</v>
      </c>
      <c r="K91" s="63">
        <f>IF(ข้อมูลสูตร!$A88="","",ข้อมูลสูตร!L88)</f>
        <v>0</v>
      </c>
      <c r="L91" s="63">
        <f>IF(ข้อมูลสูตร!$A88="","",ข้อมูลสูตร!M88)</f>
        <v>0</v>
      </c>
      <c r="M91" s="63">
        <f>IF(ข้อมูลสูตร!$A88="","",ข้อมูลสูตร!N88)</f>
        <v>0</v>
      </c>
      <c r="N91" s="63">
        <f>IF(ข้อมูลสูตร!$A88="","",ข้อมูลสูตร!O88)</f>
        <v>0</v>
      </c>
      <c r="O91" s="63">
        <f>IF(ข้อมูลสูตร!$A88="","",ข้อมูลสูตร!P88)</f>
        <v>0</v>
      </c>
      <c r="P91" s="63">
        <f>IF(ข้อมูลสูตร!$A88="","",ข้อมูลสูตร!Q88)</f>
        <v>0</v>
      </c>
      <c r="Q91" s="63">
        <f>IF(ข้อมูลสูตร!$A88="","",ข้อมูลสูตร!R88)</f>
        <v>0</v>
      </c>
      <c r="R91" s="63">
        <f>IF(ข้อมูลสูตร!$A88="","",ข้อมูลสูตร!S88)</f>
        <v>330</v>
      </c>
      <c r="S91" s="63">
        <f>IF(ข้อมูลสูตร!$A88="","",ข้อมูลสูตร!T88)</f>
        <v>0</v>
      </c>
      <c r="T91" s="63">
        <f>IF(ข้อมูลสูตร!$A88="","",ข้อมูลสูตร!U88)</f>
        <v>0</v>
      </c>
      <c r="U91" s="64">
        <f>IF(ข้อมูลสูตร!$A88="","",ข้อมูลสูตร!V88)</f>
        <v>275</v>
      </c>
      <c r="V91" s="8">
        <f>IF(ข้อมูลสูตร!$A88="","",ข้อมูลสูตร!W88)</f>
        <v>18.89</v>
      </c>
      <c r="W91" s="64">
        <f>IF(ข้อมูลสูตร!$A88="","",ข้อมูลสูตร!X88)</f>
        <v>60</v>
      </c>
      <c r="X91" s="23">
        <f>IF(ข้อมูลสูตร!$A88="","",ข้อมูลสูตร!Y88)</f>
        <v>0.6851666666666667</v>
      </c>
      <c r="Y91" s="48" t="str">
        <f>IF(ข้อมูลสูตร!$A88="","",ข้อมูลสูตร!Z88)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91" s="48" t="str">
        <f>ข้อมูลสูตร!$A88</f>
        <v>Honey Milk|22 oz|25%</v>
      </c>
    </row>
    <row r="92" spans="1:26" x14ac:dyDescent="0.25">
      <c r="A92" s="4" t="str">
        <f>IF(ข้อมูลสูตร!$A89="","",ข้อมูลสูตร!B89)</f>
        <v>Honey Milk</v>
      </c>
      <c r="B92" s="4" t="str">
        <f>IF(ข้อมูลสูตร!$A89="","",ข้อมูลสูตร!C89)</f>
        <v>22 oz</v>
      </c>
      <c r="C92" s="4" t="str">
        <f>IF(ข้อมูลสูตร!$A89="","",ข้อมูลสูตร!D89)</f>
        <v>50%</v>
      </c>
      <c r="D92" s="63">
        <f>IF(ข้อมูลสูตร!$A89="","",ข้อมูลสูตร!E89)</f>
        <v>165</v>
      </c>
      <c r="E92" s="63">
        <f>IF(ข้อมูลสูตร!$A89="","",ข้อมูลสูตร!F89)</f>
        <v>0</v>
      </c>
      <c r="F92" s="63">
        <f>IF(ข้อมูลสูตร!$A89="","",ข้อมูลสูตร!G89)</f>
        <v>54.4</v>
      </c>
      <c r="G92" s="63">
        <f>IF(ข้อมูลสูตร!$A89="","",ข้อมูลสูตร!H89)</f>
        <v>25</v>
      </c>
      <c r="H92" s="63">
        <f>IF(ข้อมูลสูตร!$A89="","",ข้อมูลสูตร!I89)</f>
        <v>0</v>
      </c>
      <c r="I92" s="63">
        <f>IF(ข้อมูลสูตร!$A89="","",ข้อมูลสูตร!J89)</f>
        <v>29.1</v>
      </c>
      <c r="J92" s="63">
        <f>IF(ข้อมูลสูตร!$A89="","",ข้อมูลสูตร!K89)</f>
        <v>11</v>
      </c>
      <c r="K92" s="63">
        <f>IF(ข้อมูลสูตร!$A89="","",ข้อมูลสูตร!L89)</f>
        <v>0</v>
      </c>
      <c r="L92" s="63">
        <f>IF(ข้อมูลสูตร!$A89="","",ข้อมูลสูตร!M89)</f>
        <v>0</v>
      </c>
      <c r="M92" s="63">
        <f>IF(ข้อมูลสูตร!$A89="","",ข้อมูลสูตร!N89)</f>
        <v>0</v>
      </c>
      <c r="N92" s="63">
        <f>IF(ข้อมูลสูตร!$A89="","",ข้อมูลสูตร!O89)</f>
        <v>0</v>
      </c>
      <c r="O92" s="63">
        <f>IF(ข้อมูลสูตร!$A89="","",ข้อมูลสูตร!P89)</f>
        <v>0</v>
      </c>
      <c r="P92" s="63">
        <f>IF(ข้อมูลสูตร!$A89="","",ข้อมูลสูตร!Q89)</f>
        <v>0</v>
      </c>
      <c r="Q92" s="63">
        <f>IF(ข้อมูลสูตร!$A89="","",ข้อมูลสูตร!R89)</f>
        <v>0</v>
      </c>
      <c r="R92" s="63">
        <f>IF(ข้อมูลสูตร!$A89="","",ข้อมูลสูตร!S89)</f>
        <v>330</v>
      </c>
      <c r="S92" s="63">
        <f>IF(ข้อมูลสูตร!$A89="","",ข้อมูลสูตร!T89)</f>
        <v>0</v>
      </c>
      <c r="T92" s="63">
        <f>IF(ข้อมูลสูตร!$A89="","",ข้อมูลสูตร!U89)</f>
        <v>0</v>
      </c>
      <c r="U92" s="64">
        <f>IF(ข้อมูลสูตร!$A89="","",ข้อมูลสูตร!V89)</f>
        <v>284.5</v>
      </c>
      <c r="V92" s="8">
        <f>IF(ข้อมูลสูตร!$A89="","",ข้อมูลสูตร!W89)</f>
        <v>20.239999999999998</v>
      </c>
      <c r="W92" s="64">
        <f>IF(ข้อมูลสูตร!$A89="","",ข้อมูลสูตร!X89)</f>
        <v>60</v>
      </c>
      <c r="X92" s="23">
        <f>IF(ข้อมูลสูตร!$A89="","",ข้อมูลสูตร!Y89)</f>
        <v>0.66266666666666674</v>
      </c>
      <c r="Y92" s="48" t="str">
        <f>IF(ข้อมูลสูตร!$A89="","",ข้อมูลสูตร!Z89)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92" s="48" t="str">
        <f>ข้อมูลสูตร!$A89</f>
        <v>Honey Milk|22 oz|50%</v>
      </c>
    </row>
    <row r="93" spans="1:26" x14ac:dyDescent="0.25">
      <c r="A93" s="4" t="str">
        <f>IF(ข้อมูลสูตร!$A90="","",ข้อมูลสูตร!B90)</f>
        <v>Honey Milk</v>
      </c>
      <c r="B93" s="4" t="str">
        <f>IF(ข้อมูลสูตร!$A90="","",ข้อมูลสูตร!C90)</f>
        <v>22 oz</v>
      </c>
      <c r="C93" s="4" t="str">
        <f>IF(ข้อมูลสูตร!$A90="","",ข้อมูลสูตร!D90)</f>
        <v>75%</v>
      </c>
      <c r="D93" s="63">
        <f>IF(ข้อมูลสูตร!$A90="","",ข้อมูลสูตร!E90)</f>
        <v>165</v>
      </c>
      <c r="E93" s="63">
        <f>IF(ข้อมูลสูตร!$A90="","",ข้อมูลสูตร!F90)</f>
        <v>0</v>
      </c>
      <c r="F93" s="63">
        <f>IF(ข้อมูลสูตร!$A90="","",ข้อมูลสูตร!G90)</f>
        <v>54.4</v>
      </c>
      <c r="G93" s="63">
        <f>IF(ข้อมูลสูตร!$A90="","",ข้อมูลสูตร!H90)</f>
        <v>25</v>
      </c>
      <c r="H93" s="63">
        <f>IF(ข้อมูลสูตร!$A90="","",ข้อมูลสูตร!I90)</f>
        <v>0</v>
      </c>
      <c r="I93" s="63">
        <f>IF(ข้อมูลสูตร!$A90="","",ข้อมูลสูตร!J90)</f>
        <v>33.6</v>
      </c>
      <c r="J93" s="63">
        <f>IF(ข้อมูลสูตร!$A90="","",ข้อมูลสูตร!K90)</f>
        <v>16.5</v>
      </c>
      <c r="K93" s="63">
        <f>IF(ข้อมูลสูตร!$A90="","",ข้อมูลสูตร!L90)</f>
        <v>0</v>
      </c>
      <c r="L93" s="63">
        <f>IF(ข้อมูลสูตร!$A90="","",ข้อมูลสูตร!M90)</f>
        <v>0</v>
      </c>
      <c r="M93" s="63">
        <f>IF(ข้อมูลสูตร!$A90="","",ข้อมูลสูตร!N90)</f>
        <v>0</v>
      </c>
      <c r="N93" s="63">
        <f>IF(ข้อมูลสูตร!$A90="","",ข้อมูลสูตร!O90)</f>
        <v>0</v>
      </c>
      <c r="O93" s="63">
        <f>IF(ข้อมูลสูตร!$A90="","",ข้อมูลสูตร!P90)</f>
        <v>0</v>
      </c>
      <c r="P93" s="63">
        <f>IF(ข้อมูลสูตร!$A90="","",ข้อมูลสูตร!Q90)</f>
        <v>0</v>
      </c>
      <c r="Q93" s="63">
        <f>IF(ข้อมูลสูตร!$A90="","",ข้อมูลสูตร!R90)</f>
        <v>0</v>
      </c>
      <c r="R93" s="63">
        <f>IF(ข้อมูลสูตร!$A90="","",ข้อมูลสูตร!S90)</f>
        <v>330</v>
      </c>
      <c r="S93" s="63">
        <f>IF(ข้อมูลสูตร!$A90="","",ข้อมูลสูตร!T90)</f>
        <v>0</v>
      </c>
      <c r="T93" s="63">
        <f>IF(ข้อมูลสูตร!$A90="","",ข้อมูลสูตร!U90)</f>
        <v>0</v>
      </c>
      <c r="U93" s="64">
        <f>IF(ข้อมูลสูตร!$A90="","",ข้อมูลสูตร!V90)</f>
        <v>294.5</v>
      </c>
      <c r="V93" s="8">
        <f>IF(ข้อมูลสูตร!$A90="","",ข้อมูลสูตร!W90)</f>
        <v>21.6</v>
      </c>
      <c r="W93" s="64">
        <f>IF(ข้อมูลสูตร!$A90="","",ข้อมูลสูตร!X90)</f>
        <v>60</v>
      </c>
      <c r="X93" s="23">
        <f>IF(ข้อมูลสูตร!$A90="","",ข้อมูลสูตร!Y90)</f>
        <v>0.64</v>
      </c>
      <c r="Y93" s="48" t="str">
        <f>IF(ข้อมูลสูตร!$A90="","",ข้อมูลสูตร!Z90)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93" s="48" t="str">
        <f>ข้อมูลสูตร!$A90</f>
        <v>Honey Milk|22 oz|75%</v>
      </c>
    </row>
    <row r="94" spans="1:26" x14ac:dyDescent="0.25">
      <c r="A94" s="4" t="str">
        <f>IF(ข้อมูลสูตร!$A91="","",ข้อมูลสูตร!B91)</f>
        <v>Honey Milk</v>
      </c>
      <c r="B94" s="4" t="str">
        <f>IF(ข้อมูลสูตร!$A91="","",ข้อมูลสูตร!C91)</f>
        <v>22 oz</v>
      </c>
      <c r="C94" s="4" t="str">
        <f>IF(ข้อมูลสูตร!$A91="","",ข้อมูลสูตร!D91)</f>
        <v>100%</v>
      </c>
      <c r="D94" s="63">
        <f>IF(ข้อมูลสูตร!$A91="","",ข้อมูลสูตร!E91)</f>
        <v>165</v>
      </c>
      <c r="E94" s="63">
        <f>IF(ข้อมูลสูตร!$A91="","",ข้อมูลสูตร!F91)</f>
        <v>0</v>
      </c>
      <c r="F94" s="63">
        <f>IF(ข้อมูลสูตร!$A91="","",ข้อมูลสูตร!G91)</f>
        <v>54.4</v>
      </c>
      <c r="G94" s="63">
        <f>IF(ข้อมูลสูตร!$A91="","",ข้อมูลสูตร!H91)</f>
        <v>25</v>
      </c>
      <c r="H94" s="63">
        <f>IF(ข้อมูลสูตร!$A91="","",ข้อมูลสูตร!I91)</f>
        <v>0</v>
      </c>
      <c r="I94" s="63">
        <f>IF(ข้อมูลสูตร!$A91="","",ข้อมูลสูตร!J91)</f>
        <v>37.6</v>
      </c>
      <c r="J94" s="63">
        <f>IF(ข้อมูลสูตร!$A91="","",ข้อมูลสูตร!K91)</f>
        <v>22</v>
      </c>
      <c r="K94" s="63">
        <f>IF(ข้อมูลสูตร!$A91="","",ข้อมูลสูตร!L91)</f>
        <v>0</v>
      </c>
      <c r="L94" s="63">
        <f>IF(ข้อมูลสูตร!$A91="","",ข้อมูลสูตร!M91)</f>
        <v>0</v>
      </c>
      <c r="M94" s="63">
        <f>IF(ข้อมูลสูตร!$A91="","",ข้อมูลสูตร!N91)</f>
        <v>0</v>
      </c>
      <c r="N94" s="63">
        <f>IF(ข้อมูลสูตร!$A91="","",ข้อมูลสูตร!O91)</f>
        <v>0</v>
      </c>
      <c r="O94" s="63">
        <f>IF(ข้อมูลสูตร!$A91="","",ข้อมูลสูตร!P91)</f>
        <v>0</v>
      </c>
      <c r="P94" s="63">
        <f>IF(ข้อมูลสูตร!$A91="","",ข้อมูลสูตร!Q91)</f>
        <v>0</v>
      </c>
      <c r="Q94" s="63">
        <f>IF(ข้อมูลสูตร!$A91="","",ข้อมูลสูตร!R91)</f>
        <v>0</v>
      </c>
      <c r="R94" s="63">
        <f>IF(ข้อมูลสูตร!$A91="","",ข้อมูลสูตร!S91)</f>
        <v>330</v>
      </c>
      <c r="S94" s="63">
        <f>IF(ข้อมูลสูตร!$A91="","",ข้อมูลสูตร!T91)</f>
        <v>0</v>
      </c>
      <c r="T94" s="63">
        <f>IF(ข้อมูลสูตร!$A91="","",ข้อมูลสูตร!U91)</f>
        <v>0</v>
      </c>
      <c r="U94" s="64">
        <f>IF(ข้อมูลสูตร!$A91="","",ข้อมูลสูตร!V91)</f>
        <v>304</v>
      </c>
      <c r="V94" s="8">
        <f>IF(ข้อมูลสูตร!$A91="","",ข้อมูลสูตร!W91)</f>
        <v>22.95</v>
      </c>
      <c r="W94" s="64">
        <f>IF(ข้อมูลสูตร!$A91="","",ข้อมูลสูตร!X91)</f>
        <v>60</v>
      </c>
      <c r="X94" s="23">
        <f>IF(ข้อมูลสูตร!$A91="","",ข้อมูลสูตร!Y91)</f>
        <v>0.61749999999999994</v>
      </c>
      <c r="Y94" s="48" t="str">
        <f>IF(ข้อมูลสูตร!$A91="","",ข้อมูลสูตร!Z91)</f>
        <v>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94" s="48" t="str">
        <f>ข้อมูลสูตร!$A91</f>
        <v>Honey Milk|22 oz|100%</v>
      </c>
    </row>
    <row r="95" spans="1:26" x14ac:dyDescent="0.25">
      <c r="A95" s="4" t="str">
        <f>IF(ข้อมูลสูตร!$A92="","",ข้อมูลสูตร!B92)</f>
        <v>Coconut Tea</v>
      </c>
      <c r="B95" s="4" t="str">
        <f>IF(ข้อมูลสูตร!$A92="","",ข้อมูลสูตร!C92)</f>
        <v>16 oz</v>
      </c>
      <c r="C95" s="4" t="str">
        <f>IF(ข้อมูลสูตร!$A92="","",ข้อมูลสูตร!D92)</f>
        <v>0%</v>
      </c>
      <c r="D95" s="63">
        <f>IF(ข้อมูลสูตร!$A92="","",ข้อมูลสูตร!E92)</f>
        <v>100</v>
      </c>
      <c r="E95" s="63">
        <f>IF(ข้อมูลสูตร!$A92="","",ข้อมูลสูตร!F92)</f>
        <v>0</v>
      </c>
      <c r="F95" s="63">
        <f>IF(ข้อมูลสูตร!$A92="","",ข้อมูลสูตร!G92)</f>
        <v>0</v>
      </c>
      <c r="G95" s="63">
        <f>IF(ข้อมูลสูตร!$A92="","",ข้อมูลสูตร!H92)</f>
        <v>12</v>
      </c>
      <c r="H95" s="63">
        <f>IF(ข้อมูลสูตร!$A92="","",ข้อมูลสูตร!I92)</f>
        <v>0</v>
      </c>
      <c r="I95" s="63">
        <f>IF(ข้อมูลสูตร!$A92="","",ข้อมูลสูตร!J92)</f>
        <v>0</v>
      </c>
      <c r="J95" s="63">
        <f>IF(ข้อมูลสูตร!$A92="","",ข้อมูลสูตร!K92)</f>
        <v>0</v>
      </c>
      <c r="K95" s="63">
        <f>IF(ข้อมูลสูตร!$A92="","",ข้อมูลสูตร!L92)</f>
        <v>0</v>
      </c>
      <c r="L95" s="63">
        <f>IF(ข้อมูลสูตร!$A92="","",ข้อมูลสูตร!M92)</f>
        <v>0</v>
      </c>
      <c r="M95" s="63">
        <f>IF(ข้อมูลสูตร!$A92="","",ข้อมูลสูตร!N92)</f>
        <v>95</v>
      </c>
      <c r="N95" s="63">
        <f>IF(ข้อมูลสูตร!$A92="","",ข้อมูลสูตร!O92)</f>
        <v>0</v>
      </c>
      <c r="O95" s="63">
        <f>IF(ข้อมูลสูตร!$A92="","",ข้อมูลสูตร!P92)</f>
        <v>0</v>
      </c>
      <c r="P95" s="63">
        <f>IF(ข้อมูลสูตร!$A92="","",ข้อมูลสูตร!Q92)</f>
        <v>0</v>
      </c>
      <c r="Q95" s="63">
        <f>IF(ข้อมูลสูตร!$A92="","",ข้อมูลสูตร!R92)</f>
        <v>0</v>
      </c>
      <c r="R95" s="63">
        <f>IF(ข้อมูลสูตร!$A92="","",ข้อมูลสูตร!S92)</f>
        <v>220</v>
      </c>
      <c r="S95" s="63">
        <f>IF(ข้อมูลสูตร!$A92="","",ข้อมูลสูตร!T92)</f>
        <v>0</v>
      </c>
      <c r="T95" s="63">
        <f>IF(ข้อมูลสูตร!$A92="","",ข้อมูลสูตร!U92)</f>
        <v>0</v>
      </c>
      <c r="U95" s="64">
        <f>IF(ข้อมูลสูตร!$A92="","",ข้อมูลสูตร!V92)</f>
        <v>207</v>
      </c>
      <c r="V95" s="8">
        <f>IF(ข้อมูลสูตร!$A92="","",ข้อมูลสูตร!W92)</f>
        <v>16.95</v>
      </c>
      <c r="W95" s="64">
        <f>IF(ข้อมูลสูตร!$A92="","",ข้อมูลสูตร!X92)</f>
        <v>59</v>
      </c>
      <c r="X95" s="23">
        <f>IF(ข้อมูลสูตร!$A92="","",ข้อมูลสูตร!Y92)</f>
        <v>0.71271186440677958</v>
      </c>
      <c r="Y95" s="48" t="str">
        <f>IF(ข้อมูลสูตร!$A92="","",ข้อมูลสูตร!Z92)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95" s="48" t="str">
        <f>ข้อมูลสูตร!$A92</f>
        <v>Coconut Tea|16 oz|0%</v>
      </c>
    </row>
    <row r="96" spans="1:26" x14ac:dyDescent="0.25">
      <c r="A96" s="4" t="str">
        <f>IF(ข้อมูลสูตร!$A93="","",ข้อมูลสูตร!B93)</f>
        <v>Coconut Tea</v>
      </c>
      <c r="B96" s="4" t="str">
        <f>IF(ข้อมูลสูตร!$A93="","",ข้อมูลสูตร!C93)</f>
        <v>16 oz</v>
      </c>
      <c r="C96" s="4" t="str">
        <f>IF(ข้อมูลสูตร!$A93="","",ข้อมูลสูตร!D93)</f>
        <v>25%</v>
      </c>
      <c r="D96" s="63">
        <f>IF(ข้อมูลสูตร!$A93="","",ข้อมูลสูตร!E93)</f>
        <v>100</v>
      </c>
      <c r="E96" s="63">
        <f>IF(ข้อมูลสูตร!$A93="","",ข้อมูลสูตร!F93)</f>
        <v>0</v>
      </c>
      <c r="F96" s="63">
        <f>IF(ข้อมูลสูตร!$A93="","",ข้อมูลสูตร!G93)</f>
        <v>0</v>
      </c>
      <c r="G96" s="63">
        <f>IF(ข้อมูลสูตร!$A93="","",ข้อมูลสูตร!H93)</f>
        <v>12</v>
      </c>
      <c r="H96" s="63">
        <f>IF(ข้อมูลสูตร!$A93="","",ข้อมูลสูตร!I93)</f>
        <v>5</v>
      </c>
      <c r="I96" s="63">
        <f>IF(ข้อมูลสูตร!$A93="","",ข้อมูลสูตร!J93)</f>
        <v>12.8</v>
      </c>
      <c r="J96" s="63">
        <f>IF(ข้อมูลสูตร!$A93="","",ข้อมูลสูตร!K93)</f>
        <v>0</v>
      </c>
      <c r="K96" s="63">
        <f>IF(ข้อมูลสูตร!$A93="","",ข้อมูลสูตร!L93)</f>
        <v>0</v>
      </c>
      <c r="L96" s="63">
        <f>IF(ข้อมูลสูตร!$A93="","",ข้อมูลสูตร!M93)</f>
        <v>0</v>
      </c>
      <c r="M96" s="63">
        <f>IF(ข้อมูลสูตร!$A93="","",ข้อมูลสูตร!N93)</f>
        <v>82.2</v>
      </c>
      <c r="N96" s="63">
        <f>IF(ข้อมูลสูตร!$A93="","",ข้อมูลสูตร!O93)</f>
        <v>0</v>
      </c>
      <c r="O96" s="63">
        <f>IF(ข้อมูลสูตร!$A93="","",ข้อมูลสูตร!P93)</f>
        <v>0</v>
      </c>
      <c r="P96" s="63">
        <f>IF(ข้อมูลสูตร!$A93="","",ข้อมูลสูตร!Q93)</f>
        <v>0</v>
      </c>
      <c r="Q96" s="63">
        <f>IF(ข้อมูลสูตร!$A93="","",ข้อมูลสูตร!R93)</f>
        <v>0</v>
      </c>
      <c r="R96" s="63">
        <f>IF(ข้อมูลสูตร!$A93="","",ข้อมูลสูตร!S93)</f>
        <v>220</v>
      </c>
      <c r="S96" s="63">
        <f>IF(ข้อมูลสูตร!$A93="","",ข้อมูลสูตร!T93)</f>
        <v>0</v>
      </c>
      <c r="T96" s="63">
        <f>IF(ข้อมูลสูตร!$A93="","",ข้อมูลสูตร!U93)</f>
        <v>0</v>
      </c>
      <c r="U96" s="64">
        <f>IF(ข้อมูลสูตร!$A93="","",ข้อมูลสูตร!V93)</f>
        <v>212</v>
      </c>
      <c r="V96" s="8">
        <f>IF(ข้อมูลสูตร!$A93="","",ข้อมูลสูตร!W93)</f>
        <v>16.57</v>
      </c>
      <c r="W96" s="64">
        <f>IF(ข้อมูลสูตร!$A93="","",ข้อมูลสูตร!X93)</f>
        <v>59</v>
      </c>
      <c r="X96" s="23">
        <f>IF(ข้อมูลสูตร!$A93="","",ข้อมูลสูตร!Y93)</f>
        <v>0.7191525423728814</v>
      </c>
      <c r="Y96" s="48" t="str">
        <f>IF(ข้อมูลสูตร!$A93="","",ข้อมูลสูตร!Z93)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96" s="48" t="str">
        <f>ข้อมูลสูตร!$A93</f>
        <v>Coconut Tea|16 oz|25%</v>
      </c>
    </row>
    <row r="97" spans="1:26" x14ac:dyDescent="0.25">
      <c r="A97" s="4" t="str">
        <f>IF(ข้อมูลสูตร!$A94="","",ข้อมูลสูตร!B94)</f>
        <v>Coconut Tea</v>
      </c>
      <c r="B97" s="4" t="str">
        <f>IF(ข้อมูลสูตร!$A94="","",ข้อมูลสูตร!C94)</f>
        <v>16 oz</v>
      </c>
      <c r="C97" s="4" t="str">
        <f>IF(ข้อมูลสูตร!$A94="","",ข้อมูลสูตร!D94)</f>
        <v>50%</v>
      </c>
      <c r="D97" s="63">
        <f>IF(ข้อมูลสูตร!$A94="","",ข้อมูลสูตร!E94)</f>
        <v>100</v>
      </c>
      <c r="E97" s="63">
        <f>IF(ข้อมูลสูตร!$A94="","",ข้อมูลสูตร!F94)</f>
        <v>0</v>
      </c>
      <c r="F97" s="63">
        <f>IF(ข้อมูลสูตร!$A94="","",ข้อมูลสูตร!G94)</f>
        <v>0</v>
      </c>
      <c r="G97" s="63">
        <f>IF(ข้อมูลสูตร!$A94="","",ข้อมูลสูตร!H94)</f>
        <v>12</v>
      </c>
      <c r="H97" s="63">
        <f>IF(ข้อมูลสูตร!$A94="","",ข้อมูลสูตร!I94)</f>
        <v>10</v>
      </c>
      <c r="I97" s="63">
        <f>IF(ข้อมูลสูตร!$A94="","",ข้อมูลสูตร!J94)</f>
        <v>12.8</v>
      </c>
      <c r="J97" s="63">
        <f>IF(ข้อมูลสูตร!$A94="","",ข้อมูลสูตร!K94)</f>
        <v>0</v>
      </c>
      <c r="K97" s="63">
        <f>IF(ข้อมูลสูตร!$A94="","",ข้อมูลสูตร!L94)</f>
        <v>0</v>
      </c>
      <c r="L97" s="63">
        <f>IF(ข้อมูลสูตร!$A94="","",ข้อมูลสูตร!M94)</f>
        <v>0</v>
      </c>
      <c r="M97" s="63">
        <f>IF(ข้อมูลสูตร!$A94="","",ข้อมูลสูตร!N94)</f>
        <v>82.2</v>
      </c>
      <c r="N97" s="63">
        <f>IF(ข้อมูลสูตร!$A94="","",ข้อมูลสูตร!O94)</f>
        <v>0</v>
      </c>
      <c r="O97" s="63">
        <f>IF(ข้อมูลสูตร!$A94="","",ข้อมูลสูตร!P94)</f>
        <v>0</v>
      </c>
      <c r="P97" s="63">
        <f>IF(ข้อมูลสูตร!$A94="","",ข้อมูลสูตร!Q94)</f>
        <v>0</v>
      </c>
      <c r="Q97" s="63">
        <f>IF(ข้อมูลสูตร!$A94="","",ข้อมูลสูตร!R94)</f>
        <v>0</v>
      </c>
      <c r="R97" s="63">
        <f>IF(ข้อมูลสูตร!$A94="","",ข้อมูลสูตร!S94)</f>
        <v>220</v>
      </c>
      <c r="S97" s="63">
        <f>IF(ข้อมูลสูตร!$A94="","",ข้อมูลสูตร!T94)</f>
        <v>0</v>
      </c>
      <c r="T97" s="63">
        <f>IF(ข้อมูลสูตร!$A94="","",ข้อมูลสูตร!U94)</f>
        <v>0</v>
      </c>
      <c r="U97" s="64">
        <f>IF(ข้อมูลสูตร!$A94="","",ข้อมูลสูตร!V94)</f>
        <v>217</v>
      </c>
      <c r="V97" s="8">
        <f>IF(ข้อมูลสูตร!$A94="","",ข้อมูลสูตร!W94)</f>
        <v>16.920000000000002</v>
      </c>
      <c r="W97" s="64">
        <f>IF(ข้อมูลสูตร!$A94="","",ข้อมูลสูตร!X94)</f>
        <v>59</v>
      </c>
      <c r="X97" s="23">
        <f>IF(ข้อมูลสูตร!$A94="","",ข้อมูลสูตร!Y94)</f>
        <v>0.71322033898305082</v>
      </c>
      <c r="Y97" s="48" t="str">
        <f>IF(ข้อมูลสูตร!$A94="","",ข้อมูลสูตร!Z94)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97" s="48" t="str">
        <f>ข้อมูลสูตร!$A94</f>
        <v>Coconut Tea|16 oz|50%</v>
      </c>
    </row>
    <row r="98" spans="1:26" x14ac:dyDescent="0.25">
      <c r="A98" s="4" t="str">
        <f>IF(ข้อมูลสูตร!$A95="","",ข้อมูลสูตร!B95)</f>
        <v>Coconut Tea</v>
      </c>
      <c r="B98" s="4" t="str">
        <f>IF(ข้อมูลสูตร!$A95="","",ข้อมูลสูตร!C95)</f>
        <v>16 oz</v>
      </c>
      <c r="C98" s="4" t="str">
        <f>IF(ข้อมูลสูตร!$A95="","",ข้อมูลสูตร!D95)</f>
        <v>75%</v>
      </c>
      <c r="D98" s="63">
        <f>IF(ข้อมูลสูตร!$A95="","",ข้อมูลสูตร!E95)</f>
        <v>100</v>
      </c>
      <c r="E98" s="63">
        <f>IF(ข้อมูลสูตร!$A95="","",ข้อมูลสูตร!F95)</f>
        <v>0</v>
      </c>
      <c r="F98" s="63">
        <f>IF(ข้อมูลสูตร!$A95="","",ข้อมูลสูตร!G95)</f>
        <v>0</v>
      </c>
      <c r="G98" s="63">
        <f>IF(ข้อมูลสูตร!$A95="","",ข้อมูลสูตร!H95)</f>
        <v>12</v>
      </c>
      <c r="H98" s="63">
        <f>IF(ข้อมูลสูตร!$A95="","",ข้อมูลสูตร!I95)</f>
        <v>15</v>
      </c>
      <c r="I98" s="63">
        <f>IF(ข้อมูลสูตร!$A95="","",ข้อมูลสูตร!J95)</f>
        <v>12.8</v>
      </c>
      <c r="J98" s="63">
        <f>IF(ข้อมูลสูตร!$A95="","",ข้อมูลสูตร!K95)</f>
        <v>0</v>
      </c>
      <c r="K98" s="63">
        <f>IF(ข้อมูลสูตร!$A95="","",ข้อมูลสูตร!L95)</f>
        <v>0</v>
      </c>
      <c r="L98" s="63">
        <f>IF(ข้อมูลสูตร!$A95="","",ข้อมูลสูตร!M95)</f>
        <v>0</v>
      </c>
      <c r="M98" s="63">
        <f>IF(ข้อมูลสูตร!$A95="","",ข้อมูลสูตร!N95)</f>
        <v>82.2</v>
      </c>
      <c r="N98" s="63">
        <f>IF(ข้อมูลสูตร!$A95="","",ข้อมูลสูตร!O95)</f>
        <v>0</v>
      </c>
      <c r="O98" s="63">
        <f>IF(ข้อมูลสูตร!$A95="","",ข้อมูลสูตร!P95)</f>
        <v>0</v>
      </c>
      <c r="P98" s="63">
        <f>IF(ข้อมูลสูตร!$A95="","",ข้อมูลสูตร!Q95)</f>
        <v>0</v>
      </c>
      <c r="Q98" s="63">
        <f>IF(ข้อมูลสูตร!$A95="","",ข้อมูลสูตร!R95)</f>
        <v>0</v>
      </c>
      <c r="R98" s="63">
        <f>IF(ข้อมูลสูตร!$A95="","",ข้อมูลสูตร!S95)</f>
        <v>220</v>
      </c>
      <c r="S98" s="63">
        <f>IF(ข้อมูลสูตร!$A95="","",ข้อมูลสูตร!T95)</f>
        <v>0</v>
      </c>
      <c r="T98" s="63">
        <f>IF(ข้อมูลสูตร!$A95="","",ข้อมูลสูตร!U95)</f>
        <v>0</v>
      </c>
      <c r="U98" s="64">
        <f>IF(ข้อมูลสูตร!$A95="","",ข้อมูลสูตร!V95)</f>
        <v>222</v>
      </c>
      <c r="V98" s="8">
        <f>IF(ข้อมูลสูตร!$A95="","",ข้อมูลสูตร!W95)</f>
        <v>17.27</v>
      </c>
      <c r="W98" s="64">
        <f>IF(ข้อมูลสูตร!$A95="","",ข้อมูลสูตร!X95)</f>
        <v>59</v>
      </c>
      <c r="X98" s="23">
        <f>IF(ข้อมูลสูตร!$A95="","",ข้อมูลสูตร!Y95)</f>
        <v>0.70728813559322046</v>
      </c>
      <c r="Y98" s="48" t="str">
        <f>IF(ข้อมูลสูตร!$A95="","",ข้อมูลสูตร!Z95)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98" s="48" t="str">
        <f>ข้อมูลสูตร!$A95</f>
        <v>Coconut Tea|16 oz|75%</v>
      </c>
    </row>
    <row r="99" spans="1:26" x14ac:dyDescent="0.25">
      <c r="A99" s="4" t="str">
        <f>IF(ข้อมูลสูตร!$A96="","",ข้อมูลสูตร!B96)</f>
        <v>Coconut Tea</v>
      </c>
      <c r="B99" s="4" t="str">
        <f>IF(ข้อมูลสูตร!$A96="","",ข้อมูลสูตร!C96)</f>
        <v>16 oz</v>
      </c>
      <c r="C99" s="4" t="str">
        <f>IF(ข้อมูลสูตร!$A96="","",ข้อมูลสูตร!D96)</f>
        <v>100%</v>
      </c>
      <c r="D99" s="63">
        <f>IF(ข้อมูลสูตร!$A96="","",ข้อมูลสูตร!E96)</f>
        <v>100</v>
      </c>
      <c r="E99" s="63">
        <f>IF(ข้อมูลสูตร!$A96="","",ข้อมูลสูตร!F96)</f>
        <v>0</v>
      </c>
      <c r="F99" s="63">
        <f>IF(ข้อมูลสูตร!$A96="","",ข้อมูลสูตร!G96)</f>
        <v>0</v>
      </c>
      <c r="G99" s="63">
        <f>IF(ข้อมูลสูตร!$A96="","",ข้อมูลสูตร!H96)</f>
        <v>12</v>
      </c>
      <c r="H99" s="63">
        <f>IF(ข้อมูลสูตร!$A96="","",ข้อมูลสูตร!I96)</f>
        <v>20</v>
      </c>
      <c r="I99" s="63">
        <f>IF(ข้อมูลสูตร!$A96="","",ข้อมูลสูตร!J96)</f>
        <v>12.8</v>
      </c>
      <c r="J99" s="63">
        <f>IF(ข้อมูลสูตร!$A96="","",ข้อมูลสูตร!K96)</f>
        <v>0</v>
      </c>
      <c r="K99" s="63">
        <f>IF(ข้อมูลสูตร!$A96="","",ข้อมูลสูตร!L96)</f>
        <v>0</v>
      </c>
      <c r="L99" s="63">
        <f>IF(ข้อมูลสูตร!$A96="","",ข้อมูลสูตร!M96)</f>
        <v>0</v>
      </c>
      <c r="M99" s="63">
        <f>IF(ข้อมูลสูตร!$A96="","",ข้อมูลสูตร!N96)</f>
        <v>82.2</v>
      </c>
      <c r="N99" s="63">
        <f>IF(ข้อมูลสูตร!$A96="","",ข้อมูลสูตร!O96)</f>
        <v>0</v>
      </c>
      <c r="O99" s="63">
        <f>IF(ข้อมูลสูตร!$A96="","",ข้อมูลสูตร!P96)</f>
        <v>0</v>
      </c>
      <c r="P99" s="63">
        <f>IF(ข้อมูลสูตร!$A96="","",ข้อมูลสูตร!Q96)</f>
        <v>0</v>
      </c>
      <c r="Q99" s="63">
        <f>IF(ข้อมูลสูตร!$A96="","",ข้อมูลสูตร!R96)</f>
        <v>0</v>
      </c>
      <c r="R99" s="63">
        <f>IF(ข้อมูลสูตร!$A96="","",ข้อมูลสูตร!S96)</f>
        <v>220</v>
      </c>
      <c r="S99" s="63">
        <f>IF(ข้อมูลสูตร!$A96="","",ข้อมูลสูตร!T96)</f>
        <v>0</v>
      </c>
      <c r="T99" s="63">
        <f>IF(ข้อมูลสูตร!$A96="","",ข้อมูลสูตร!U96)</f>
        <v>0</v>
      </c>
      <c r="U99" s="64">
        <f>IF(ข้อมูลสูตร!$A96="","",ข้อมูลสูตร!V96)</f>
        <v>227</v>
      </c>
      <c r="V99" s="8">
        <f>IF(ข้อมูลสูตร!$A96="","",ข้อมูลสูตร!W96)</f>
        <v>17.61</v>
      </c>
      <c r="W99" s="64">
        <f>IF(ข้อมูลสูตร!$A96="","",ข้อมูลสูตร!X96)</f>
        <v>59</v>
      </c>
      <c r="X99" s="23">
        <f>IF(ข้อมูลสูตร!$A96="","",ข้อมูลสูตร!Y96)</f>
        <v>0.70152542372881355</v>
      </c>
      <c r="Y99" s="48" t="str">
        <f>IF(ข้อมูลสูตร!$A96="","",ข้อมูลสูตร!Z96)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99" s="48" t="str">
        <f>ข้อมูลสูตร!$A96</f>
        <v>Coconut Tea|16 oz|100%</v>
      </c>
    </row>
    <row r="100" spans="1:26" x14ac:dyDescent="0.25">
      <c r="A100" s="4" t="str">
        <f>IF(ข้อมูลสูตร!$A97="","",ข้อมูลสูตร!B97)</f>
        <v>Coconut Tea</v>
      </c>
      <c r="B100" s="4" t="str">
        <f>IF(ข้อมูลสูตร!$A97="","",ข้อมูลสูตร!C97)</f>
        <v>22 oz</v>
      </c>
      <c r="C100" s="4" t="str">
        <f>IF(ข้อมูลสูตร!$A97="","",ข้อมูลสูตร!D97)</f>
        <v>0%</v>
      </c>
      <c r="D100" s="63">
        <f>IF(ข้อมูลสูตร!$A97="","",ข้อมูลสูตร!E97)</f>
        <v>137.5</v>
      </c>
      <c r="E100" s="63">
        <f>IF(ข้อมูลสูตร!$A97="","",ข้อมูลสูตร!F97)</f>
        <v>0</v>
      </c>
      <c r="F100" s="63">
        <f>IF(ข้อมูลสูตร!$A97="","",ข้อมูลสูตร!G97)</f>
        <v>0</v>
      </c>
      <c r="G100" s="63">
        <f>IF(ข้อมูลสูตร!$A97="","",ข้อมูลสูตร!H97)</f>
        <v>16.5</v>
      </c>
      <c r="H100" s="63">
        <f>IF(ข้อมูลสูตร!$A97="","",ข้อมูลสูตร!I97)</f>
        <v>0</v>
      </c>
      <c r="I100" s="63">
        <f>IF(ข้อมูลสูตร!$A97="","",ข้อมูลสูตร!J97)</f>
        <v>0</v>
      </c>
      <c r="J100" s="63">
        <f>IF(ข้อมูลสูตร!$A97="","",ข้อมูลสูตร!K97)</f>
        <v>0</v>
      </c>
      <c r="K100" s="63">
        <f>IF(ข้อมูลสูตร!$A97="","",ข้อมูลสูตร!L97)</f>
        <v>0</v>
      </c>
      <c r="L100" s="63">
        <f>IF(ข้อมูลสูตร!$A97="","",ข้อมูลสูตร!M97)</f>
        <v>0</v>
      </c>
      <c r="M100" s="63">
        <f>IF(ข้อมูลสูตร!$A97="","",ข้อมูลสูตร!N97)</f>
        <v>130.5</v>
      </c>
      <c r="N100" s="63">
        <f>IF(ข้อมูลสูตร!$A97="","",ข้อมูลสูตร!O97)</f>
        <v>0</v>
      </c>
      <c r="O100" s="63">
        <f>IF(ข้อมูลสูตร!$A97="","",ข้อมูลสูตร!P97)</f>
        <v>0</v>
      </c>
      <c r="P100" s="63">
        <f>IF(ข้อมูลสูตร!$A97="","",ข้อมูลสูตร!Q97)</f>
        <v>0</v>
      </c>
      <c r="Q100" s="63">
        <f>IF(ข้อมูลสูตร!$A97="","",ข้อมูลสูตร!R97)</f>
        <v>0</v>
      </c>
      <c r="R100" s="63">
        <f>IF(ข้อมูลสูตร!$A97="","",ข้อมูลสูตร!S97)</f>
        <v>300</v>
      </c>
      <c r="S100" s="63">
        <f>IF(ข้อมูลสูตร!$A97="","",ข้อมูลสูตร!T97)</f>
        <v>0</v>
      </c>
      <c r="T100" s="63">
        <f>IF(ข้อมูลสูตร!$A97="","",ข้อมูลสูตร!U97)</f>
        <v>0</v>
      </c>
      <c r="U100" s="64">
        <f>IF(ข้อมูลสูตร!$A97="","",ข้อมูลสูตร!V97)</f>
        <v>284.5</v>
      </c>
      <c r="V100" s="8">
        <f>IF(ข้อมูลสูตร!$A97="","",ข้อมูลสูตร!W97)</f>
        <v>22.57</v>
      </c>
      <c r="W100" s="64">
        <f>IF(ข้อมูลสูตร!$A97="","",ข้อมูลสูตร!X97)</f>
        <v>69</v>
      </c>
      <c r="X100" s="23">
        <f>IF(ข้อมูลสูตร!$A97="","",ข้อมูลสูตร!Y97)</f>
        <v>0.67289855072463767</v>
      </c>
      <c r="Y100" s="48" t="str">
        <f>IF(ข้อมูลสูตร!$A97="","",ข้อมูลสูตร!Z97)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100" s="48" t="str">
        <f>ข้อมูลสูตร!$A97</f>
        <v>Coconut Tea|22 oz|0%</v>
      </c>
    </row>
    <row r="101" spans="1:26" x14ac:dyDescent="0.25">
      <c r="A101" s="4" t="str">
        <f>IF(ข้อมูลสูตร!$A98="","",ข้อมูลสูตร!B98)</f>
        <v>Coconut Tea</v>
      </c>
      <c r="B101" s="4" t="str">
        <f>IF(ข้อมูลสูตร!$A98="","",ข้อมูลสูตร!C98)</f>
        <v>22 oz</v>
      </c>
      <c r="C101" s="4" t="str">
        <f>IF(ข้อมูลสูตร!$A98="","",ข้อมูลสูตร!D98)</f>
        <v>25%</v>
      </c>
      <c r="D101" s="63">
        <f>IF(ข้อมูลสูตร!$A98="","",ข้อมูลสูตร!E98)</f>
        <v>137.5</v>
      </c>
      <c r="E101" s="63">
        <f>IF(ข้อมูลสูตร!$A98="","",ข้อมูลสูตร!F98)</f>
        <v>0</v>
      </c>
      <c r="F101" s="63">
        <f>IF(ข้อมูลสูตร!$A98="","",ข้อมูลสูตร!G98)</f>
        <v>0</v>
      </c>
      <c r="G101" s="63">
        <f>IF(ข้อมูลสูตร!$A98="","",ข้อมูลสูตร!H98)</f>
        <v>16.5</v>
      </c>
      <c r="H101" s="63">
        <f>IF(ข้อมูลสูตร!$A98="","",ข้อมูลสูตร!I98)</f>
        <v>7</v>
      </c>
      <c r="I101" s="63">
        <f>IF(ข้อมูลสูตร!$A98="","",ข้อมูลสูตร!J98)</f>
        <v>17.600000000000001</v>
      </c>
      <c r="J101" s="63">
        <f>IF(ข้อมูลสูตร!$A98="","",ข้อมูลสูตร!K98)</f>
        <v>0</v>
      </c>
      <c r="K101" s="63">
        <f>IF(ข้อมูลสูตร!$A98="","",ข้อมูลสูตร!L98)</f>
        <v>0</v>
      </c>
      <c r="L101" s="63">
        <f>IF(ข้อมูลสูตร!$A98="","",ข้อมูลสูตร!M98)</f>
        <v>0</v>
      </c>
      <c r="M101" s="63">
        <f>IF(ข้อมูลสูตร!$A98="","",ข้อมูลสูตร!N98)</f>
        <v>112.9</v>
      </c>
      <c r="N101" s="63">
        <f>IF(ข้อมูลสูตร!$A98="","",ข้อมูลสูตร!O98)</f>
        <v>0</v>
      </c>
      <c r="O101" s="63">
        <f>IF(ข้อมูลสูตร!$A98="","",ข้อมูลสูตร!P98)</f>
        <v>0</v>
      </c>
      <c r="P101" s="63">
        <f>IF(ข้อมูลสูตร!$A98="","",ข้อมูลสูตร!Q98)</f>
        <v>0</v>
      </c>
      <c r="Q101" s="63">
        <f>IF(ข้อมูลสูตร!$A98="","",ข้อมูลสูตร!R98)</f>
        <v>0</v>
      </c>
      <c r="R101" s="63">
        <f>IF(ข้อมูลสูตร!$A98="","",ข้อมูลสูตร!S98)</f>
        <v>300</v>
      </c>
      <c r="S101" s="63">
        <f>IF(ข้อมูลสูตร!$A98="","",ข้อมูลสูตร!T98)</f>
        <v>0</v>
      </c>
      <c r="T101" s="63">
        <f>IF(ข้อมูลสูตร!$A98="","",ข้อมูลสูตร!U98)</f>
        <v>0</v>
      </c>
      <c r="U101" s="64">
        <f>IF(ข้อมูลสูตร!$A98="","",ข้อมูลสูตร!V98)</f>
        <v>291.5</v>
      </c>
      <c r="V101" s="8">
        <f>IF(ข้อมูลสูตร!$A98="","",ข้อมูลสูตร!W98)</f>
        <v>22.05</v>
      </c>
      <c r="W101" s="64">
        <f>IF(ข้อมูลสูตร!$A98="","",ข้อมูลสูตร!X98)</f>
        <v>69</v>
      </c>
      <c r="X101" s="23">
        <f>IF(ข้อมูลสูตร!$A98="","",ข้อมูลสูตร!Y98)</f>
        <v>0.68043478260869572</v>
      </c>
      <c r="Y101" s="48" t="str">
        <f>IF(ข้อมูลสูตร!$A98="","",ข้อมูลสูตร!Z98)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101" s="48" t="str">
        <f>ข้อมูลสูตร!$A98</f>
        <v>Coconut Tea|22 oz|25%</v>
      </c>
    </row>
    <row r="102" spans="1:26" x14ac:dyDescent="0.25">
      <c r="A102" s="4" t="str">
        <f>IF(ข้อมูลสูตร!$A99="","",ข้อมูลสูตร!B99)</f>
        <v>Coconut Tea</v>
      </c>
      <c r="B102" s="4" t="str">
        <f>IF(ข้อมูลสูตร!$A99="","",ข้อมูลสูตร!C99)</f>
        <v>22 oz</v>
      </c>
      <c r="C102" s="4" t="str">
        <f>IF(ข้อมูลสูตร!$A99="","",ข้อมูลสูตร!D99)</f>
        <v>50%</v>
      </c>
      <c r="D102" s="63">
        <f>IF(ข้อมูลสูตร!$A99="","",ข้อมูลสูตร!E99)</f>
        <v>137.5</v>
      </c>
      <c r="E102" s="63">
        <f>IF(ข้อมูลสูตร!$A99="","",ข้อมูลสูตร!F99)</f>
        <v>0</v>
      </c>
      <c r="F102" s="63">
        <f>IF(ข้อมูลสูตร!$A99="","",ข้อมูลสูตร!G99)</f>
        <v>0</v>
      </c>
      <c r="G102" s="63">
        <f>IF(ข้อมูลสูตร!$A99="","",ข้อมูลสูตร!H99)</f>
        <v>16.5</v>
      </c>
      <c r="H102" s="63">
        <f>IF(ข้อมูลสูตร!$A99="","",ข้อมูลสูตร!I99)</f>
        <v>14</v>
      </c>
      <c r="I102" s="63">
        <f>IF(ข้อมูลสูตร!$A99="","",ข้อมูลสูตร!J99)</f>
        <v>17.600000000000001</v>
      </c>
      <c r="J102" s="63">
        <f>IF(ข้อมูลสูตร!$A99="","",ข้อมูลสูตร!K99)</f>
        <v>0</v>
      </c>
      <c r="K102" s="63">
        <f>IF(ข้อมูลสูตร!$A99="","",ข้อมูลสูตร!L99)</f>
        <v>0</v>
      </c>
      <c r="L102" s="63">
        <f>IF(ข้อมูลสูตร!$A99="","",ข้อมูลสูตร!M99)</f>
        <v>0</v>
      </c>
      <c r="M102" s="63">
        <f>IF(ข้อมูลสูตร!$A99="","",ข้อมูลสูตร!N99)</f>
        <v>112.9</v>
      </c>
      <c r="N102" s="63">
        <f>IF(ข้อมูลสูตร!$A99="","",ข้อมูลสูตร!O99)</f>
        <v>0</v>
      </c>
      <c r="O102" s="63">
        <f>IF(ข้อมูลสูตร!$A99="","",ข้อมูลสูตร!P99)</f>
        <v>0</v>
      </c>
      <c r="P102" s="63">
        <f>IF(ข้อมูลสูตร!$A99="","",ข้อมูลสูตร!Q99)</f>
        <v>0</v>
      </c>
      <c r="Q102" s="63">
        <f>IF(ข้อมูลสูตร!$A99="","",ข้อมูลสูตร!R99)</f>
        <v>0</v>
      </c>
      <c r="R102" s="63">
        <f>IF(ข้อมูลสูตร!$A99="","",ข้อมูลสูตร!S99)</f>
        <v>300</v>
      </c>
      <c r="S102" s="63">
        <f>IF(ข้อมูลสูตร!$A99="","",ข้อมูลสูตร!T99)</f>
        <v>0</v>
      </c>
      <c r="T102" s="63">
        <f>IF(ข้อมูลสูตร!$A99="","",ข้อมูลสูตร!U99)</f>
        <v>0</v>
      </c>
      <c r="U102" s="64">
        <f>IF(ข้อมูลสูตร!$A99="","",ข้อมูลสูตร!V99)</f>
        <v>298.5</v>
      </c>
      <c r="V102" s="8">
        <f>IF(ข้อมูลสูตร!$A99="","",ข้อมูลสูตร!W99)</f>
        <v>22.54</v>
      </c>
      <c r="W102" s="64">
        <f>IF(ข้อมูลสูตร!$A99="","",ข้อมูลสูตร!X99)</f>
        <v>69</v>
      </c>
      <c r="X102" s="23">
        <f>IF(ข้อมูลสูตร!$A99="","",ข้อมูลสูตร!Y99)</f>
        <v>0.67333333333333334</v>
      </c>
      <c r="Y102" s="48" t="str">
        <f>IF(ข้อมูลสูตร!$A99="","",ข้อมูลสูตร!Z99)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102" s="48" t="str">
        <f>ข้อมูลสูตร!$A99</f>
        <v>Coconut Tea|22 oz|50%</v>
      </c>
    </row>
    <row r="103" spans="1:26" x14ac:dyDescent="0.25">
      <c r="A103" s="4" t="str">
        <f>IF(ข้อมูลสูตร!$A100="","",ข้อมูลสูตร!B100)</f>
        <v>Coconut Tea</v>
      </c>
      <c r="B103" s="4" t="str">
        <f>IF(ข้อมูลสูตร!$A100="","",ข้อมูลสูตร!C100)</f>
        <v>22 oz</v>
      </c>
      <c r="C103" s="4" t="str">
        <f>IF(ข้อมูลสูตร!$A100="","",ข้อมูลสูตร!D100)</f>
        <v>75%</v>
      </c>
      <c r="D103" s="63">
        <f>IF(ข้อมูลสูตร!$A100="","",ข้อมูลสูตร!E100)</f>
        <v>137.5</v>
      </c>
      <c r="E103" s="63">
        <f>IF(ข้อมูลสูตร!$A100="","",ข้อมูลสูตร!F100)</f>
        <v>0</v>
      </c>
      <c r="F103" s="63">
        <f>IF(ข้อมูลสูตร!$A100="","",ข้อมูลสูตร!G100)</f>
        <v>0</v>
      </c>
      <c r="G103" s="63">
        <f>IF(ข้อมูลสูตร!$A100="","",ข้อมูลสูตร!H100)</f>
        <v>16.5</v>
      </c>
      <c r="H103" s="63">
        <f>IF(ข้อมูลสูตร!$A100="","",ข้อมูลสูตร!I100)</f>
        <v>20.5</v>
      </c>
      <c r="I103" s="63">
        <f>IF(ข้อมูลสูตร!$A100="","",ข้อมูลสูตร!J100)</f>
        <v>17.600000000000001</v>
      </c>
      <c r="J103" s="63">
        <f>IF(ข้อมูลสูตร!$A100="","",ข้อมูลสูตร!K100)</f>
        <v>0</v>
      </c>
      <c r="K103" s="63">
        <f>IF(ข้อมูลสูตร!$A100="","",ข้อมูลสูตร!L100)</f>
        <v>0</v>
      </c>
      <c r="L103" s="63">
        <f>IF(ข้อมูลสูตร!$A100="","",ข้อมูลสูตร!M100)</f>
        <v>0</v>
      </c>
      <c r="M103" s="63">
        <f>IF(ข้อมูลสูตร!$A100="","",ข้อมูลสูตร!N100)</f>
        <v>112.9</v>
      </c>
      <c r="N103" s="63">
        <f>IF(ข้อมูลสูตร!$A100="","",ข้อมูลสูตร!O100)</f>
        <v>0</v>
      </c>
      <c r="O103" s="63">
        <f>IF(ข้อมูลสูตร!$A100="","",ข้อมูลสูตร!P100)</f>
        <v>0</v>
      </c>
      <c r="P103" s="63">
        <f>IF(ข้อมูลสูตร!$A100="","",ข้อมูลสูตร!Q100)</f>
        <v>0</v>
      </c>
      <c r="Q103" s="63">
        <f>IF(ข้อมูลสูตร!$A100="","",ข้อมูลสูตร!R100)</f>
        <v>0</v>
      </c>
      <c r="R103" s="63">
        <f>IF(ข้อมูลสูตร!$A100="","",ข้อมูลสูตร!S100)</f>
        <v>300</v>
      </c>
      <c r="S103" s="63">
        <f>IF(ข้อมูลสูตร!$A100="","",ข้อมูลสูตร!T100)</f>
        <v>0</v>
      </c>
      <c r="T103" s="63">
        <f>IF(ข้อมูลสูตร!$A100="","",ข้อมูลสูตร!U100)</f>
        <v>0</v>
      </c>
      <c r="U103" s="64">
        <f>IF(ข้อมูลสูตร!$A100="","",ข้อมูลสูตร!V100)</f>
        <v>305</v>
      </c>
      <c r="V103" s="8">
        <f>IF(ข้อมูลสูตร!$A100="","",ข้อมูลสูตร!W100)</f>
        <v>22.99</v>
      </c>
      <c r="W103" s="64">
        <f>IF(ข้อมูลสูตร!$A100="","",ข้อมูลสูตร!X100)</f>
        <v>69</v>
      </c>
      <c r="X103" s="23">
        <f>IF(ข้อมูลสูตร!$A100="","",ข้อมูลสูตร!Y100)</f>
        <v>0.66681159420289859</v>
      </c>
      <c r="Y103" s="48" t="str">
        <f>IF(ข้อมูลสูตร!$A100="","",ข้อมูลสูตร!Z100)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103" s="48" t="str">
        <f>ข้อมูลสูตร!$A100</f>
        <v>Coconut Tea|22 oz|75%</v>
      </c>
    </row>
    <row r="104" spans="1:26" x14ac:dyDescent="0.25">
      <c r="A104" s="4" t="str">
        <f>IF(ข้อมูลสูตร!$A101="","",ข้อมูลสูตร!B101)</f>
        <v>Coconut Tea</v>
      </c>
      <c r="B104" s="4" t="str">
        <f>IF(ข้อมูลสูตร!$A101="","",ข้อมูลสูตร!C101)</f>
        <v>22 oz</v>
      </c>
      <c r="C104" s="4" t="str">
        <f>IF(ข้อมูลสูตร!$A101="","",ข้อมูลสูตร!D101)</f>
        <v>100%</v>
      </c>
      <c r="D104" s="63">
        <f>IF(ข้อมูลสูตร!$A101="","",ข้อมูลสูตร!E101)</f>
        <v>137.5</v>
      </c>
      <c r="E104" s="63">
        <f>IF(ข้อมูลสูตร!$A101="","",ข้อมูลสูตร!F101)</f>
        <v>0</v>
      </c>
      <c r="F104" s="63">
        <f>IF(ข้อมูลสูตร!$A101="","",ข้อมูลสูตร!G101)</f>
        <v>0</v>
      </c>
      <c r="G104" s="63">
        <f>IF(ข้อมูลสูตร!$A101="","",ข้อมูลสูตร!H101)</f>
        <v>16.5</v>
      </c>
      <c r="H104" s="63">
        <f>IF(ข้อมูลสูตร!$A101="","",ข้อมูลสูตร!I101)</f>
        <v>27.5</v>
      </c>
      <c r="I104" s="63">
        <f>IF(ข้อมูลสูตร!$A101="","",ข้อมูลสูตร!J101)</f>
        <v>17.600000000000001</v>
      </c>
      <c r="J104" s="63">
        <f>IF(ข้อมูลสูตร!$A101="","",ข้อมูลสูตร!K101)</f>
        <v>0</v>
      </c>
      <c r="K104" s="63">
        <f>IF(ข้อมูลสูตร!$A101="","",ข้อมูลสูตร!L101)</f>
        <v>0</v>
      </c>
      <c r="L104" s="63">
        <f>IF(ข้อมูลสูตร!$A101="","",ข้อมูลสูตร!M101)</f>
        <v>0</v>
      </c>
      <c r="M104" s="63">
        <f>IF(ข้อมูลสูตร!$A101="","",ข้อมูลสูตร!N101)</f>
        <v>112.9</v>
      </c>
      <c r="N104" s="63">
        <f>IF(ข้อมูลสูตร!$A101="","",ข้อมูลสูตร!O101)</f>
        <v>0</v>
      </c>
      <c r="O104" s="63">
        <f>IF(ข้อมูลสูตร!$A101="","",ข้อมูลสูตร!P101)</f>
        <v>0</v>
      </c>
      <c r="P104" s="63">
        <f>IF(ข้อมูลสูตร!$A101="","",ข้อมูลสูตร!Q101)</f>
        <v>0</v>
      </c>
      <c r="Q104" s="63">
        <f>IF(ข้อมูลสูตร!$A101="","",ข้อมูลสูตร!R101)</f>
        <v>0</v>
      </c>
      <c r="R104" s="63">
        <f>IF(ข้อมูลสูตร!$A101="","",ข้อมูลสูตร!S101)</f>
        <v>300</v>
      </c>
      <c r="S104" s="63">
        <f>IF(ข้อมูลสูตร!$A101="","",ข้อมูลสูตร!T101)</f>
        <v>0</v>
      </c>
      <c r="T104" s="63">
        <f>IF(ข้อมูลสูตร!$A101="","",ข้อมูลสูตร!U101)</f>
        <v>0</v>
      </c>
      <c r="U104" s="64">
        <f>IF(ข้อมูลสูตร!$A101="","",ข้อมูลสูตร!V101)</f>
        <v>312</v>
      </c>
      <c r="V104" s="8">
        <f>IF(ข้อมูลสูตร!$A101="","",ข้อมูลสูตร!W101)</f>
        <v>23.47</v>
      </c>
      <c r="W104" s="64">
        <f>IF(ข้อมูลสูตร!$A101="","",ข้อมูลสูตร!X101)</f>
        <v>69</v>
      </c>
      <c r="X104" s="23">
        <f>IF(ข้อมูลสูตร!$A101="","",ข้อมูลสูตร!Y101)</f>
        <v>0.65985507246376818</v>
      </c>
      <c r="Y104" s="48" t="str">
        <f>IF(ข้อมูลสูตร!$A101="","",ข้อมูลสูตร!Z101)</f>
        <v>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104" s="48" t="str">
        <f>ข้อมูลสูตร!$A101</f>
        <v>Coconut Tea|22 oz|100%</v>
      </c>
    </row>
    <row r="105" spans="1:26" x14ac:dyDescent="0.25">
      <c r="A105" s="4" t="str">
        <f>IF(ข้อมูลสูตร!$A102="","",ข้อมูลสูตร!B102)</f>
        <v>Lemon Tea</v>
      </c>
      <c r="B105" s="4" t="str">
        <f>IF(ข้อมูลสูตร!$A102="","",ข้อมูลสูตร!C102)</f>
        <v>16 oz</v>
      </c>
      <c r="C105" s="4" t="str">
        <f>IF(ข้อมูลสูตร!$A102="","",ข้อมูลสูตร!D102)</f>
        <v>0%</v>
      </c>
      <c r="D105" s="63">
        <f>IF(ข้อมูลสูตร!$A102="","",ข้อมูลสูตร!E102)</f>
        <v>165</v>
      </c>
      <c r="E105" s="63">
        <f>IF(ข้อมูลสูตร!$A102="","",ข้อมูลสูตร!F102)</f>
        <v>0</v>
      </c>
      <c r="F105" s="63">
        <f>IF(ข้อมูลสูตร!$A102="","",ข้อมูลสูตร!G102)</f>
        <v>0</v>
      </c>
      <c r="G105" s="63">
        <f>IF(ข้อมูลสูตร!$A102="","",ข้อมูลสูตร!H102)</f>
        <v>0</v>
      </c>
      <c r="H105" s="63">
        <f>IF(ข้อมูลสูตร!$A102="","",ข้อมูลสูตร!I102)</f>
        <v>0</v>
      </c>
      <c r="I105" s="63">
        <f>IF(ข้อมูลสูตร!$A102="","",ข้อมูลสูตร!J102)</f>
        <v>0</v>
      </c>
      <c r="J105" s="63">
        <f>IF(ข้อมูลสูตร!$A102="","",ข้อมูลสูตร!K102)</f>
        <v>0</v>
      </c>
      <c r="K105" s="63">
        <f>IF(ข้อมูลสูตร!$A102="","",ข้อมูลสูตร!L102)</f>
        <v>0</v>
      </c>
      <c r="L105" s="63">
        <f>IF(ข้อมูลสูตร!$A102="","",ข้อมูลสูตร!M102)</f>
        <v>0</v>
      </c>
      <c r="M105" s="63">
        <f>IF(ข้อมูลสูตร!$A102="","",ข้อมูลสูตร!N102)</f>
        <v>0</v>
      </c>
      <c r="N105" s="63">
        <f>IF(ข้อมูลสูตร!$A102="","",ข้อมูลสูตร!O102)</f>
        <v>0</v>
      </c>
      <c r="O105" s="63">
        <f>IF(ข้อมูลสูตร!$A102="","",ข้อมูลสูตร!P102)</f>
        <v>15</v>
      </c>
      <c r="P105" s="63">
        <f>IF(ข้อมูลสูตร!$A102="","",ข้อมูลสูตร!Q102)</f>
        <v>0</v>
      </c>
      <c r="Q105" s="63">
        <f>IF(ข้อมูลสูตร!$A102="","",ข้อมูลสูตร!R102)</f>
        <v>0</v>
      </c>
      <c r="R105" s="63">
        <f>IF(ข้อมูลสูตร!$A102="","",ข้อมูลสูตร!S102)</f>
        <v>240</v>
      </c>
      <c r="S105" s="63">
        <f>IF(ข้อมูลสูตร!$A102="","",ข้อมูลสูตร!T102)</f>
        <v>0</v>
      </c>
      <c r="T105" s="63">
        <f>IF(ข้อมูลสูตร!$A102="","",ข้อมูลสูตร!U102)</f>
        <v>0</v>
      </c>
      <c r="U105" s="64">
        <f>IF(ข้อมูลสูตร!$A102="","",ข้อมูลสูตร!V102)</f>
        <v>180</v>
      </c>
      <c r="V105" s="8">
        <f>IF(ข้อมูลสูตร!$A102="","",ข้อมูลสูตร!W102)</f>
        <v>14.26</v>
      </c>
      <c r="W105" s="64">
        <f>IF(ข้อมูลสูตร!$A102="","",ข้อมูลสูตร!X102)</f>
        <v>40</v>
      </c>
      <c r="X105" s="23">
        <f>IF(ข้อมูลสูตร!$A102="","",ข้อมูลสูตร!Y102)</f>
        <v>0.64350000000000007</v>
      </c>
      <c r="Y105" s="48" t="str">
        <f>IF(ข้อมูลสูตร!$A102="","",ข้อมูลสูตร!Z102)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105" s="48" t="str">
        <f>ข้อมูลสูตร!$A102</f>
        <v>Lemon Tea|16 oz|0%</v>
      </c>
    </row>
    <row r="106" spans="1:26" x14ac:dyDescent="0.25">
      <c r="A106" s="4" t="str">
        <f>IF(ข้อมูลสูตร!$A103="","",ข้อมูลสูตร!B103)</f>
        <v>Lemon Tea</v>
      </c>
      <c r="B106" s="4" t="str">
        <f>IF(ข้อมูลสูตร!$A103="","",ข้อมูลสูตร!C103)</f>
        <v>16 oz</v>
      </c>
      <c r="C106" s="4" t="str">
        <f>IF(ข้อมูลสูตร!$A103="","",ข้อมูลสูตร!D103)</f>
        <v>25%</v>
      </c>
      <c r="D106" s="63">
        <f>IF(ข้อมูลสูตร!$A103="","",ข้อมูลสูตร!E103)</f>
        <v>146.30000000000001</v>
      </c>
      <c r="E106" s="63">
        <f>IF(ข้อมูลสูตร!$A103="","",ข้อมูลสูตร!F103)</f>
        <v>0</v>
      </c>
      <c r="F106" s="63">
        <f>IF(ข้อมูลสูตร!$A103="","",ข้อมูลสูตร!G103)</f>
        <v>0</v>
      </c>
      <c r="G106" s="63">
        <f>IF(ข้อมูลสูตร!$A103="","",ข้อมูลสูตร!H103)</f>
        <v>0</v>
      </c>
      <c r="H106" s="63">
        <f>IF(ข้อมูลสูตร!$A103="","",ข้อมูลสูตร!I103)</f>
        <v>0</v>
      </c>
      <c r="I106" s="63">
        <f>IF(ข้อมูลสูตร!$A103="","",ข้อมูลสูตร!J103)</f>
        <v>26.7</v>
      </c>
      <c r="J106" s="63">
        <f>IF(ข้อมูลสูตร!$A103="","",ข้อมูลสูตร!K103)</f>
        <v>0</v>
      </c>
      <c r="K106" s="63">
        <f>IF(ข้อมูลสูตร!$A103="","",ข้อมูลสูตร!L103)</f>
        <v>0</v>
      </c>
      <c r="L106" s="63">
        <f>IF(ข้อมูลสูตร!$A103="","",ข้อมูลสูตร!M103)</f>
        <v>0</v>
      </c>
      <c r="M106" s="63">
        <f>IF(ข้อมูลสูตร!$A103="","",ข้อมูลสูตร!N103)</f>
        <v>0</v>
      </c>
      <c r="N106" s="63">
        <f>IF(ข้อมูลสูตร!$A103="","",ข้อมูลสูตร!O103)</f>
        <v>0</v>
      </c>
      <c r="O106" s="63">
        <f>IF(ข้อมูลสูตร!$A103="","",ข้อมูลสูตร!P103)</f>
        <v>15</v>
      </c>
      <c r="P106" s="63">
        <f>IF(ข้อมูลสูตร!$A103="","",ข้อมูลสูตร!Q103)</f>
        <v>0</v>
      </c>
      <c r="Q106" s="63">
        <f>IF(ข้อมูลสูตร!$A103="","",ข้อมูลสูตร!R103)</f>
        <v>0</v>
      </c>
      <c r="R106" s="63">
        <f>IF(ข้อมูลสูตร!$A103="","",ข้อมูลสูตร!S103)</f>
        <v>240</v>
      </c>
      <c r="S106" s="63">
        <f>IF(ข้อมูลสูตร!$A103="","",ข้อมูลสูตร!T103)</f>
        <v>0</v>
      </c>
      <c r="T106" s="63">
        <f>IF(ข้อมูลสูตร!$A103="","",ข้อมูลสูตร!U103)</f>
        <v>0</v>
      </c>
      <c r="U106" s="64">
        <f>IF(ข้อมูลสูตร!$A103="","",ข้อมูลสูตร!V103)</f>
        <v>188</v>
      </c>
      <c r="V106" s="8">
        <f>IF(ข้อมูลสูตร!$A103="","",ข้อมูลสูตร!W103)</f>
        <v>14.33</v>
      </c>
      <c r="W106" s="64">
        <f>IF(ข้อมูลสูตร!$A103="","",ข้อมูลสูตร!X103)</f>
        <v>40</v>
      </c>
      <c r="X106" s="23">
        <f>IF(ข้อมูลสูตร!$A103="","",ข้อมูลสูตร!Y103)</f>
        <v>0.64175000000000004</v>
      </c>
      <c r="Y106" s="48" t="str">
        <f>IF(ข้อมูลสูตร!$A103="","",ข้อมูลสูตร!Z103)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06" s="48" t="str">
        <f>ข้อมูลสูตร!$A103</f>
        <v>Lemon Tea|16 oz|25%</v>
      </c>
    </row>
    <row r="107" spans="1:26" x14ac:dyDescent="0.25">
      <c r="A107" s="4" t="str">
        <f>IF(ข้อมูลสูตร!$A104="","",ข้อมูลสูตร!B104)</f>
        <v>Lemon Tea</v>
      </c>
      <c r="B107" s="4" t="str">
        <f>IF(ข้อมูลสูตร!$A104="","",ข้อมูลสูตร!C104)</f>
        <v>16 oz</v>
      </c>
      <c r="C107" s="4" t="str">
        <f>IF(ข้อมูลสูตร!$A104="","",ข้อมูลสูตร!D104)</f>
        <v>50%</v>
      </c>
      <c r="D107" s="63">
        <f>IF(ข้อมูลสูตร!$A104="","",ข้อมูลสูตร!E104)</f>
        <v>146.30000000000001</v>
      </c>
      <c r="E107" s="63">
        <f>IF(ข้อมูลสูตร!$A104="","",ข้อมูลสูตร!F104)</f>
        <v>0</v>
      </c>
      <c r="F107" s="63">
        <f>IF(ข้อมูลสูตร!$A104="","",ข้อมูลสูตร!G104)</f>
        <v>0</v>
      </c>
      <c r="G107" s="63">
        <f>IF(ข้อมูลสูตร!$A104="","",ข้อมูลสูตร!H104)</f>
        <v>0</v>
      </c>
      <c r="H107" s="63">
        <f>IF(ข้อมูลสูตร!$A104="","",ข้อมูลสูตร!I104)</f>
        <v>0</v>
      </c>
      <c r="I107" s="63">
        <f>IF(ข้อมูลสูตร!$A104="","",ข้อมูลสูตร!J104)</f>
        <v>34.700000000000003</v>
      </c>
      <c r="J107" s="63">
        <f>IF(ข้อมูลสูตร!$A104="","",ข้อมูลสูตร!K104)</f>
        <v>0</v>
      </c>
      <c r="K107" s="63">
        <f>IF(ข้อมูลสูตร!$A104="","",ข้อมูลสูตร!L104)</f>
        <v>0</v>
      </c>
      <c r="L107" s="63">
        <f>IF(ข้อมูลสูตร!$A104="","",ข้อมูลสูตร!M104)</f>
        <v>0</v>
      </c>
      <c r="M107" s="63">
        <f>IF(ข้อมูลสูตร!$A104="","",ข้อมูลสูตร!N104)</f>
        <v>0</v>
      </c>
      <c r="N107" s="63">
        <f>IF(ข้อมูลสูตร!$A104="","",ข้อมูลสูตร!O104)</f>
        <v>0</v>
      </c>
      <c r="O107" s="63">
        <f>IF(ข้อมูลสูตร!$A104="","",ข้อมูลสูตร!P104)</f>
        <v>15</v>
      </c>
      <c r="P107" s="63">
        <f>IF(ข้อมูลสูตร!$A104="","",ข้อมูลสูตร!Q104)</f>
        <v>0</v>
      </c>
      <c r="Q107" s="63">
        <f>IF(ข้อมูลสูตร!$A104="","",ข้อมูลสูตร!R104)</f>
        <v>0</v>
      </c>
      <c r="R107" s="63">
        <f>IF(ข้อมูลสูตร!$A104="","",ข้อมูลสูตร!S104)</f>
        <v>240</v>
      </c>
      <c r="S107" s="63">
        <f>IF(ข้อมูลสูตร!$A104="","",ข้อมูลสูตร!T104)</f>
        <v>0</v>
      </c>
      <c r="T107" s="63">
        <f>IF(ข้อมูลสูตร!$A104="","",ข้อมูลสูตร!U104)</f>
        <v>0</v>
      </c>
      <c r="U107" s="64">
        <f>IF(ข้อมูลสูตร!$A104="","",ข้อมูลสูตร!V104)</f>
        <v>196</v>
      </c>
      <c r="V107" s="8">
        <f>IF(ข้อมูลสูตร!$A104="","",ข้อมูลสูตร!W104)</f>
        <v>14.47</v>
      </c>
      <c r="W107" s="64">
        <f>IF(ข้อมูลสูตร!$A104="","",ข้อมูลสูตร!X104)</f>
        <v>40</v>
      </c>
      <c r="X107" s="23">
        <f>IF(ข้อมูลสูตร!$A104="","",ข้อมูลสูตร!Y104)</f>
        <v>0.63824999999999998</v>
      </c>
      <c r="Y107" s="48" t="str">
        <f>IF(ข้อมูลสูตร!$A104="","",ข้อมูลสูตร!Z104)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07" s="48" t="str">
        <f>ข้อมูลสูตร!$A104</f>
        <v>Lemon Tea|16 oz|50%</v>
      </c>
    </row>
    <row r="108" spans="1:26" x14ac:dyDescent="0.25">
      <c r="A108" s="4" t="str">
        <f>IF(ข้อมูลสูตร!$A105="","",ข้อมูลสูตร!B105)</f>
        <v>Lemon Tea</v>
      </c>
      <c r="B108" s="4" t="str">
        <f>IF(ข้อมูลสูตร!$A105="","",ข้อมูลสูตร!C105)</f>
        <v>16 oz</v>
      </c>
      <c r="C108" s="4" t="str">
        <f>IF(ข้อมูลสูตร!$A105="","",ข้อมูลสูตร!D105)</f>
        <v>75%</v>
      </c>
      <c r="D108" s="63">
        <f>IF(ข้อมูลสูตร!$A105="","",ข้อมูลสูตร!E105)</f>
        <v>146.30000000000001</v>
      </c>
      <c r="E108" s="63">
        <f>IF(ข้อมูลสูตร!$A105="","",ข้อมูลสูตร!F105)</f>
        <v>0</v>
      </c>
      <c r="F108" s="63">
        <f>IF(ข้อมูลสูตร!$A105="","",ข้อมูลสูตร!G105)</f>
        <v>0</v>
      </c>
      <c r="G108" s="63">
        <f>IF(ข้อมูลสูตร!$A105="","",ข้อมูลสูตร!H105)</f>
        <v>0</v>
      </c>
      <c r="H108" s="63">
        <f>IF(ข้อมูลสูตร!$A105="","",ข้อมูลสูตร!I105)</f>
        <v>0</v>
      </c>
      <c r="I108" s="63">
        <f>IF(ข้อมูลสูตร!$A105="","",ข้อมูลสูตร!J105)</f>
        <v>42.7</v>
      </c>
      <c r="J108" s="63">
        <f>IF(ข้อมูลสูตร!$A105="","",ข้อมูลสูตร!K105)</f>
        <v>0</v>
      </c>
      <c r="K108" s="63">
        <f>IF(ข้อมูลสูตร!$A105="","",ข้อมูลสูตร!L105)</f>
        <v>0</v>
      </c>
      <c r="L108" s="63">
        <f>IF(ข้อมูลสูตร!$A105="","",ข้อมูลสูตร!M105)</f>
        <v>0</v>
      </c>
      <c r="M108" s="63">
        <f>IF(ข้อมูลสูตร!$A105="","",ข้อมูลสูตร!N105)</f>
        <v>0</v>
      </c>
      <c r="N108" s="63">
        <f>IF(ข้อมูลสูตร!$A105="","",ข้อมูลสูตร!O105)</f>
        <v>0</v>
      </c>
      <c r="O108" s="63">
        <f>IF(ข้อมูลสูตร!$A105="","",ข้อมูลสูตร!P105)</f>
        <v>15</v>
      </c>
      <c r="P108" s="63">
        <f>IF(ข้อมูลสูตร!$A105="","",ข้อมูลสูตร!Q105)</f>
        <v>0</v>
      </c>
      <c r="Q108" s="63">
        <f>IF(ข้อมูลสูตร!$A105="","",ข้อมูลสูตร!R105)</f>
        <v>0</v>
      </c>
      <c r="R108" s="63">
        <f>IF(ข้อมูลสูตร!$A105="","",ข้อมูลสูตร!S105)</f>
        <v>240</v>
      </c>
      <c r="S108" s="63">
        <f>IF(ข้อมูลสูตร!$A105="","",ข้อมูลสูตร!T105)</f>
        <v>0</v>
      </c>
      <c r="T108" s="63">
        <f>IF(ข้อมูลสูตร!$A105="","",ข้อมูลสูตร!U105)</f>
        <v>0</v>
      </c>
      <c r="U108" s="64">
        <f>IF(ข้อมูลสูตร!$A105="","",ข้อมูลสูตร!V105)</f>
        <v>204</v>
      </c>
      <c r="V108" s="8">
        <f>IF(ข้อมูลสูตร!$A105="","",ข้อมูลสูตร!W105)</f>
        <v>14.6</v>
      </c>
      <c r="W108" s="64">
        <f>IF(ข้อมูลสูตร!$A105="","",ข้อมูลสูตร!X105)</f>
        <v>40</v>
      </c>
      <c r="X108" s="23">
        <f>IF(ข้อมูลสูตร!$A105="","",ข้อมูลสูตร!Y105)</f>
        <v>0.63500000000000001</v>
      </c>
      <c r="Y108" s="48" t="str">
        <f>IF(ข้อมูลสูตร!$A105="","",ข้อมูลสูตร!Z105)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08" s="48" t="str">
        <f>ข้อมูลสูตร!$A105</f>
        <v>Lemon Tea|16 oz|75%</v>
      </c>
    </row>
    <row r="109" spans="1:26" x14ac:dyDescent="0.25">
      <c r="A109" s="4" t="str">
        <f>IF(ข้อมูลสูตร!$A106="","",ข้อมูลสูตร!B106)</f>
        <v>Lemon Tea</v>
      </c>
      <c r="B109" s="4" t="str">
        <f>IF(ข้อมูลสูตร!$A106="","",ข้อมูลสูตร!C106)</f>
        <v>16 oz</v>
      </c>
      <c r="C109" s="4" t="str">
        <f>IF(ข้อมูลสูตร!$A106="","",ข้อมูลสูตร!D106)</f>
        <v>100%</v>
      </c>
      <c r="D109" s="63">
        <f>IF(ข้อมูลสูตร!$A106="","",ข้อมูลสูตร!E106)</f>
        <v>146.30000000000001</v>
      </c>
      <c r="E109" s="63">
        <f>IF(ข้อมูลสูตร!$A106="","",ข้อมูลสูตร!F106)</f>
        <v>0</v>
      </c>
      <c r="F109" s="63">
        <f>IF(ข้อมูลสูตร!$A106="","",ข้อมูลสูตร!G106)</f>
        <v>0</v>
      </c>
      <c r="G109" s="63">
        <f>IF(ข้อมูลสูตร!$A106="","",ข้อมูลสูตร!H106)</f>
        <v>0</v>
      </c>
      <c r="H109" s="63">
        <f>IF(ข้อมูลสูตร!$A106="","",ข้อมูลสูตร!I106)</f>
        <v>0</v>
      </c>
      <c r="I109" s="63">
        <f>IF(ข้อมูลสูตร!$A106="","",ข้อมูลสูตร!J106)</f>
        <v>50.7</v>
      </c>
      <c r="J109" s="63">
        <f>IF(ข้อมูลสูตร!$A106="","",ข้อมูลสูตร!K106)</f>
        <v>0</v>
      </c>
      <c r="K109" s="63">
        <f>IF(ข้อมูลสูตร!$A106="","",ข้อมูลสูตร!L106)</f>
        <v>0</v>
      </c>
      <c r="L109" s="63">
        <f>IF(ข้อมูลสูตร!$A106="","",ข้อมูลสูตร!M106)</f>
        <v>0</v>
      </c>
      <c r="M109" s="63">
        <f>IF(ข้อมูลสูตร!$A106="","",ข้อมูลสูตร!N106)</f>
        <v>0</v>
      </c>
      <c r="N109" s="63">
        <f>IF(ข้อมูลสูตร!$A106="","",ข้อมูลสูตร!O106)</f>
        <v>0</v>
      </c>
      <c r="O109" s="63">
        <f>IF(ข้อมูลสูตร!$A106="","",ข้อมูลสูตร!P106)</f>
        <v>15</v>
      </c>
      <c r="P109" s="63">
        <f>IF(ข้อมูลสูตร!$A106="","",ข้อมูลสูตร!Q106)</f>
        <v>0</v>
      </c>
      <c r="Q109" s="63">
        <f>IF(ข้อมูลสูตร!$A106="","",ข้อมูลสูตร!R106)</f>
        <v>0</v>
      </c>
      <c r="R109" s="63">
        <f>IF(ข้อมูลสูตร!$A106="","",ข้อมูลสูตร!S106)</f>
        <v>240</v>
      </c>
      <c r="S109" s="63">
        <f>IF(ข้อมูลสูตร!$A106="","",ข้อมูลสูตร!T106)</f>
        <v>0</v>
      </c>
      <c r="T109" s="63">
        <f>IF(ข้อมูลสูตร!$A106="","",ข้อมูลสูตร!U106)</f>
        <v>0</v>
      </c>
      <c r="U109" s="64">
        <f>IF(ข้อมูลสูตร!$A106="","",ข้อมูลสูตร!V106)</f>
        <v>212</v>
      </c>
      <c r="V109" s="8">
        <f>IF(ข้อมูลสูตร!$A106="","",ข้อมูลสูตร!W106)</f>
        <v>14.73</v>
      </c>
      <c r="W109" s="64">
        <f>IF(ข้อมูลสูตร!$A106="","",ข้อมูลสูตร!X106)</f>
        <v>40</v>
      </c>
      <c r="X109" s="23">
        <f>IF(ข้อมูลสูตร!$A106="","",ข้อมูลสูตร!Y106)</f>
        <v>0.63175000000000003</v>
      </c>
      <c r="Y109" s="48" t="str">
        <f>IF(ข้อมูลสูตร!$A106="","",ข้อมูลสูตร!Z106)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09" s="48" t="str">
        <f>ข้อมูลสูตร!$A106</f>
        <v>Lemon Tea|16 oz|100%</v>
      </c>
    </row>
    <row r="110" spans="1:26" x14ac:dyDescent="0.25">
      <c r="A110" s="4" t="str">
        <f>IF(ข้อมูลสูตร!$A107="","",ข้อมูลสูตร!B107)</f>
        <v>Lemon Tea</v>
      </c>
      <c r="B110" s="4" t="str">
        <f>IF(ข้อมูลสูตร!$A107="","",ข้อมูลสูตร!C107)</f>
        <v>22 oz</v>
      </c>
      <c r="C110" s="4" t="str">
        <f>IF(ข้อมูลสูตร!$A107="","",ข้อมูลสูตร!D107)</f>
        <v>0%</v>
      </c>
      <c r="D110" s="63">
        <f>IF(ข้อมูลสูตร!$A107="","",ข้อมูลสูตร!E107)</f>
        <v>227</v>
      </c>
      <c r="E110" s="63">
        <f>IF(ข้อมูลสูตร!$A107="","",ข้อมูลสูตร!F107)</f>
        <v>0</v>
      </c>
      <c r="F110" s="63">
        <f>IF(ข้อมูลสูตร!$A107="","",ข้อมูลสูตร!G107)</f>
        <v>0</v>
      </c>
      <c r="G110" s="63">
        <f>IF(ข้อมูลสูตร!$A107="","",ข้อมูลสูตร!H107)</f>
        <v>0</v>
      </c>
      <c r="H110" s="63">
        <f>IF(ข้อมูลสูตร!$A107="","",ข้อมูลสูตร!I107)</f>
        <v>0</v>
      </c>
      <c r="I110" s="63">
        <f>IF(ข้อมูลสูตร!$A107="","",ข้อมูลสูตร!J107)</f>
        <v>0</v>
      </c>
      <c r="J110" s="63">
        <f>IF(ข้อมูลสูตร!$A107="","",ข้อมูลสูตร!K107)</f>
        <v>0</v>
      </c>
      <c r="K110" s="63">
        <f>IF(ข้อมูลสูตร!$A107="","",ข้อมูลสูตร!L107)</f>
        <v>0</v>
      </c>
      <c r="L110" s="63">
        <f>IF(ข้อมูลสูตร!$A107="","",ข้อมูลสูตร!M107)</f>
        <v>0</v>
      </c>
      <c r="M110" s="63">
        <f>IF(ข้อมูลสูตร!$A107="","",ข้อมูลสูตร!N107)</f>
        <v>0</v>
      </c>
      <c r="N110" s="63">
        <f>IF(ข้อมูลสูตร!$A107="","",ข้อมูลสูตร!O107)</f>
        <v>0</v>
      </c>
      <c r="O110" s="63">
        <f>IF(ข้อมูลสูตร!$A107="","",ข้อมูลสูตร!P107)</f>
        <v>20.5</v>
      </c>
      <c r="P110" s="63">
        <f>IF(ข้อมูลสูตร!$A107="","",ข้อมูลสูตร!Q107)</f>
        <v>0</v>
      </c>
      <c r="Q110" s="63">
        <f>IF(ข้อมูลสูตร!$A107="","",ข้อมูลสูตร!R107)</f>
        <v>0</v>
      </c>
      <c r="R110" s="63">
        <f>IF(ข้อมูลสูตร!$A107="","",ข้อมูลสูตร!S107)</f>
        <v>330</v>
      </c>
      <c r="S110" s="63">
        <f>IF(ข้อมูลสูตร!$A107="","",ข้อมูลสูตร!T107)</f>
        <v>0</v>
      </c>
      <c r="T110" s="63">
        <f>IF(ข้อมูลสูตร!$A107="","",ข้อมูลสูตร!U107)</f>
        <v>0</v>
      </c>
      <c r="U110" s="64">
        <f>IF(ข้อมูลสูตร!$A107="","",ข้อมูลสูตร!V107)</f>
        <v>247.5</v>
      </c>
      <c r="V110" s="8">
        <f>IF(ข้อมูลสูตร!$A107="","",ข้อมูลสูตร!W107)</f>
        <v>18.88</v>
      </c>
      <c r="W110" s="64">
        <f>IF(ข้อมูลสูตร!$A107="","",ข้อมูลสูตร!X107)</f>
        <v>50</v>
      </c>
      <c r="X110" s="23">
        <f>IF(ข้อมูลสูตร!$A107="","",ข้อมูลสูตร!Y107)</f>
        <v>0.62240000000000006</v>
      </c>
      <c r="Y110" s="48" t="str">
        <f>IF(ข้อมูลสูตร!$A107="","",ข้อมูลสูตร!Z107)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110" s="48" t="str">
        <f>ข้อมูลสูตร!$A107</f>
        <v>Lemon Tea|22 oz|0%</v>
      </c>
    </row>
    <row r="111" spans="1:26" x14ac:dyDescent="0.25">
      <c r="A111" s="4" t="str">
        <f>IF(ข้อมูลสูตร!$A108="","",ข้อมูลสูตร!B108)</f>
        <v>Lemon Tea</v>
      </c>
      <c r="B111" s="4" t="str">
        <f>IF(ข้อมูลสูตร!$A108="","",ข้อมูลสูตร!C108)</f>
        <v>22 oz</v>
      </c>
      <c r="C111" s="4" t="str">
        <f>IF(ข้อมูลสูตร!$A108="","",ข้อมูลสูตร!D108)</f>
        <v>25%</v>
      </c>
      <c r="D111" s="63">
        <f>IF(ข้อมูลสูตร!$A108="","",ข้อมูลสูตร!E108)</f>
        <v>201.2</v>
      </c>
      <c r="E111" s="63">
        <f>IF(ข้อมูลสูตร!$A108="","",ข้อมูลสูตร!F108)</f>
        <v>0</v>
      </c>
      <c r="F111" s="63">
        <f>IF(ข้อมูลสูตร!$A108="","",ข้อมูลสูตร!G108)</f>
        <v>0</v>
      </c>
      <c r="G111" s="63">
        <f>IF(ข้อมูลสูตร!$A108="","",ข้อมูลสูตร!H108)</f>
        <v>0</v>
      </c>
      <c r="H111" s="63">
        <f>IF(ข้อมูลสูตร!$A108="","",ข้อมูลสูตร!I108)</f>
        <v>0</v>
      </c>
      <c r="I111" s="63">
        <f>IF(ข้อมูลสูตร!$A108="","",ข้อมูลสูตร!J108)</f>
        <v>36.799999999999997</v>
      </c>
      <c r="J111" s="63">
        <f>IF(ข้อมูลสูตร!$A108="","",ข้อมูลสูตร!K108)</f>
        <v>0</v>
      </c>
      <c r="K111" s="63">
        <f>IF(ข้อมูลสูตร!$A108="","",ข้อมูลสูตร!L108)</f>
        <v>0</v>
      </c>
      <c r="L111" s="63">
        <f>IF(ข้อมูลสูตร!$A108="","",ข้อมูลสูตร!M108)</f>
        <v>0</v>
      </c>
      <c r="M111" s="63">
        <f>IF(ข้อมูลสูตร!$A108="","",ข้อมูลสูตร!N108)</f>
        <v>0</v>
      </c>
      <c r="N111" s="63">
        <f>IF(ข้อมูลสูตร!$A108="","",ข้อมูลสูตร!O108)</f>
        <v>0</v>
      </c>
      <c r="O111" s="63">
        <f>IF(ข้อมูลสูตร!$A108="","",ข้อมูลสูตร!P108)</f>
        <v>20.5</v>
      </c>
      <c r="P111" s="63">
        <f>IF(ข้อมูลสูตร!$A108="","",ข้อมูลสูตร!Q108)</f>
        <v>0</v>
      </c>
      <c r="Q111" s="63">
        <f>IF(ข้อมูลสูตร!$A108="","",ข้อมูลสูตร!R108)</f>
        <v>0</v>
      </c>
      <c r="R111" s="63">
        <f>IF(ข้อมูลสูตร!$A108="","",ข้อมูลสูตร!S108)</f>
        <v>330</v>
      </c>
      <c r="S111" s="63">
        <f>IF(ข้อมูลสูตร!$A108="","",ข้อมูลสูตร!T108)</f>
        <v>0</v>
      </c>
      <c r="T111" s="63">
        <f>IF(ข้อมูลสูตร!$A108="","",ข้อมูลสูตร!U108)</f>
        <v>0</v>
      </c>
      <c r="U111" s="64">
        <f>IF(ข้อมูลสูตร!$A108="","",ข้อมูลสูตร!V108)</f>
        <v>258.5</v>
      </c>
      <c r="V111" s="8">
        <f>IF(ข้อมูลสูตร!$A108="","",ข้อมูลสูตร!W108)</f>
        <v>18.98</v>
      </c>
      <c r="W111" s="64">
        <f>IF(ข้อมูลสูตร!$A108="","",ข้อมูลสูตร!X108)</f>
        <v>50</v>
      </c>
      <c r="X111" s="23">
        <f>IF(ข้อมูลสูตร!$A108="","",ข้อมูลสูตร!Y108)</f>
        <v>0.62039999999999995</v>
      </c>
      <c r="Y111" s="48" t="str">
        <f>IF(ข้อมูลสูตร!$A108="","",ข้อมูลสูตร!Z108)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11" s="48" t="str">
        <f>ข้อมูลสูตร!$A108</f>
        <v>Lemon Tea|22 oz|25%</v>
      </c>
    </row>
    <row r="112" spans="1:26" x14ac:dyDescent="0.25">
      <c r="A112" s="4" t="str">
        <f>IF(ข้อมูลสูตร!$A109="","",ข้อมูลสูตร!B109)</f>
        <v>Lemon Tea</v>
      </c>
      <c r="B112" s="4" t="str">
        <f>IF(ข้อมูลสูตร!$A109="","",ข้อมูลสูตร!C109)</f>
        <v>22 oz</v>
      </c>
      <c r="C112" s="4" t="str">
        <f>IF(ข้อมูลสูตร!$A109="","",ข้อมูลสูตร!D109)</f>
        <v>50%</v>
      </c>
      <c r="D112" s="63">
        <f>IF(ข้อมูลสูตร!$A109="","",ข้อมูลสูตร!E109)</f>
        <v>201.2</v>
      </c>
      <c r="E112" s="63">
        <f>IF(ข้อมูลสูตร!$A109="","",ข้อมูลสูตร!F109)</f>
        <v>0</v>
      </c>
      <c r="F112" s="63">
        <f>IF(ข้อมูลสูตร!$A109="","",ข้อมูลสูตร!G109)</f>
        <v>0</v>
      </c>
      <c r="G112" s="63">
        <f>IF(ข้อมูลสูตร!$A109="","",ข้อมูลสูตร!H109)</f>
        <v>0</v>
      </c>
      <c r="H112" s="63">
        <f>IF(ข้อมูลสูตร!$A109="","",ข้อมูลสูตร!I109)</f>
        <v>0</v>
      </c>
      <c r="I112" s="63">
        <f>IF(ข้อมูลสูตร!$A109="","",ข้อมูลสูตร!J109)</f>
        <v>47.8</v>
      </c>
      <c r="J112" s="63">
        <f>IF(ข้อมูลสูตร!$A109="","",ข้อมูลสูตร!K109)</f>
        <v>0</v>
      </c>
      <c r="K112" s="63">
        <f>IF(ข้อมูลสูตร!$A109="","",ข้อมูลสูตร!L109)</f>
        <v>0</v>
      </c>
      <c r="L112" s="63">
        <f>IF(ข้อมูลสูตร!$A109="","",ข้อมูลสูตร!M109)</f>
        <v>0</v>
      </c>
      <c r="M112" s="63">
        <f>IF(ข้อมูลสูตร!$A109="","",ข้อมูลสูตร!N109)</f>
        <v>0</v>
      </c>
      <c r="N112" s="63">
        <f>IF(ข้อมูลสูตร!$A109="","",ข้อมูลสูตร!O109)</f>
        <v>0</v>
      </c>
      <c r="O112" s="63">
        <f>IF(ข้อมูลสูตร!$A109="","",ข้อมูลสูตร!P109)</f>
        <v>20.5</v>
      </c>
      <c r="P112" s="63">
        <f>IF(ข้อมูลสูตร!$A109="","",ข้อมูลสูตร!Q109)</f>
        <v>0</v>
      </c>
      <c r="Q112" s="63">
        <f>IF(ข้อมูลสูตร!$A109="","",ข้อมูลสูตร!R109)</f>
        <v>0</v>
      </c>
      <c r="R112" s="63">
        <f>IF(ข้อมูลสูตร!$A109="","",ข้อมูลสูตร!S109)</f>
        <v>330</v>
      </c>
      <c r="S112" s="63">
        <f>IF(ข้อมูลสูตร!$A109="","",ข้อมูลสูตร!T109)</f>
        <v>0</v>
      </c>
      <c r="T112" s="63">
        <f>IF(ข้อมูลสูตร!$A109="","",ข้อมูลสูตร!U109)</f>
        <v>0</v>
      </c>
      <c r="U112" s="64">
        <f>IF(ข้อมูลสูตร!$A109="","",ข้อมูลสูตร!V109)</f>
        <v>269.5</v>
      </c>
      <c r="V112" s="8">
        <f>IF(ข้อมูลสูตร!$A109="","",ข้อมูลสูตร!W109)</f>
        <v>19.16</v>
      </c>
      <c r="W112" s="64">
        <f>IF(ข้อมูลสูตร!$A109="","",ข้อมูลสูตร!X109)</f>
        <v>50</v>
      </c>
      <c r="X112" s="23">
        <f>IF(ข้อมูลสูตร!$A109="","",ข้อมูลสูตร!Y109)</f>
        <v>0.61680000000000001</v>
      </c>
      <c r="Y112" s="48" t="str">
        <f>IF(ข้อมูลสูตร!$A109="","",ข้อมูลสูตร!Z109)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12" s="48" t="str">
        <f>ข้อมูลสูตร!$A109</f>
        <v>Lemon Tea|22 oz|50%</v>
      </c>
    </row>
    <row r="113" spans="1:26" x14ac:dyDescent="0.25">
      <c r="A113" s="4" t="str">
        <f>IF(ข้อมูลสูตร!$A110="","",ข้อมูลสูตร!B110)</f>
        <v>Lemon Tea</v>
      </c>
      <c r="B113" s="4" t="str">
        <f>IF(ข้อมูลสูตร!$A110="","",ข้อมูลสูตร!C110)</f>
        <v>22 oz</v>
      </c>
      <c r="C113" s="4" t="str">
        <f>IF(ข้อมูลสูตร!$A110="","",ข้อมูลสูตร!D110)</f>
        <v>75%</v>
      </c>
      <c r="D113" s="63">
        <f>IF(ข้อมูลสูตร!$A110="","",ข้อมูลสูตร!E110)</f>
        <v>201.2</v>
      </c>
      <c r="E113" s="63">
        <f>IF(ข้อมูลสูตร!$A110="","",ข้อมูลสูตร!F110)</f>
        <v>0</v>
      </c>
      <c r="F113" s="63">
        <f>IF(ข้อมูลสูตร!$A110="","",ข้อมูลสูตร!G110)</f>
        <v>0</v>
      </c>
      <c r="G113" s="63">
        <f>IF(ข้อมูลสูตร!$A110="","",ข้อมูลสูตร!H110)</f>
        <v>0</v>
      </c>
      <c r="H113" s="63">
        <f>IF(ข้อมูลสูตร!$A110="","",ข้อมูลสูตร!I110)</f>
        <v>0</v>
      </c>
      <c r="I113" s="63">
        <f>IF(ข้อมูลสูตร!$A110="","",ข้อมูลสูตร!J110)</f>
        <v>58.8</v>
      </c>
      <c r="J113" s="63">
        <f>IF(ข้อมูลสูตร!$A110="","",ข้อมูลสูตร!K110)</f>
        <v>0</v>
      </c>
      <c r="K113" s="63">
        <f>IF(ข้อมูลสูตร!$A110="","",ข้อมูลสูตร!L110)</f>
        <v>0</v>
      </c>
      <c r="L113" s="63">
        <f>IF(ข้อมูลสูตร!$A110="","",ข้อมูลสูตร!M110)</f>
        <v>0</v>
      </c>
      <c r="M113" s="63">
        <f>IF(ข้อมูลสูตร!$A110="","",ข้อมูลสูตร!N110)</f>
        <v>0</v>
      </c>
      <c r="N113" s="63">
        <f>IF(ข้อมูลสูตร!$A110="","",ข้อมูลสูตร!O110)</f>
        <v>0</v>
      </c>
      <c r="O113" s="63">
        <f>IF(ข้อมูลสูตร!$A110="","",ข้อมูลสูตร!P110)</f>
        <v>20.5</v>
      </c>
      <c r="P113" s="63">
        <f>IF(ข้อมูลสูตร!$A110="","",ข้อมูลสูตร!Q110)</f>
        <v>0</v>
      </c>
      <c r="Q113" s="63">
        <f>IF(ข้อมูลสูตร!$A110="","",ข้อมูลสูตร!R110)</f>
        <v>0</v>
      </c>
      <c r="R113" s="63">
        <f>IF(ข้อมูลสูตร!$A110="","",ข้อมูลสูตร!S110)</f>
        <v>330</v>
      </c>
      <c r="S113" s="63">
        <f>IF(ข้อมูลสูตร!$A110="","",ข้อมูลสูตร!T110)</f>
        <v>0</v>
      </c>
      <c r="T113" s="63">
        <f>IF(ข้อมูลสูตร!$A110="","",ข้อมูลสูตร!U110)</f>
        <v>0</v>
      </c>
      <c r="U113" s="64">
        <f>IF(ข้อมูลสูตร!$A110="","",ข้อมูลสูตร!V110)</f>
        <v>280.5</v>
      </c>
      <c r="V113" s="8">
        <f>IF(ข้อมูลสูตร!$A110="","",ข้อมูลสูตร!W110)</f>
        <v>19.350000000000001</v>
      </c>
      <c r="W113" s="64">
        <f>IF(ข้อมูลสูตร!$A110="","",ข้อมูลสูตร!X110)</f>
        <v>50</v>
      </c>
      <c r="X113" s="23">
        <f>IF(ข้อมูลสูตร!$A110="","",ข้อมูลสูตร!Y110)</f>
        <v>0.61299999999999999</v>
      </c>
      <c r="Y113" s="48" t="str">
        <f>IF(ข้อมูลสูตร!$A110="","",ข้อมูลสูตร!Z110)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13" s="48" t="str">
        <f>ข้อมูลสูตร!$A110</f>
        <v>Lemon Tea|22 oz|75%</v>
      </c>
    </row>
    <row r="114" spans="1:26" x14ac:dyDescent="0.25">
      <c r="A114" s="4" t="str">
        <f>IF(ข้อมูลสูตร!$A111="","",ข้อมูลสูตร!B111)</f>
        <v>Lemon Tea</v>
      </c>
      <c r="B114" s="4" t="str">
        <f>IF(ข้อมูลสูตร!$A111="","",ข้อมูลสูตร!C111)</f>
        <v>22 oz</v>
      </c>
      <c r="C114" s="4" t="str">
        <f>IF(ข้อมูลสูตร!$A111="","",ข้อมูลสูตร!D111)</f>
        <v>100%</v>
      </c>
      <c r="D114" s="63">
        <f>IF(ข้อมูลสูตร!$A111="","",ข้อมูลสูตร!E111)</f>
        <v>201.2</v>
      </c>
      <c r="E114" s="63">
        <f>IF(ข้อมูลสูตร!$A111="","",ข้อมูลสูตร!F111)</f>
        <v>0</v>
      </c>
      <c r="F114" s="63">
        <f>IF(ข้อมูลสูตร!$A111="","",ข้อมูลสูตร!G111)</f>
        <v>0</v>
      </c>
      <c r="G114" s="63">
        <f>IF(ข้อมูลสูตร!$A111="","",ข้อมูลสูตร!H111)</f>
        <v>0</v>
      </c>
      <c r="H114" s="63">
        <f>IF(ข้อมูลสูตร!$A111="","",ข้อมูลสูตร!I111)</f>
        <v>0</v>
      </c>
      <c r="I114" s="63">
        <f>IF(ข้อมูลสูตร!$A111="","",ข้อมูลสูตร!J111)</f>
        <v>69.8</v>
      </c>
      <c r="J114" s="63">
        <f>IF(ข้อมูลสูตร!$A111="","",ข้อมูลสูตร!K111)</f>
        <v>0</v>
      </c>
      <c r="K114" s="63">
        <f>IF(ข้อมูลสูตร!$A111="","",ข้อมูลสูตร!L111)</f>
        <v>0</v>
      </c>
      <c r="L114" s="63">
        <f>IF(ข้อมูลสูตร!$A111="","",ข้อมูลสูตร!M111)</f>
        <v>0</v>
      </c>
      <c r="M114" s="63">
        <f>IF(ข้อมูลสูตร!$A111="","",ข้อมูลสูตร!N111)</f>
        <v>0</v>
      </c>
      <c r="N114" s="63">
        <f>IF(ข้อมูลสูตร!$A111="","",ข้อมูลสูตร!O111)</f>
        <v>0</v>
      </c>
      <c r="O114" s="63">
        <f>IF(ข้อมูลสูตร!$A111="","",ข้อมูลสูตร!P111)</f>
        <v>20.5</v>
      </c>
      <c r="P114" s="63">
        <f>IF(ข้อมูลสูตร!$A111="","",ข้อมูลสูตร!Q111)</f>
        <v>0</v>
      </c>
      <c r="Q114" s="63">
        <f>IF(ข้อมูลสูตร!$A111="","",ข้อมูลสูตร!R111)</f>
        <v>0</v>
      </c>
      <c r="R114" s="63">
        <f>IF(ข้อมูลสูตร!$A111="","",ข้อมูลสูตร!S111)</f>
        <v>330</v>
      </c>
      <c r="S114" s="63">
        <f>IF(ข้อมูลสูตร!$A111="","",ข้อมูลสูตร!T111)</f>
        <v>0</v>
      </c>
      <c r="T114" s="63">
        <f>IF(ข้อมูลสูตร!$A111="","",ข้อมูลสูตร!U111)</f>
        <v>0</v>
      </c>
      <c r="U114" s="64">
        <f>IF(ข้อมูลสูตร!$A111="","",ข้อมูลสูตร!V111)</f>
        <v>291.5</v>
      </c>
      <c r="V114" s="8">
        <f>IF(ข้อมูลสูตร!$A111="","",ข้อมูลสูตร!W111)</f>
        <v>19.53</v>
      </c>
      <c r="W114" s="64">
        <f>IF(ข้อมูลสูตร!$A111="","",ข้อมูลสูตร!X111)</f>
        <v>50</v>
      </c>
      <c r="X114" s="23">
        <f>IF(ข้อมูลสูตร!$A111="","",ข้อมูลสูตร!Y111)</f>
        <v>0.60939999999999994</v>
      </c>
      <c r="Y114" s="48" t="str">
        <f>IF(ข้อมูลสูตร!$A111="","",ข้อมูลสูตร!Z111)</f>
        <v>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114" s="48" t="str">
        <f>ข้อมูลสูตร!$A111</f>
        <v>Lemon Tea|22 oz|100%</v>
      </c>
    </row>
    <row r="115" spans="1:26" x14ac:dyDescent="0.25">
      <c r="A115" s="4" t="str">
        <f>IF(ข้อมูลสูตร!$A112="","",ข้อมูลสูตร!B112)</f>
        <v>Green Tea</v>
      </c>
      <c r="B115" s="4" t="str">
        <f>IF(ข้อมูลสูตร!$A112="","",ข้อมูลสูตร!C112)</f>
        <v>16 oz</v>
      </c>
      <c r="C115" s="4" t="str">
        <f>IF(ข้อมูลสูตร!$A112="","",ข้อมูลสูตร!D112)</f>
        <v>0%</v>
      </c>
      <c r="D115" s="63">
        <f>IF(ข้อมูลสูตร!$A112="","",ข้อมูลสูตร!E112)</f>
        <v>0</v>
      </c>
      <c r="E115" s="63">
        <f>IF(ข้อมูลสูตร!$A112="","",ข้อมูลสูตร!F112)</f>
        <v>135</v>
      </c>
      <c r="F115" s="63">
        <f>IF(ข้อมูลสูตร!$A112="","",ข้อมูลสูตร!G112)</f>
        <v>0</v>
      </c>
      <c r="G115" s="63">
        <f>IF(ข้อมูลสูตร!$A112="","",ข้อมูลสูตร!H112)</f>
        <v>56</v>
      </c>
      <c r="H115" s="63">
        <f>IF(ข้อมูลสูตร!$A112="","",ข้อมูลสูตร!I112)</f>
        <v>0</v>
      </c>
      <c r="I115" s="63">
        <f>IF(ข้อมูลสูตร!$A112="","",ข้อมูลสูตร!J112)</f>
        <v>0</v>
      </c>
      <c r="J115" s="63">
        <f>IF(ข้อมูลสูตร!$A112="","",ข้อมูลสูตร!K112)</f>
        <v>0</v>
      </c>
      <c r="K115" s="63">
        <f>IF(ข้อมูลสูตร!$A112="","",ข้อมูลสูตร!L112)</f>
        <v>0</v>
      </c>
      <c r="L115" s="63">
        <f>IF(ข้อมูลสูตร!$A112="","",ข้อมูลสูตร!M112)</f>
        <v>0</v>
      </c>
      <c r="M115" s="63">
        <f>IF(ข้อมูลสูตร!$A112="","",ข้อมูลสูตร!N112)</f>
        <v>0</v>
      </c>
      <c r="N115" s="63">
        <f>IF(ข้อมูลสูตร!$A112="","",ข้อมูลสูตร!O112)</f>
        <v>0</v>
      </c>
      <c r="O115" s="63">
        <f>IF(ข้อมูลสูตร!$A112="","",ข้อมูลสูตร!P112)</f>
        <v>0</v>
      </c>
      <c r="P115" s="63">
        <f>IF(ข้อมูลสูตร!$A112="","",ข้อมูลสูตร!Q112)</f>
        <v>0</v>
      </c>
      <c r="Q115" s="63">
        <f>IF(ข้อมูลสูตร!$A112="","",ข้อมูลสูตร!R112)</f>
        <v>0</v>
      </c>
      <c r="R115" s="63">
        <f>IF(ข้อมูลสูตร!$A112="","",ข้อมูลสูตร!S112)</f>
        <v>240</v>
      </c>
      <c r="S115" s="63">
        <f>IF(ข้อมูลสูตร!$A112="","",ข้อมูลสูตร!T112)</f>
        <v>0</v>
      </c>
      <c r="T115" s="63">
        <f>IF(ข้อมูลสูตร!$A112="","",ข้อมูลสูตร!U112)</f>
        <v>0</v>
      </c>
      <c r="U115" s="64">
        <f>IF(ข้อมูลสูตร!$A112="","",ข้อมูลสูตร!V112)</f>
        <v>191</v>
      </c>
      <c r="V115" s="8">
        <f>IF(ข้อมูลสูตร!$A112="","",ข้อมูลสูตร!W112)</f>
        <v>14.79</v>
      </c>
      <c r="W115" s="64">
        <f>IF(ข้อมูลสูตร!$A112="","",ข้อมูลสูตร!X112)</f>
        <v>45</v>
      </c>
      <c r="X115" s="23">
        <f>IF(ข้อมูลสูตร!$A112="","",ข้อมูลสูตร!Y112)</f>
        <v>0.67133333333333334</v>
      </c>
      <c r="Y115" s="48" t="str">
        <f>IF(ข้อมูลสูตร!$A112="","",ข้อมูลสูตร!Z112)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15" s="48" t="str">
        <f>ข้อมูลสูตร!$A112</f>
        <v>Green Tea|16 oz|0%</v>
      </c>
    </row>
    <row r="116" spans="1:26" x14ac:dyDescent="0.25">
      <c r="A116" s="4" t="str">
        <f>IF(ข้อมูลสูตร!$A113="","",ข้อมูลสูตร!B113)</f>
        <v>Green Tea</v>
      </c>
      <c r="B116" s="4" t="str">
        <f>IF(ข้อมูลสูตร!$A113="","",ข้อมูลสูตร!C113)</f>
        <v>16 oz</v>
      </c>
      <c r="C116" s="4" t="str">
        <f>IF(ข้อมูลสูตร!$A113="","",ข้อมูลสูตร!D113)</f>
        <v>25%</v>
      </c>
      <c r="D116" s="63">
        <f>IF(ข้อมูลสูตร!$A113="","",ข้อมูลสูตร!E113)</f>
        <v>0</v>
      </c>
      <c r="E116" s="63">
        <f>IF(ข้อมูลสูตร!$A113="","",ข้อมูลสูตร!F113)</f>
        <v>135</v>
      </c>
      <c r="F116" s="63">
        <f>IF(ข้อมูลสูตร!$A113="","",ข้อมูลสูตร!G113)</f>
        <v>0</v>
      </c>
      <c r="G116" s="63">
        <f>IF(ข้อมูลสูตร!$A113="","",ข้อมูลสูตร!H113)</f>
        <v>50</v>
      </c>
      <c r="H116" s="63">
        <f>IF(ข้อมูลสูตร!$A113="","",ข้อมูลสูตร!I113)</f>
        <v>8</v>
      </c>
      <c r="I116" s="63">
        <f>IF(ข้อมูลสูตร!$A113="","",ข้อมูลสูตร!J113)</f>
        <v>17.3</v>
      </c>
      <c r="J116" s="63">
        <f>IF(ข้อมูลสูตร!$A113="","",ข้อมูลสูตร!K113)</f>
        <v>0</v>
      </c>
      <c r="K116" s="63">
        <f>IF(ข้อมูลสูตร!$A113="","",ข้อมูลสูตร!L113)</f>
        <v>0</v>
      </c>
      <c r="L116" s="63">
        <f>IF(ข้อมูลสูตร!$A113="","",ข้อมูลสูตร!M113)</f>
        <v>0</v>
      </c>
      <c r="M116" s="63">
        <f>IF(ข้อมูลสูตร!$A113="","",ข้อมูลสูตร!N113)</f>
        <v>0</v>
      </c>
      <c r="N116" s="63">
        <f>IF(ข้อมูลสูตร!$A113="","",ข้อมูลสูตร!O113)</f>
        <v>0</v>
      </c>
      <c r="O116" s="63">
        <f>IF(ข้อมูลสูตร!$A113="","",ข้อมูลสูตร!P113)</f>
        <v>0</v>
      </c>
      <c r="P116" s="63">
        <f>IF(ข้อมูลสูตร!$A113="","",ข้อมูลสูตร!Q113)</f>
        <v>0</v>
      </c>
      <c r="Q116" s="63">
        <f>IF(ข้อมูลสูตร!$A113="","",ข้อมูลสูตร!R113)</f>
        <v>0</v>
      </c>
      <c r="R116" s="63">
        <f>IF(ข้อมูลสูตร!$A113="","",ข้อมูลสูตร!S113)</f>
        <v>240</v>
      </c>
      <c r="S116" s="63">
        <f>IF(ข้อมูลสูตร!$A113="","",ข้อมูลสูตร!T113)</f>
        <v>0</v>
      </c>
      <c r="T116" s="63">
        <f>IF(ข้อมูลสูตร!$A113="","",ข้อมูลสูตร!U113)</f>
        <v>0</v>
      </c>
      <c r="U116" s="64">
        <f>IF(ข้อมูลสูตร!$A113="","",ข้อมูลสูตร!V113)</f>
        <v>210.3</v>
      </c>
      <c r="V116" s="8">
        <f>IF(ข้อมูลสูตร!$A113="","",ข้อมูลสูตร!W113)</f>
        <v>15.19</v>
      </c>
      <c r="W116" s="64">
        <f>IF(ข้อมูลสูตร!$A113="","",ข้อมูลสูตร!X113)</f>
        <v>45</v>
      </c>
      <c r="X116" s="23">
        <f>IF(ข้อมูลสูตร!$A113="","",ข้อมูลสูตร!Y113)</f>
        <v>0.6624444444444445</v>
      </c>
      <c r="Y116" s="48" t="str">
        <f>IF(ข้อมูลสูตร!$A113="","",ข้อมูลสูตร!Z113)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16" s="48" t="str">
        <f>ข้อมูลสูตร!$A113</f>
        <v>Green Tea|16 oz|25%</v>
      </c>
    </row>
    <row r="117" spans="1:26" x14ac:dyDescent="0.25">
      <c r="A117" s="4" t="str">
        <f>IF(ข้อมูลสูตร!$A114="","",ข้อมูลสูตร!B114)</f>
        <v>Green Tea</v>
      </c>
      <c r="B117" s="4" t="str">
        <f>IF(ข้อมูลสูตร!$A114="","",ข้อมูลสูตร!C114)</f>
        <v>16 oz</v>
      </c>
      <c r="C117" s="4" t="str">
        <f>IF(ข้อมูลสูตร!$A114="","",ข้อมูลสูตร!D114)</f>
        <v>50%</v>
      </c>
      <c r="D117" s="63">
        <f>IF(ข้อมูลสูตร!$A114="","",ข้อมูลสูตร!E114)</f>
        <v>0</v>
      </c>
      <c r="E117" s="63">
        <f>IF(ข้อมูลสูตร!$A114="","",ข้อมูลสูตร!F114)</f>
        <v>135</v>
      </c>
      <c r="F117" s="63">
        <f>IF(ข้อมูลสูตร!$A114="","",ข้อมูลสูตร!G114)</f>
        <v>0</v>
      </c>
      <c r="G117" s="63">
        <f>IF(ข้อมูลสูตร!$A114="","",ข้อมูลสูตร!H114)</f>
        <v>44</v>
      </c>
      <c r="H117" s="63">
        <f>IF(ข้อมูลสูตร!$A114="","",ข้อมูลสูตร!I114)</f>
        <v>16</v>
      </c>
      <c r="I117" s="63">
        <f>IF(ข้อมูลสูตร!$A114="","",ข้อมูลสูตร!J114)</f>
        <v>17.3</v>
      </c>
      <c r="J117" s="63">
        <f>IF(ข้อมูลสูตร!$A114="","",ข้อมูลสูตร!K114)</f>
        <v>0</v>
      </c>
      <c r="K117" s="63">
        <f>IF(ข้อมูลสูตร!$A114="","",ข้อมูลสูตร!L114)</f>
        <v>0</v>
      </c>
      <c r="L117" s="63">
        <f>IF(ข้อมูลสูตร!$A114="","",ข้อมูลสูตร!M114)</f>
        <v>0</v>
      </c>
      <c r="M117" s="63">
        <f>IF(ข้อมูลสูตร!$A114="","",ข้อมูลสูตร!N114)</f>
        <v>0</v>
      </c>
      <c r="N117" s="63">
        <f>IF(ข้อมูลสูตร!$A114="","",ข้อมูลสูตร!O114)</f>
        <v>0</v>
      </c>
      <c r="O117" s="63">
        <f>IF(ข้อมูลสูตร!$A114="","",ข้อมูลสูตร!P114)</f>
        <v>0</v>
      </c>
      <c r="P117" s="63">
        <f>IF(ข้อมูลสูตร!$A114="","",ข้อมูลสูตร!Q114)</f>
        <v>0</v>
      </c>
      <c r="Q117" s="63">
        <f>IF(ข้อมูลสูตร!$A114="","",ข้อมูลสูตร!R114)</f>
        <v>0</v>
      </c>
      <c r="R117" s="63">
        <f>IF(ข้อมูลสูตร!$A114="","",ข้อมูลสูตร!S114)</f>
        <v>240</v>
      </c>
      <c r="S117" s="63">
        <f>IF(ข้อมูลสูตร!$A114="","",ข้อมูลสูตร!T114)</f>
        <v>0</v>
      </c>
      <c r="T117" s="63">
        <f>IF(ข้อมูลสูตร!$A114="","",ข้อมูลสูตร!U114)</f>
        <v>0</v>
      </c>
      <c r="U117" s="64">
        <f>IF(ข้อมูลสูตร!$A114="","",ข้อมูลสูตร!V114)</f>
        <v>212.3</v>
      </c>
      <c r="V117" s="8">
        <f>IF(ข้อมูลสูตร!$A114="","",ข้อมูลสูตร!W114)</f>
        <v>15.3</v>
      </c>
      <c r="W117" s="64">
        <f>IF(ข้อมูลสูตร!$A114="","",ข้อมูลสูตร!X114)</f>
        <v>45</v>
      </c>
      <c r="X117" s="23">
        <f>IF(ข้อมูลสูตร!$A114="","",ข้อมูลสูตร!Y114)</f>
        <v>0.66</v>
      </c>
      <c r="Y117" s="48" t="str">
        <f>IF(ข้อมูลสูตร!$A114="","",ข้อมูลสูตร!Z114)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17" s="48" t="str">
        <f>ข้อมูลสูตร!$A114</f>
        <v>Green Tea|16 oz|50%</v>
      </c>
    </row>
    <row r="118" spans="1:26" x14ac:dyDescent="0.25">
      <c r="A118" s="4" t="str">
        <f>IF(ข้อมูลสูตร!$A115="","",ข้อมูลสูตร!B115)</f>
        <v>Green Tea</v>
      </c>
      <c r="B118" s="4" t="str">
        <f>IF(ข้อมูลสูตร!$A115="","",ข้อมูลสูตร!C115)</f>
        <v>16 oz</v>
      </c>
      <c r="C118" s="4" t="str">
        <f>IF(ข้อมูลสูตร!$A115="","",ข้อมูลสูตร!D115)</f>
        <v>75%</v>
      </c>
      <c r="D118" s="63">
        <f>IF(ข้อมูลสูตร!$A115="","",ข้อมูลสูตร!E115)</f>
        <v>0</v>
      </c>
      <c r="E118" s="63">
        <f>IF(ข้อมูลสูตร!$A115="","",ข้อมูลสูตร!F115)</f>
        <v>135</v>
      </c>
      <c r="F118" s="63">
        <f>IF(ข้อมูลสูตร!$A115="","",ข้อมูลสูตร!G115)</f>
        <v>0</v>
      </c>
      <c r="G118" s="63">
        <f>IF(ข้อมูลสูตร!$A115="","",ข้อมูลสูตร!H115)</f>
        <v>38</v>
      </c>
      <c r="H118" s="63">
        <f>IF(ข้อมูลสูตร!$A115="","",ข้อมูลสูตร!I115)</f>
        <v>24</v>
      </c>
      <c r="I118" s="63">
        <f>IF(ข้อมูลสูตร!$A115="","",ข้อมูลสูตร!J115)</f>
        <v>17.3</v>
      </c>
      <c r="J118" s="63">
        <f>IF(ข้อมูลสูตร!$A115="","",ข้อมูลสูตร!K115)</f>
        <v>0</v>
      </c>
      <c r="K118" s="63">
        <f>IF(ข้อมูลสูตร!$A115="","",ข้อมูลสูตร!L115)</f>
        <v>0</v>
      </c>
      <c r="L118" s="63">
        <f>IF(ข้อมูลสูตร!$A115="","",ข้อมูลสูตร!M115)</f>
        <v>0</v>
      </c>
      <c r="M118" s="63">
        <f>IF(ข้อมูลสูตร!$A115="","",ข้อมูลสูตร!N115)</f>
        <v>0</v>
      </c>
      <c r="N118" s="63">
        <f>IF(ข้อมูลสูตร!$A115="","",ข้อมูลสูตร!O115)</f>
        <v>0</v>
      </c>
      <c r="O118" s="63">
        <f>IF(ข้อมูลสูตร!$A115="","",ข้อมูลสูตร!P115)</f>
        <v>0</v>
      </c>
      <c r="P118" s="63">
        <f>IF(ข้อมูลสูตร!$A115="","",ข้อมูลสูตร!Q115)</f>
        <v>0</v>
      </c>
      <c r="Q118" s="63">
        <f>IF(ข้อมูลสูตร!$A115="","",ข้อมูลสูตร!R115)</f>
        <v>0</v>
      </c>
      <c r="R118" s="63">
        <f>IF(ข้อมูลสูตร!$A115="","",ข้อมูลสูตร!S115)</f>
        <v>240</v>
      </c>
      <c r="S118" s="63">
        <f>IF(ข้อมูลสูตร!$A115="","",ข้อมูลสูตร!T115)</f>
        <v>0</v>
      </c>
      <c r="T118" s="63">
        <f>IF(ข้อมูลสูตร!$A115="","",ข้อมูลสูตร!U115)</f>
        <v>0</v>
      </c>
      <c r="U118" s="64">
        <f>IF(ข้อมูลสูตร!$A115="","",ข้อมูลสูตร!V115)</f>
        <v>214.3</v>
      </c>
      <c r="V118" s="8">
        <f>IF(ข้อมูลสูตร!$A115="","",ข้อมูลสูตร!W115)</f>
        <v>15.41</v>
      </c>
      <c r="W118" s="64">
        <f>IF(ข้อมูลสูตร!$A115="","",ข้อมูลสูตร!X115)</f>
        <v>45</v>
      </c>
      <c r="X118" s="23">
        <f>IF(ข้อมูลสูตร!$A115="","",ข้อมูลสูตร!Y115)</f>
        <v>0.65755555555555556</v>
      </c>
      <c r="Y118" s="48" t="str">
        <f>IF(ข้อมูลสูตร!$A115="","",ข้อมูลสูตร!Z115)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18" s="48" t="str">
        <f>ข้อมูลสูตร!$A115</f>
        <v>Green Tea|16 oz|75%</v>
      </c>
    </row>
    <row r="119" spans="1:26" x14ac:dyDescent="0.25">
      <c r="A119" s="4" t="str">
        <f>IF(ข้อมูลสูตร!$A116="","",ข้อมูลสูตร!B116)</f>
        <v>Green Tea</v>
      </c>
      <c r="B119" s="4" t="str">
        <f>IF(ข้อมูลสูตร!$A116="","",ข้อมูลสูตร!C116)</f>
        <v>16 oz</v>
      </c>
      <c r="C119" s="4" t="str">
        <f>IF(ข้อมูลสูตร!$A116="","",ข้อมูลสูตร!D116)</f>
        <v>100%</v>
      </c>
      <c r="D119" s="63">
        <f>IF(ข้อมูลสูตร!$A116="","",ข้อมูลสูตร!E116)</f>
        <v>0</v>
      </c>
      <c r="E119" s="63">
        <f>IF(ข้อมูลสูตร!$A116="","",ข้อมูลสูตร!F116)</f>
        <v>135</v>
      </c>
      <c r="F119" s="63">
        <f>IF(ข้อมูลสูตร!$A116="","",ข้อมูลสูตร!G116)</f>
        <v>0</v>
      </c>
      <c r="G119" s="63">
        <f>IF(ข้อมูลสูตร!$A116="","",ข้อมูลสูตร!H116)</f>
        <v>32</v>
      </c>
      <c r="H119" s="63">
        <f>IF(ข้อมูลสูตร!$A116="","",ข้อมูลสูตร!I116)</f>
        <v>32</v>
      </c>
      <c r="I119" s="63">
        <f>IF(ข้อมูลสูตร!$A116="","",ข้อมูลสูตร!J116)</f>
        <v>17.3</v>
      </c>
      <c r="J119" s="63">
        <f>IF(ข้อมูลสูตร!$A116="","",ข้อมูลสูตร!K116)</f>
        <v>0</v>
      </c>
      <c r="K119" s="63">
        <f>IF(ข้อมูลสูตร!$A116="","",ข้อมูลสูตร!L116)</f>
        <v>0</v>
      </c>
      <c r="L119" s="63">
        <f>IF(ข้อมูลสูตร!$A116="","",ข้อมูลสูตร!M116)</f>
        <v>0</v>
      </c>
      <c r="M119" s="63">
        <f>IF(ข้อมูลสูตร!$A116="","",ข้อมูลสูตร!N116)</f>
        <v>0</v>
      </c>
      <c r="N119" s="63">
        <f>IF(ข้อมูลสูตร!$A116="","",ข้อมูลสูตร!O116)</f>
        <v>0</v>
      </c>
      <c r="O119" s="63">
        <f>IF(ข้อมูลสูตร!$A116="","",ข้อมูลสูตร!P116)</f>
        <v>0</v>
      </c>
      <c r="P119" s="63">
        <f>IF(ข้อมูลสูตร!$A116="","",ข้อมูลสูตร!Q116)</f>
        <v>0</v>
      </c>
      <c r="Q119" s="63">
        <f>IF(ข้อมูลสูตร!$A116="","",ข้อมูลสูตร!R116)</f>
        <v>0</v>
      </c>
      <c r="R119" s="63">
        <f>IF(ข้อมูลสูตร!$A116="","",ข้อมูลสูตร!S116)</f>
        <v>240</v>
      </c>
      <c r="S119" s="63">
        <f>IF(ข้อมูลสูตร!$A116="","",ข้อมูลสูตร!T116)</f>
        <v>0</v>
      </c>
      <c r="T119" s="63">
        <f>IF(ข้อมูลสูตร!$A116="","",ข้อมูลสูตร!U116)</f>
        <v>0</v>
      </c>
      <c r="U119" s="64">
        <f>IF(ข้อมูลสูตร!$A116="","",ข้อมูลสูตร!V116)</f>
        <v>216.3</v>
      </c>
      <c r="V119" s="8">
        <f>IF(ข้อมูลสูตร!$A116="","",ข้อมูลสูตร!W116)</f>
        <v>15.52</v>
      </c>
      <c r="W119" s="64">
        <f>IF(ข้อมูลสูตร!$A116="","",ข้อมูลสูตร!X116)</f>
        <v>45</v>
      </c>
      <c r="X119" s="23">
        <f>IF(ข้อมูลสูตร!$A116="","",ข้อมูลสูตร!Y116)</f>
        <v>0.65511111111111109</v>
      </c>
      <c r="Y119" s="48" t="str">
        <f>IF(ข้อมูลสูตร!$A116="","",ข้อมูลสูตร!Z116)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19" s="48" t="str">
        <f>ข้อมูลสูตร!$A116</f>
        <v>Green Tea|16 oz|100%</v>
      </c>
    </row>
    <row r="120" spans="1:26" x14ac:dyDescent="0.25">
      <c r="A120" s="4" t="str">
        <f>IF(ข้อมูลสูตร!$A117="","",ข้อมูลสูตร!B117)</f>
        <v>Green Tea</v>
      </c>
      <c r="B120" s="4" t="str">
        <f>IF(ข้อมูลสูตร!$A117="","",ข้อมูลสูตร!C117)</f>
        <v>22 oz</v>
      </c>
      <c r="C120" s="4" t="str">
        <f>IF(ข้อมูลสูตร!$A117="","",ข้อมูลสูตร!D117)</f>
        <v>0%</v>
      </c>
      <c r="D120" s="63">
        <f>IF(ข้อมูลสูตร!$A117="","",ข้อมูลสูตร!E117)</f>
        <v>0</v>
      </c>
      <c r="E120" s="63">
        <f>IF(ข้อมูลสูตร!$A117="","",ข้อมูลสูตร!F117)</f>
        <v>185.5</v>
      </c>
      <c r="F120" s="63">
        <f>IF(ข้อมูลสูตร!$A117="","",ข้อมูลสูตร!G117)</f>
        <v>0</v>
      </c>
      <c r="G120" s="63">
        <f>IF(ข้อมูลสูตร!$A117="","",ข้อมูลสูตร!H117)</f>
        <v>77</v>
      </c>
      <c r="H120" s="63">
        <f>IF(ข้อมูลสูตร!$A117="","",ข้อมูลสูตร!I117)</f>
        <v>0</v>
      </c>
      <c r="I120" s="63">
        <f>IF(ข้อมูลสูตร!$A117="","",ข้อมูลสูตร!J117)</f>
        <v>0</v>
      </c>
      <c r="J120" s="63">
        <f>IF(ข้อมูลสูตร!$A117="","",ข้อมูลสูตร!K117)</f>
        <v>0</v>
      </c>
      <c r="K120" s="63">
        <f>IF(ข้อมูลสูตร!$A117="","",ข้อมูลสูตร!L117)</f>
        <v>0</v>
      </c>
      <c r="L120" s="63">
        <f>IF(ข้อมูลสูตร!$A117="","",ข้อมูลสูตร!M117)</f>
        <v>0</v>
      </c>
      <c r="M120" s="63">
        <f>IF(ข้อมูลสูตร!$A117="","",ข้อมูลสูตร!N117)</f>
        <v>0</v>
      </c>
      <c r="N120" s="63">
        <f>IF(ข้อมูลสูตร!$A117="","",ข้อมูลสูตร!O117)</f>
        <v>0</v>
      </c>
      <c r="O120" s="63">
        <f>IF(ข้อมูลสูตร!$A117="","",ข้อมูลสูตร!P117)</f>
        <v>0</v>
      </c>
      <c r="P120" s="63">
        <f>IF(ข้อมูลสูตร!$A117="","",ข้อมูลสูตร!Q117)</f>
        <v>0</v>
      </c>
      <c r="Q120" s="63">
        <f>IF(ข้อมูลสูตร!$A117="","",ข้อมูลสูตร!R117)</f>
        <v>0</v>
      </c>
      <c r="R120" s="63">
        <f>IF(ข้อมูลสูตร!$A117="","",ข้อมูลสูตร!S117)</f>
        <v>330</v>
      </c>
      <c r="S120" s="63">
        <f>IF(ข้อมูลสูตร!$A117="","",ข้อมูลสูตร!T117)</f>
        <v>0</v>
      </c>
      <c r="T120" s="63">
        <f>IF(ข้อมูลสูตร!$A117="","",ข้อมูลสูตร!U117)</f>
        <v>0</v>
      </c>
      <c r="U120" s="64">
        <f>IF(ข้อมูลสูตร!$A117="","",ข้อมูลสูตร!V117)</f>
        <v>262.5</v>
      </c>
      <c r="V120" s="8">
        <f>IF(ข้อมูลสูตร!$A117="","",ข้อมูลสูตร!W117)</f>
        <v>19.64</v>
      </c>
      <c r="W120" s="64">
        <f>IF(ข้อมูลสูตร!$A117="","",ข้อมูลสูตร!X117)</f>
        <v>55</v>
      </c>
      <c r="X120" s="23">
        <f>IF(ข้อมูลสูตร!$A117="","",ข้อมูลสูตร!Y117)</f>
        <v>0.64290909090909087</v>
      </c>
      <c r="Y120" s="48" t="str">
        <f>IF(ข้อมูลสูตร!$A117="","",ข้อมูลสูตร!Z117)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20" s="48" t="str">
        <f>ข้อมูลสูตร!$A117</f>
        <v>Green Tea|22 oz|0%</v>
      </c>
    </row>
    <row r="121" spans="1:26" x14ac:dyDescent="0.25">
      <c r="A121" s="4" t="str">
        <f>IF(ข้อมูลสูตร!$A118="","",ข้อมูลสูตร!B118)</f>
        <v>Green Tea</v>
      </c>
      <c r="B121" s="4" t="str">
        <f>IF(ข้อมูลสูตร!$A118="","",ข้อมูลสูตร!C118)</f>
        <v>22 oz</v>
      </c>
      <c r="C121" s="4" t="str">
        <f>IF(ข้อมูลสูตร!$A118="","",ข้อมูลสูตร!D118)</f>
        <v>25%</v>
      </c>
      <c r="D121" s="63">
        <f>IF(ข้อมูลสูตร!$A118="","",ข้อมูลสูตร!E118)</f>
        <v>0</v>
      </c>
      <c r="E121" s="63">
        <f>IF(ข้อมูลสูตร!$A118="","",ข้อมูลสูตร!F118)</f>
        <v>185.5</v>
      </c>
      <c r="F121" s="63">
        <f>IF(ข้อมูลสูตร!$A118="","",ข้อมูลสูตร!G118)</f>
        <v>0</v>
      </c>
      <c r="G121" s="63">
        <f>IF(ข้อมูลสูตร!$A118="","",ข้อมูลสูตร!H118)</f>
        <v>69</v>
      </c>
      <c r="H121" s="63">
        <f>IF(ข้อมูลสูตร!$A118="","",ข้อมูลสูตร!I118)</f>
        <v>11</v>
      </c>
      <c r="I121" s="63">
        <f>IF(ข้อมูลสูตร!$A118="","",ข้อมูลสูตร!J118)</f>
        <v>23.7</v>
      </c>
      <c r="J121" s="63">
        <f>IF(ข้อมูลสูตร!$A118="","",ข้อมูลสูตร!K118)</f>
        <v>0</v>
      </c>
      <c r="K121" s="63">
        <f>IF(ข้อมูลสูตร!$A118="","",ข้อมูลสูตร!L118)</f>
        <v>0</v>
      </c>
      <c r="L121" s="63">
        <f>IF(ข้อมูลสูตร!$A118="","",ข้อมูลสูตร!M118)</f>
        <v>0</v>
      </c>
      <c r="M121" s="63">
        <f>IF(ข้อมูลสูตร!$A118="","",ข้อมูลสูตร!N118)</f>
        <v>0</v>
      </c>
      <c r="N121" s="63">
        <f>IF(ข้อมูลสูตร!$A118="","",ข้อมูลสูตร!O118)</f>
        <v>0</v>
      </c>
      <c r="O121" s="63">
        <f>IF(ข้อมูลสูตร!$A118="","",ข้อมูลสูตร!P118)</f>
        <v>0</v>
      </c>
      <c r="P121" s="63">
        <f>IF(ข้อมูลสูตร!$A118="","",ข้อมูลสูตร!Q118)</f>
        <v>0</v>
      </c>
      <c r="Q121" s="63">
        <f>IF(ข้อมูลสูตร!$A118="","",ข้อมูลสูตร!R118)</f>
        <v>0</v>
      </c>
      <c r="R121" s="63">
        <f>IF(ข้อมูลสูตร!$A118="","",ข้อมูลสูตร!S118)</f>
        <v>330</v>
      </c>
      <c r="S121" s="63">
        <f>IF(ข้อมูลสูตร!$A118="","",ข้อมูลสูตร!T118)</f>
        <v>0</v>
      </c>
      <c r="T121" s="63">
        <f>IF(ข้อมูลสูตร!$A118="","",ข้อมูลสูตร!U118)</f>
        <v>0</v>
      </c>
      <c r="U121" s="64">
        <f>IF(ข้อมูลสูตร!$A118="","",ข้อมูลสูตร!V118)</f>
        <v>289.2</v>
      </c>
      <c r="V121" s="8">
        <f>IF(ข้อมูลสูตร!$A118="","",ข้อมูลสูตร!W118)</f>
        <v>20.2</v>
      </c>
      <c r="W121" s="64">
        <f>IF(ข้อมูลสูตร!$A118="","",ข้อมูลสูตร!X118)</f>
        <v>55</v>
      </c>
      <c r="X121" s="23">
        <f>IF(ข้อมูลสูตร!$A118="","",ข้อมูลสูตร!Y118)</f>
        <v>0.63272727272727269</v>
      </c>
      <c r="Y121" s="48" t="str">
        <f>IF(ข้อมูลสูตร!$A118="","",ข้อมูลสูตร!Z118)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21" s="48" t="str">
        <f>ข้อมูลสูตร!$A118</f>
        <v>Green Tea|22 oz|25%</v>
      </c>
    </row>
    <row r="122" spans="1:26" x14ac:dyDescent="0.25">
      <c r="A122" s="4" t="str">
        <f>IF(ข้อมูลสูตร!$A119="","",ข้อมูลสูตร!B119)</f>
        <v>Green Tea</v>
      </c>
      <c r="B122" s="4" t="str">
        <f>IF(ข้อมูลสูตร!$A119="","",ข้อมูลสูตร!C119)</f>
        <v>22 oz</v>
      </c>
      <c r="C122" s="4" t="str">
        <f>IF(ข้อมูลสูตร!$A119="","",ข้อมูลสูตร!D119)</f>
        <v>50%</v>
      </c>
      <c r="D122" s="63">
        <f>IF(ข้อมูลสูตร!$A119="","",ข้อมูลสูตร!E119)</f>
        <v>0</v>
      </c>
      <c r="E122" s="63">
        <f>IF(ข้อมูลสูตร!$A119="","",ข้อมูลสูตร!F119)</f>
        <v>185.5</v>
      </c>
      <c r="F122" s="63">
        <f>IF(ข้อมูลสูตร!$A119="","",ข้อมูลสูตร!G119)</f>
        <v>0</v>
      </c>
      <c r="G122" s="63">
        <f>IF(ข้อมูลสูตร!$A119="","",ข้อมูลสูตร!H119)</f>
        <v>60.5</v>
      </c>
      <c r="H122" s="63">
        <f>IF(ข้อมูลสูตร!$A119="","",ข้อมูลสูตร!I119)</f>
        <v>22</v>
      </c>
      <c r="I122" s="63">
        <f>IF(ข้อมูลสูตร!$A119="","",ข้อมูลสูตร!J119)</f>
        <v>23.7</v>
      </c>
      <c r="J122" s="63">
        <f>IF(ข้อมูลสูตร!$A119="","",ข้อมูลสูตร!K119)</f>
        <v>0</v>
      </c>
      <c r="K122" s="63">
        <f>IF(ข้อมูลสูตร!$A119="","",ข้อมูลสูตร!L119)</f>
        <v>0</v>
      </c>
      <c r="L122" s="63">
        <f>IF(ข้อมูลสูตร!$A119="","",ข้อมูลสูตร!M119)</f>
        <v>0</v>
      </c>
      <c r="M122" s="63">
        <f>IF(ข้อมูลสูตร!$A119="","",ข้อมูลสูตร!N119)</f>
        <v>0</v>
      </c>
      <c r="N122" s="63">
        <f>IF(ข้อมูลสูตร!$A119="","",ข้อมูลสูตร!O119)</f>
        <v>0</v>
      </c>
      <c r="O122" s="63">
        <f>IF(ข้อมูลสูตร!$A119="","",ข้อมูลสูตร!P119)</f>
        <v>0</v>
      </c>
      <c r="P122" s="63">
        <f>IF(ข้อมูลสูตร!$A119="","",ข้อมูลสูตร!Q119)</f>
        <v>0</v>
      </c>
      <c r="Q122" s="63">
        <f>IF(ข้อมูลสูตร!$A119="","",ข้อมูลสูตร!R119)</f>
        <v>0</v>
      </c>
      <c r="R122" s="63">
        <f>IF(ข้อมูลสูตร!$A119="","",ข้อมูลสูตร!S119)</f>
        <v>330</v>
      </c>
      <c r="S122" s="63">
        <f>IF(ข้อมูลสูตร!$A119="","",ข้อมูลสูตร!T119)</f>
        <v>0</v>
      </c>
      <c r="T122" s="63">
        <f>IF(ข้อมูลสูตร!$A119="","",ข้อมูลสูตร!U119)</f>
        <v>0</v>
      </c>
      <c r="U122" s="64">
        <f>IF(ข้อมูลสูตร!$A119="","",ข้อมูลสูตร!V119)</f>
        <v>291.7</v>
      </c>
      <c r="V122" s="8">
        <f>IF(ข้อมูลสูตร!$A119="","",ข้อมูลสูตร!W119)</f>
        <v>20.34</v>
      </c>
      <c r="W122" s="64">
        <f>IF(ข้อมูลสูตร!$A119="","",ข้อมูลสูตร!X119)</f>
        <v>55</v>
      </c>
      <c r="X122" s="23">
        <f>IF(ข้อมูลสูตร!$A119="","",ข้อมูลสูตร!Y119)</f>
        <v>0.63018181818181807</v>
      </c>
      <c r="Y122" s="48" t="str">
        <f>IF(ข้อมูลสูตร!$A119="","",ข้อมูลสูตร!Z119)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22" s="48" t="str">
        <f>ข้อมูลสูตร!$A119</f>
        <v>Green Tea|22 oz|50%</v>
      </c>
    </row>
    <row r="123" spans="1:26" x14ac:dyDescent="0.25">
      <c r="A123" s="4" t="str">
        <f>IF(ข้อมูลสูตร!$A120="","",ข้อมูลสูตร!B120)</f>
        <v>Green Tea</v>
      </c>
      <c r="B123" s="4" t="str">
        <f>IF(ข้อมูลสูตร!$A120="","",ข้อมูลสูตร!C120)</f>
        <v>22 oz</v>
      </c>
      <c r="C123" s="4" t="str">
        <f>IF(ข้อมูลสูตร!$A120="","",ข้อมูลสูตร!D120)</f>
        <v>75%</v>
      </c>
      <c r="D123" s="63">
        <f>IF(ข้อมูลสูตร!$A120="","",ข้อมูลสูตร!E120)</f>
        <v>0</v>
      </c>
      <c r="E123" s="63">
        <f>IF(ข้อมูลสูตร!$A120="","",ข้อมูลสูตร!F120)</f>
        <v>185.5</v>
      </c>
      <c r="F123" s="63">
        <f>IF(ข้อมูลสูตร!$A120="","",ข้อมูลสูตร!G120)</f>
        <v>0</v>
      </c>
      <c r="G123" s="63">
        <f>IF(ข้อมูลสูตร!$A120="","",ข้อมูลสูตร!H120)</f>
        <v>52</v>
      </c>
      <c r="H123" s="63">
        <f>IF(ข้อมูลสูตร!$A120="","",ข้อมูลสูตร!I120)</f>
        <v>33</v>
      </c>
      <c r="I123" s="63">
        <f>IF(ข้อมูลสูตร!$A120="","",ข้อมูลสูตร!J120)</f>
        <v>23.7</v>
      </c>
      <c r="J123" s="63">
        <f>IF(ข้อมูลสูตร!$A120="","",ข้อมูลสูตร!K120)</f>
        <v>0</v>
      </c>
      <c r="K123" s="63">
        <f>IF(ข้อมูลสูตร!$A120="","",ข้อมูลสูตร!L120)</f>
        <v>0</v>
      </c>
      <c r="L123" s="63">
        <f>IF(ข้อมูลสูตร!$A120="","",ข้อมูลสูตร!M120)</f>
        <v>0</v>
      </c>
      <c r="M123" s="63">
        <f>IF(ข้อมูลสูตร!$A120="","",ข้อมูลสูตร!N120)</f>
        <v>0</v>
      </c>
      <c r="N123" s="63">
        <f>IF(ข้อมูลสูตร!$A120="","",ข้อมูลสูตร!O120)</f>
        <v>0</v>
      </c>
      <c r="O123" s="63">
        <f>IF(ข้อมูลสูตร!$A120="","",ข้อมูลสูตร!P120)</f>
        <v>0</v>
      </c>
      <c r="P123" s="63">
        <f>IF(ข้อมูลสูตร!$A120="","",ข้อมูลสูตร!Q120)</f>
        <v>0</v>
      </c>
      <c r="Q123" s="63">
        <f>IF(ข้อมูลสูตร!$A120="","",ข้อมูลสูตร!R120)</f>
        <v>0</v>
      </c>
      <c r="R123" s="63">
        <f>IF(ข้อมูลสูตร!$A120="","",ข้อมูลสูตร!S120)</f>
        <v>330</v>
      </c>
      <c r="S123" s="63">
        <f>IF(ข้อมูลสูตร!$A120="","",ข้อมูลสูตร!T120)</f>
        <v>0</v>
      </c>
      <c r="T123" s="63">
        <f>IF(ข้อมูลสูตร!$A120="","",ข้อมูลสูตร!U120)</f>
        <v>0</v>
      </c>
      <c r="U123" s="64">
        <f>IF(ข้อมูลสูตร!$A120="","",ข้อมูลสูตร!V120)</f>
        <v>294.2</v>
      </c>
      <c r="V123" s="8">
        <f>IF(ข้อมูลสูตร!$A120="","",ข้อมูลสูตร!W120)</f>
        <v>20.47</v>
      </c>
      <c r="W123" s="64">
        <f>IF(ข้อมูลสูตร!$A120="","",ข้อมูลสูตร!X120)</f>
        <v>55</v>
      </c>
      <c r="X123" s="23">
        <f>IF(ข้อมูลสูตร!$A120="","",ข้อมูลสูตร!Y120)</f>
        <v>0.62781818181818183</v>
      </c>
      <c r="Y123" s="48" t="str">
        <f>IF(ข้อมูลสูตร!$A120="","",ข้อมูลสูตร!Z120)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23" s="48" t="str">
        <f>ข้อมูลสูตร!$A120</f>
        <v>Green Tea|22 oz|75%</v>
      </c>
    </row>
    <row r="124" spans="1:26" x14ac:dyDescent="0.25">
      <c r="A124" s="4" t="str">
        <f>IF(ข้อมูลสูตร!$A121="","",ข้อมูลสูตร!B121)</f>
        <v>Green Tea</v>
      </c>
      <c r="B124" s="4" t="str">
        <f>IF(ข้อมูลสูตร!$A121="","",ข้อมูลสูตร!C121)</f>
        <v>22 oz</v>
      </c>
      <c r="C124" s="4" t="str">
        <f>IF(ข้อมูลสูตร!$A121="","",ข้อมูลสูตร!D121)</f>
        <v>100%</v>
      </c>
      <c r="D124" s="63">
        <f>IF(ข้อมูลสูตร!$A121="","",ข้อมูลสูตร!E121)</f>
        <v>0</v>
      </c>
      <c r="E124" s="63">
        <f>IF(ข้อมูลสูตร!$A121="","",ข้อมูลสูตร!F121)</f>
        <v>185.5</v>
      </c>
      <c r="F124" s="63">
        <f>IF(ข้อมูลสูตร!$A121="","",ข้อมูลสูตร!G121)</f>
        <v>0</v>
      </c>
      <c r="G124" s="63">
        <f>IF(ข้อมูลสูตร!$A121="","",ข้อมูลสูตร!H121)</f>
        <v>44</v>
      </c>
      <c r="H124" s="63">
        <f>IF(ข้อมูลสูตร!$A121="","",ข้อมูลสูตร!I121)</f>
        <v>44</v>
      </c>
      <c r="I124" s="63">
        <f>IF(ข้อมูลสูตร!$A121="","",ข้อมูลสูตร!J121)</f>
        <v>23.7</v>
      </c>
      <c r="J124" s="63">
        <f>IF(ข้อมูลสูตร!$A121="","",ข้อมูลสูตร!K121)</f>
        <v>0</v>
      </c>
      <c r="K124" s="63">
        <f>IF(ข้อมูลสูตร!$A121="","",ข้อมูลสูตร!L121)</f>
        <v>0</v>
      </c>
      <c r="L124" s="63">
        <f>IF(ข้อมูลสูตร!$A121="","",ข้อมูลสูตร!M121)</f>
        <v>0</v>
      </c>
      <c r="M124" s="63">
        <f>IF(ข้อมูลสูตร!$A121="","",ข้อมูลสูตร!N121)</f>
        <v>0</v>
      </c>
      <c r="N124" s="63">
        <f>IF(ข้อมูลสูตร!$A121="","",ข้อมูลสูตร!O121)</f>
        <v>0</v>
      </c>
      <c r="O124" s="63">
        <f>IF(ข้อมูลสูตร!$A121="","",ข้อมูลสูตร!P121)</f>
        <v>0</v>
      </c>
      <c r="P124" s="63">
        <f>IF(ข้อมูลสูตร!$A121="","",ข้อมูลสูตร!Q121)</f>
        <v>0</v>
      </c>
      <c r="Q124" s="63">
        <f>IF(ข้อมูลสูตร!$A121="","",ข้อมูลสูตร!R121)</f>
        <v>0</v>
      </c>
      <c r="R124" s="63">
        <f>IF(ข้อมูลสูตร!$A121="","",ข้อมูลสูตร!S121)</f>
        <v>330</v>
      </c>
      <c r="S124" s="63">
        <f>IF(ข้อมูลสูตร!$A121="","",ข้อมูลสูตร!T121)</f>
        <v>0</v>
      </c>
      <c r="T124" s="63">
        <f>IF(ข้อมูลสูตร!$A121="","",ข้อมูลสูตร!U121)</f>
        <v>0</v>
      </c>
      <c r="U124" s="64">
        <f>IF(ข้อมูลสูตร!$A121="","",ข้อมูลสูตร!V121)</f>
        <v>297.2</v>
      </c>
      <c r="V124" s="8">
        <f>IF(ข้อมูลสูตร!$A121="","",ข้อมูลสูตร!W121)</f>
        <v>20.64</v>
      </c>
      <c r="W124" s="64">
        <f>IF(ข้อมูลสูตร!$A121="","",ข้อมูลสูตร!X121)</f>
        <v>55</v>
      </c>
      <c r="X124" s="23">
        <f>IF(ข้อมูลสูตร!$A121="","",ข้อมูลสูตร!Y121)</f>
        <v>0.62472727272727269</v>
      </c>
      <c r="Y124" s="48" t="str">
        <f>IF(ข้อมูลสูตร!$A121="","",ข้อมูลสูตร!Z121)</f>
        <v>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124" s="48" t="str">
        <f>ข้อมูลสูตร!$A121</f>
        <v>Green Tea|22 oz|100%</v>
      </c>
    </row>
    <row r="125" spans="1:26" x14ac:dyDescent="0.25">
      <c r="A125" s="4" t="str">
        <f>IF(ข้อมูลสูตร!$A122="","",ข้อมูลสูตร!B122)</f>
        <v>Green Coconut</v>
      </c>
      <c r="B125" s="4" t="str">
        <f>IF(ข้อมูลสูตร!$A122="","",ข้อมูลสูตร!C122)</f>
        <v>16 oz</v>
      </c>
      <c r="C125" s="4" t="str">
        <f>IF(ข้อมูลสูตร!$A122="","",ข้อมูลสูตร!D122)</f>
        <v>0%</v>
      </c>
      <c r="D125" s="63">
        <f>IF(ข้อมูลสูตร!$A122="","",ข้อมูลสูตร!E122)</f>
        <v>0</v>
      </c>
      <c r="E125" s="63">
        <f>IF(ข้อมูลสูตร!$A122="","",ข้อมูลสูตร!F122)</f>
        <v>105</v>
      </c>
      <c r="F125" s="63">
        <f>IF(ข้อมูลสูตร!$A122="","",ข้อมูลสูตร!G122)</f>
        <v>0</v>
      </c>
      <c r="G125" s="63">
        <f>IF(ข้อมูลสูตร!$A122="","",ข้อมูลสูตร!H122)</f>
        <v>10</v>
      </c>
      <c r="H125" s="63">
        <f>IF(ข้อมูลสูตร!$A122="","",ข้อมูลสูตร!I122)</f>
        <v>0</v>
      </c>
      <c r="I125" s="63">
        <f>IF(ข้อมูลสูตร!$A122="","",ข้อมูลสูตร!J122)</f>
        <v>0</v>
      </c>
      <c r="J125" s="63">
        <f>IF(ข้อมูลสูตร!$A122="","",ข้อมูลสูตร!K122)</f>
        <v>0</v>
      </c>
      <c r="K125" s="63">
        <f>IF(ข้อมูลสูตร!$A122="","",ข้อมูลสูตร!L122)</f>
        <v>0</v>
      </c>
      <c r="L125" s="63">
        <f>IF(ข้อมูลสูตร!$A122="","",ข้อมูลสูตร!M122)</f>
        <v>0</v>
      </c>
      <c r="M125" s="63">
        <f>IF(ข้อมูลสูตร!$A122="","",ข้อมูลสูตร!N122)</f>
        <v>95</v>
      </c>
      <c r="N125" s="63">
        <f>IF(ข้อมูลสูตร!$A122="","",ข้อมูลสูตร!O122)</f>
        <v>0</v>
      </c>
      <c r="O125" s="63">
        <f>IF(ข้อมูลสูตร!$A122="","",ข้อมูลสูตร!P122)</f>
        <v>0</v>
      </c>
      <c r="P125" s="63">
        <f>IF(ข้อมูลสูตร!$A122="","",ข้อมูลสูตร!Q122)</f>
        <v>0</v>
      </c>
      <c r="Q125" s="63">
        <f>IF(ข้อมูลสูตร!$A122="","",ข้อมูลสูตร!R122)</f>
        <v>0</v>
      </c>
      <c r="R125" s="63">
        <f>IF(ข้อมูลสูตร!$A122="","",ข้อมูลสูตร!S122)</f>
        <v>220</v>
      </c>
      <c r="S125" s="63">
        <f>IF(ข้อมูลสูตร!$A122="","",ข้อมูลสูตร!T122)</f>
        <v>0</v>
      </c>
      <c r="T125" s="63">
        <f>IF(ข้อมูลสูตร!$A122="","",ข้อมูลสูตร!U122)</f>
        <v>0</v>
      </c>
      <c r="U125" s="64">
        <f>IF(ข้อมูลสูตร!$A122="","",ข้อมูลสูตร!V122)</f>
        <v>210</v>
      </c>
      <c r="V125" s="8">
        <f>IF(ข้อมูลสูตร!$A122="","",ข้อมูลสูตร!W122)</f>
        <v>17.36</v>
      </c>
      <c r="W125" s="64">
        <f>IF(ข้อมูลสูตร!$A122="","",ข้อมูลสูตร!X122)</f>
        <v>59</v>
      </c>
      <c r="X125" s="23">
        <f>IF(ข้อมูลสูตร!$A122="","",ข้อมูลสูตร!Y122)</f>
        <v>0.70576271186440676</v>
      </c>
      <c r="Y125" s="48" t="str">
        <f>IF(ข้อมูลสูตร!$A122="","",ข้อมูลสูตร!Z122)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25" s="48" t="str">
        <f>ข้อมูลสูตร!$A122</f>
        <v>Green Coconut|16 oz|0%</v>
      </c>
    </row>
    <row r="126" spans="1:26" x14ac:dyDescent="0.25">
      <c r="A126" s="4" t="str">
        <f>IF(ข้อมูลสูตร!$A123="","",ข้อมูลสูตร!B123)</f>
        <v>Green Coconut</v>
      </c>
      <c r="B126" s="4" t="str">
        <f>IF(ข้อมูลสูตร!$A123="","",ข้อมูลสูตร!C123)</f>
        <v>16 oz</v>
      </c>
      <c r="C126" s="4" t="str">
        <f>IF(ข้อมูลสูตร!$A123="","",ข้อมูลสูตร!D123)</f>
        <v>25%</v>
      </c>
      <c r="D126" s="63">
        <f>IF(ข้อมูลสูตร!$A123="","",ข้อมูลสูตร!E123)</f>
        <v>0</v>
      </c>
      <c r="E126" s="63">
        <f>IF(ข้อมูลสูตร!$A123="","",ข้อมูลสูตร!F123)</f>
        <v>105</v>
      </c>
      <c r="F126" s="63">
        <f>IF(ข้อมูลสูตร!$A123="","",ข้อมูลสูตร!G123)</f>
        <v>0</v>
      </c>
      <c r="G126" s="63">
        <f>IF(ข้อมูลสูตร!$A123="","",ข้อมูลสูตร!H123)</f>
        <v>10</v>
      </c>
      <c r="H126" s="63">
        <f>IF(ข้อมูลสูตร!$A123="","",ข้อมูลสูตร!I123)</f>
        <v>5</v>
      </c>
      <c r="I126" s="63">
        <f>IF(ข้อมูลสูตร!$A123="","",ข้อมูลสูตร!J123)</f>
        <v>13.4</v>
      </c>
      <c r="J126" s="63">
        <f>IF(ข้อมูลสูตร!$A123="","",ข้อมูลสูตร!K123)</f>
        <v>0</v>
      </c>
      <c r="K126" s="63">
        <f>IF(ข้อมูลสูตร!$A123="","",ข้อมูลสูตร!L123)</f>
        <v>0</v>
      </c>
      <c r="L126" s="63">
        <f>IF(ข้อมูลสูตร!$A123="","",ข้อมูลสูตร!M123)</f>
        <v>0</v>
      </c>
      <c r="M126" s="63">
        <f>IF(ข้อมูลสูตร!$A123="","",ข้อมูลสูตร!N123)</f>
        <v>81.599999999999994</v>
      </c>
      <c r="N126" s="63">
        <f>IF(ข้อมูลสูตร!$A123="","",ข้อมูลสูตร!O123)</f>
        <v>0</v>
      </c>
      <c r="O126" s="63">
        <f>IF(ข้อมูลสูตร!$A123="","",ข้อมูลสูตร!P123)</f>
        <v>0</v>
      </c>
      <c r="P126" s="63">
        <f>IF(ข้อมูลสูตร!$A123="","",ข้อมูลสูตร!Q123)</f>
        <v>0</v>
      </c>
      <c r="Q126" s="63">
        <f>IF(ข้อมูลสูตร!$A123="","",ข้อมูลสูตร!R123)</f>
        <v>0</v>
      </c>
      <c r="R126" s="63">
        <f>IF(ข้อมูลสูตร!$A123="","",ข้อมูลสูตร!S123)</f>
        <v>220</v>
      </c>
      <c r="S126" s="63">
        <f>IF(ข้อมูลสูตร!$A123="","",ข้อมูลสูตร!T123)</f>
        <v>0</v>
      </c>
      <c r="T126" s="63">
        <f>IF(ข้อมูลสูตร!$A123="","",ข้อมูลสูตร!U123)</f>
        <v>0</v>
      </c>
      <c r="U126" s="64">
        <f>IF(ข้อมูลสูตร!$A123="","",ข้อมูลสูตร!V123)</f>
        <v>215</v>
      </c>
      <c r="V126" s="8">
        <f>IF(ข้อมูลสูตร!$A123="","",ข้อมูลสูตร!W123)</f>
        <v>16.95</v>
      </c>
      <c r="W126" s="64">
        <f>IF(ข้อมูลสูตร!$A123="","",ข้อมูลสูตร!X123)</f>
        <v>59</v>
      </c>
      <c r="X126" s="23">
        <f>IF(ข้อมูลสูตร!$A123="","",ข้อมูลสูตร!Y123)</f>
        <v>0.71271186440677958</v>
      </c>
      <c r="Y126" s="48" t="str">
        <f>IF(ข้อมูลสูตร!$A123="","",ข้อมูลสูตร!Z123)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26" s="48" t="str">
        <f>ข้อมูลสูตร!$A123</f>
        <v>Green Coconut|16 oz|25%</v>
      </c>
    </row>
    <row r="127" spans="1:26" x14ac:dyDescent="0.25">
      <c r="A127" s="4" t="str">
        <f>IF(ข้อมูลสูตร!$A124="","",ข้อมูลสูตร!B124)</f>
        <v>Green Coconut</v>
      </c>
      <c r="B127" s="4" t="str">
        <f>IF(ข้อมูลสูตร!$A124="","",ข้อมูลสูตร!C124)</f>
        <v>16 oz</v>
      </c>
      <c r="C127" s="4" t="str">
        <f>IF(ข้อมูลสูตร!$A124="","",ข้อมูลสูตร!D124)</f>
        <v>50%</v>
      </c>
      <c r="D127" s="63">
        <f>IF(ข้อมูลสูตร!$A124="","",ข้อมูลสูตร!E124)</f>
        <v>0</v>
      </c>
      <c r="E127" s="63">
        <f>IF(ข้อมูลสูตร!$A124="","",ข้อมูลสูตร!F124)</f>
        <v>105</v>
      </c>
      <c r="F127" s="63">
        <f>IF(ข้อมูลสูตร!$A124="","",ข้อมูลสูตร!G124)</f>
        <v>0</v>
      </c>
      <c r="G127" s="63">
        <f>IF(ข้อมูลสูตร!$A124="","",ข้อมูลสูตร!H124)</f>
        <v>10</v>
      </c>
      <c r="H127" s="63">
        <f>IF(ข้อมูลสูตร!$A124="","",ข้อมูลสูตร!I124)</f>
        <v>10</v>
      </c>
      <c r="I127" s="63">
        <f>IF(ข้อมูลสูตร!$A124="","",ข้อมูลสูตร!J124)</f>
        <v>13.4</v>
      </c>
      <c r="J127" s="63">
        <f>IF(ข้อมูลสูตร!$A124="","",ข้อมูลสูตร!K124)</f>
        <v>0</v>
      </c>
      <c r="K127" s="63">
        <f>IF(ข้อมูลสูตร!$A124="","",ข้อมูลสูตร!L124)</f>
        <v>0</v>
      </c>
      <c r="L127" s="63">
        <f>IF(ข้อมูลสูตร!$A124="","",ข้อมูลสูตร!M124)</f>
        <v>0</v>
      </c>
      <c r="M127" s="63">
        <f>IF(ข้อมูลสูตร!$A124="","",ข้อมูลสูตร!N124)</f>
        <v>81.599999999999994</v>
      </c>
      <c r="N127" s="63">
        <f>IF(ข้อมูลสูตร!$A124="","",ข้อมูลสูตร!O124)</f>
        <v>0</v>
      </c>
      <c r="O127" s="63">
        <f>IF(ข้อมูลสูตร!$A124="","",ข้อมูลสูตร!P124)</f>
        <v>0</v>
      </c>
      <c r="P127" s="63">
        <f>IF(ข้อมูลสูตร!$A124="","",ข้อมูลสูตร!Q124)</f>
        <v>0</v>
      </c>
      <c r="Q127" s="63">
        <f>IF(ข้อมูลสูตร!$A124="","",ข้อมูลสูตร!R124)</f>
        <v>0</v>
      </c>
      <c r="R127" s="63">
        <f>IF(ข้อมูลสูตร!$A124="","",ข้อมูลสูตร!S124)</f>
        <v>220</v>
      </c>
      <c r="S127" s="63">
        <f>IF(ข้อมูลสูตร!$A124="","",ข้อมูลสูตร!T124)</f>
        <v>0</v>
      </c>
      <c r="T127" s="63">
        <f>IF(ข้อมูลสูตร!$A124="","",ข้อมูลสูตร!U124)</f>
        <v>0</v>
      </c>
      <c r="U127" s="64">
        <f>IF(ข้อมูลสูตร!$A124="","",ข้อมูลสูตร!V124)</f>
        <v>220</v>
      </c>
      <c r="V127" s="8">
        <f>IF(ข้อมูลสูตร!$A124="","",ข้อมูลสูตร!W124)</f>
        <v>17.29</v>
      </c>
      <c r="W127" s="64">
        <f>IF(ข้อมูลสูตร!$A124="","",ข้อมูลสูตร!X124)</f>
        <v>59</v>
      </c>
      <c r="X127" s="23">
        <f>IF(ข้อมูลสูตร!$A124="","",ข้อมูลสูตร!Y124)</f>
        <v>0.70694915254237289</v>
      </c>
      <c r="Y127" s="48" t="str">
        <f>IF(ข้อมูลสูตร!$A124="","",ข้อมูลสูตร!Z124)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27" s="48" t="str">
        <f>ข้อมูลสูตร!$A124</f>
        <v>Green Coconut|16 oz|50%</v>
      </c>
    </row>
    <row r="128" spans="1:26" x14ac:dyDescent="0.25">
      <c r="A128" s="4" t="str">
        <f>IF(ข้อมูลสูตร!$A125="","",ข้อมูลสูตร!B125)</f>
        <v>Green Coconut</v>
      </c>
      <c r="B128" s="4" t="str">
        <f>IF(ข้อมูลสูตร!$A125="","",ข้อมูลสูตร!C125)</f>
        <v>16 oz</v>
      </c>
      <c r="C128" s="4" t="str">
        <f>IF(ข้อมูลสูตร!$A125="","",ข้อมูลสูตร!D125)</f>
        <v>75%</v>
      </c>
      <c r="D128" s="63">
        <f>IF(ข้อมูลสูตร!$A125="","",ข้อมูลสูตร!E125)</f>
        <v>0</v>
      </c>
      <c r="E128" s="63">
        <f>IF(ข้อมูลสูตร!$A125="","",ข้อมูลสูตร!F125)</f>
        <v>105</v>
      </c>
      <c r="F128" s="63">
        <f>IF(ข้อมูลสูตร!$A125="","",ข้อมูลสูตร!G125)</f>
        <v>0</v>
      </c>
      <c r="G128" s="63">
        <f>IF(ข้อมูลสูตร!$A125="","",ข้อมูลสูตร!H125)</f>
        <v>10</v>
      </c>
      <c r="H128" s="63">
        <f>IF(ข้อมูลสูตร!$A125="","",ข้อมูลสูตร!I125)</f>
        <v>15</v>
      </c>
      <c r="I128" s="63">
        <f>IF(ข้อมูลสูตร!$A125="","",ข้อมูลสูตร!J125)</f>
        <v>13.4</v>
      </c>
      <c r="J128" s="63">
        <f>IF(ข้อมูลสูตร!$A125="","",ข้อมูลสูตร!K125)</f>
        <v>0</v>
      </c>
      <c r="K128" s="63">
        <f>IF(ข้อมูลสูตร!$A125="","",ข้อมูลสูตร!L125)</f>
        <v>0</v>
      </c>
      <c r="L128" s="63">
        <f>IF(ข้อมูลสูตร!$A125="","",ข้อมูลสูตร!M125)</f>
        <v>0</v>
      </c>
      <c r="M128" s="63">
        <f>IF(ข้อมูลสูตร!$A125="","",ข้อมูลสูตร!N125)</f>
        <v>81.599999999999994</v>
      </c>
      <c r="N128" s="63">
        <f>IF(ข้อมูลสูตร!$A125="","",ข้อมูลสูตร!O125)</f>
        <v>0</v>
      </c>
      <c r="O128" s="63">
        <f>IF(ข้อมูลสูตร!$A125="","",ข้อมูลสูตร!P125)</f>
        <v>0</v>
      </c>
      <c r="P128" s="63">
        <f>IF(ข้อมูลสูตร!$A125="","",ข้อมูลสูตร!Q125)</f>
        <v>0</v>
      </c>
      <c r="Q128" s="63">
        <f>IF(ข้อมูลสูตร!$A125="","",ข้อมูลสูตร!R125)</f>
        <v>0</v>
      </c>
      <c r="R128" s="63">
        <f>IF(ข้อมูลสูตร!$A125="","",ข้อมูลสูตร!S125)</f>
        <v>220</v>
      </c>
      <c r="S128" s="63">
        <f>IF(ข้อมูลสูตร!$A125="","",ข้อมูลสูตร!T125)</f>
        <v>0</v>
      </c>
      <c r="T128" s="63">
        <f>IF(ข้อมูลสูตร!$A125="","",ข้อมูลสูตร!U125)</f>
        <v>0</v>
      </c>
      <c r="U128" s="64">
        <f>IF(ข้อมูลสูตร!$A125="","",ข้อมูลสูตร!V125)</f>
        <v>225</v>
      </c>
      <c r="V128" s="8">
        <f>IF(ข้อมูลสูตร!$A125="","",ข้อมูลสูตร!W125)</f>
        <v>17.64</v>
      </c>
      <c r="W128" s="64">
        <f>IF(ข้อมูลสูตร!$A125="","",ข้อมูลสูตร!X125)</f>
        <v>59</v>
      </c>
      <c r="X128" s="23">
        <f>IF(ข้อมูลสูตร!$A125="","",ข้อมูลสูตร!Y125)</f>
        <v>0.70101694915254231</v>
      </c>
      <c r="Y128" s="48" t="str">
        <f>IF(ข้อมูลสูตร!$A125="","",ข้อมูลสูตร!Z125)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28" s="48" t="str">
        <f>ข้อมูลสูตร!$A125</f>
        <v>Green Coconut|16 oz|75%</v>
      </c>
    </row>
    <row r="129" spans="1:26" x14ac:dyDescent="0.25">
      <c r="A129" s="4" t="str">
        <f>IF(ข้อมูลสูตร!$A126="","",ข้อมูลสูตร!B126)</f>
        <v>Green Coconut</v>
      </c>
      <c r="B129" s="4" t="str">
        <f>IF(ข้อมูลสูตร!$A126="","",ข้อมูลสูตร!C126)</f>
        <v>16 oz</v>
      </c>
      <c r="C129" s="4" t="str">
        <f>IF(ข้อมูลสูตร!$A126="","",ข้อมูลสูตร!D126)</f>
        <v>100%</v>
      </c>
      <c r="D129" s="63">
        <f>IF(ข้อมูลสูตร!$A126="","",ข้อมูลสูตร!E126)</f>
        <v>0</v>
      </c>
      <c r="E129" s="63">
        <f>IF(ข้อมูลสูตร!$A126="","",ข้อมูลสูตร!F126)</f>
        <v>105</v>
      </c>
      <c r="F129" s="63">
        <f>IF(ข้อมูลสูตร!$A126="","",ข้อมูลสูตร!G126)</f>
        <v>0</v>
      </c>
      <c r="G129" s="63">
        <f>IF(ข้อมูลสูตร!$A126="","",ข้อมูลสูตร!H126)</f>
        <v>10</v>
      </c>
      <c r="H129" s="63">
        <f>IF(ข้อมูลสูตร!$A126="","",ข้อมูลสูตร!I126)</f>
        <v>20</v>
      </c>
      <c r="I129" s="63">
        <f>IF(ข้อมูลสูตร!$A126="","",ข้อมูลสูตร!J126)</f>
        <v>13.4</v>
      </c>
      <c r="J129" s="63">
        <f>IF(ข้อมูลสูตร!$A126="","",ข้อมูลสูตร!K126)</f>
        <v>0</v>
      </c>
      <c r="K129" s="63">
        <f>IF(ข้อมูลสูตร!$A126="","",ข้อมูลสูตร!L126)</f>
        <v>0</v>
      </c>
      <c r="L129" s="63">
        <f>IF(ข้อมูลสูตร!$A126="","",ข้อมูลสูตร!M126)</f>
        <v>0</v>
      </c>
      <c r="M129" s="63">
        <f>IF(ข้อมูลสูตร!$A126="","",ข้อมูลสูตร!N126)</f>
        <v>81.599999999999994</v>
      </c>
      <c r="N129" s="63">
        <f>IF(ข้อมูลสูตร!$A126="","",ข้อมูลสูตร!O126)</f>
        <v>0</v>
      </c>
      <c r="O129" s="63">
        <f>IF(ข้อมูลสูตร!$A126="","",ข้อมูลสูตร!P126)</f>
        <v>0</v>
      </c>
      <c r="P129" s="63">
        <f>IF(ข้อมูลสูตร!$A126="","",ข้อมูลสูตร!Q126)</f>
        <v>0</v>
      </c>
      <c r="Q129" s="63">
        <f>IF(ข้อมูลสูตร!$A126="","",ข้อมูลสูตร!R126)</f>
        <v>0</v>
      </c>
      <c r="R129" s="63">
        <f>IF(ข้อมูลสูตร!$A126="","",ข้อมูลสูตร!S126)</f>
        <v>220</v>
      </c>
      <c r="S129" s="63">
        <f>IF(ข้อมูลสูตร!$A126="","",ข้อมูลสูตร!T126)</f>
        <v>0</v>
      </c>
      <c r="T129" s="63">
        <f>IF(ข้อมูลสูตร!$A126="","",ข้อมูลสูตร!U126)</f>
        <v>0</v>
      </c>
      <c r="U129" s="64">
        <f>IF(ข้อมูลสูตร!$A126="","",ข้อมูลสูตร!V126)</f>
        <v>230</v>
      </c>
      <c r="V129" s="8">
        <f>IF(ข้อมูลสูตร!$A126="","",ข้อมูลสูตร!W126)</f>
        <v>17.989999999999998</v>
      </c>
      <c r="W129" s="64">
        <f>IF(ข้อมูลสูตร!$A126="","",ข้อมูลสูตร!X126)</f>
        <v>59</v>
      </c>
      <c r="X129" s="23">
        <f>IF(ข้อมูลสูตร!$A126="","",ข้อมูลสูตร!Y126)</f>
        <v>0.69508474576271195</v>
      </c>
      <c r="Y129" s="48" t="str">
        <f>IF(ข้อมูลสูตร!$A126="","",ข้อมูลสูตร!Z126)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29" s="48" t="str">
        <f>ข้อมูลสูตร!$A126</f>
        <v>Green Coconut|16 oz|100%</v>
      </c>
    </row>
    <row r="130" spans="1:26" x14ac:dyDescent="0.25">
      <c r="A130" s="4" t="str">
        <f>IF(ข้อมูลสูตร!$A127="","",ข้อมูลสูตร!B127)</f>
        <v>Green Coconut</v>
      </c>
      <c r="B130" s="4" t="str">
        <f>IF(ข้อมูลสูตร!$A127="","",ข้อมูลสูตร!C127)</f>
        <v>22 oz</v>
      </c>
      <c r="C130" s="4" t="str">
        <f>IF(ข้อมูลสูตร!$A127="","",ข้อมูลสูตร!D127)</f>
        <v>0%</v>
      </c>
      <c r="D130" s="63">
        <f>IF(ข้อมูลสูตร!$A127="","",ข้อมูลสูตร!E127)</f>
        <v>0</v>
      </c>
      <c r="E130" s="63">
        <f>IF(ข้อมูลสูตร!$A127="","",ข้อมูลสูตร!F127)</f>
        <v>144.5</v>
      </c>
      <c r="F130" s="63">
        <f>IF(ข้อมูลสูตร!$A127="","",ข้อมูลสูตร!G127)</f>
        <v>0</v>
      </c>
      <c r="G130" s="63">
        <f>IF(ข้อมูลสูตร!$A127="","",ข้อมูลสูตร!H127)</f>
        <v>14</v>
      </c>
      <c r="H130" s="63">
        <f>IF(ข้อมูลสูตร!$A127="","",ข้อมูลสูตร!I127)</f>
        <v>0</v>
      </c>
      <c r="I130" s="63">
        <f>IF(ข้อมูลสูตร!$A127="","",ข้อมูลสูตร!J127)</f>
        <v>0</v>
      </c>
      <c r="J130" s="63">
        <f>IF(ข้อมูลสูตร!$A127="","",ข้อมูลสูตร!K127)</f>
        <v>0</v>
      </c>
      <c r="K130" s="63">
        <f>IF(ข้อมูลสูตร!$A127="","",ข้อมูลสูตร!L127)</f>
        <v>0</v>
      </c>
      <c r="L130" s="63">
        <f>IF(ข้อมูลสูตร!$A127="","",ข้อมูลสูตร!M127)</f>
        <v>0</v>
      </c>
      <c r="M130" s="63">
        <f>IF(ข้อมูลสูตร!$A127="","",ข้อมูลสูตร!N127)</f>
        <v>130.5</v>
      </c>
      <c r="N130" s="63">
        <f>IF(ข้อมูลสูตร!$A127="","",ข้อมูลสูตร!O127)</f>
        <v>0</v>
      </c>
      <c r="O130" s="63">
        <f>IF(ข้อมูลสูตร!$A127="","",ข้อมูลสูตร!P127)</f>
        <v>0</v>
      </c>
      <c r="P130" s="63">
        <f>IF(ข้อมูลสูตร!$A127="","",ข้อมูลสูตร!Q127)</f>
        <v>0</v>
      </c>
      <c r="Q130" s="63">
        <f>IF(ข้อมูลสูตร!$A127="","",ข้อมูลสูตร!R127)</f>
        <v>0</v>
      </c>
      <c r="R130" s="63">
        <f>IF(ข้อมูลสูตร!$A127="","",ข้อมูลสูตร!S127)</f>
        <v>300</v>
      </c>
      <c r="S130" s="63">
        <f>IF(ข้อมูลสูตร!$A127="","",ข้อมูลสูตร!T127)</f>
        <v>0</v>
      </c>
      <c r="T130" s="63">
        <f>IF(ข้อมูลสูตร!$A127="","",ข้อมูลสูตร!U127)</f>
        <v>0</v>
      </c>
      <c r="U130" s="64">
        <f>IF(ข้อมูลสูตร!$A127="","",ข้อมูลสูตร!V127)</f>
        <v>289</v>
      </c>
      <c r="V130" s="8">
        <f>IF(ข้อมูลสูตร!$A127="","",ข้อมูลสูตร!W127)</f>
        <v>23.15</v>
      </c>
      <c r="W130" s="64">
        <f>IF(ข้อมูลสูตร!$A127="","",ข้อมูลสูตร!X127)</f>
        <v>69</v>
      </c>
      <c r="X130" s="23">
        <f>IF(ข้อมูลสูตร!$A127="","",ข้อมูลสูตร!Y127)</f>
        <v>0.66449275362318838</v>
      </c>
      <c r="Y130" s="48" t="str">
        <f>IF(ข้อมูลสูตร!$A127="","",ข้อมูลสูตร!Z127)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30" s="48" t="str">
        <f>ข้อมูลสูตร!$A127</f>
        <v>Green Coconut|22 oz|0%</v>
      </c>
    </row>
    <row r="131" spans="1:26" x14ac:dyDescent="0.25">
      <c r="A131" s="4" t="str">
        <f>IF(ข้อมูลสูตร!$A128="","",ข้อมูลสูตร!B128)</f>
        <v>Green Coconut</v>
      </c>
      <c r="B131" s="4" t="str">
        <f>IF(ข้อมูลสูตร!$A128="","",ข้อมูลสูตร!C128)</f>
        <v>22 oz</v>
      </c>
      <c r="C131" s="4" t="str">
        <f>IF(ข้อมูลสูตร!$A128="","",ข้อมูลสูตร!D128)</f>
        <v>25%</v>
      </c>
      <c r="D131" s="63">
        <f>IF(ข้อมูลสูตร!$A128="","",ข้อมูลสูตร!E128)</f>
        <v>0</v>
      </c>
      <c r="E131" s="63">
        <f>IF(ข้อมูลสูตร!$A128="","",ข้อมูลสูตร!F128)</f>
        <v>144.5</v>
      </c>
      <c r="F131" s="63">
        <f>IF(ข้อมูลสูตร!$A128="","",ข้อมูลสูตร!G128)</f>
        <v>0</v>
      </c>
      <c r="G131" s="63">
        <f>IF(ข้อมูลสูตร!$A128="","",ข้อมูลสูตร!H128)</f>
        <v>14</v>
      </c>
      <c r="H131" s="63">
        <f>IF(ข้อมูลสูตร!$A128="","",ข้อมูลสูตร!I128)</f>
        <v>7</v>
      </c>
      <c r="I131" s="63">
        <f>IF(ข้อมูลสูตร!$A128="","",ข้อมูลสูตร!J128)</f>
        <v>18.5</v>
      </c>
      <c r="J131" s="63">
        <f>IF(ข้อมูลสูตร!$A128="","",ข้อมูลสูตร!K128)</f>
        <v>0</v>
      </c>
      <c r="K131" s="63">
        <f>IF(ข้อมูลสูตร!$A128="","",ข้อมูลสูตร!L128)</f>
        <v>0</v>
      </c>
      <c r="L131" s="63">
        <f>IF(ข้อมูลสูตร!$A128="","",ข้อมูลสูตร!M128)</f>
        <v>0</v>
      </c>
      <c r="M131" s="63">
        <f>IF(ข้อมูลสูตร!$A128="","",ข้อมูลสูตร!N128)</f>
        <v>112</v>
      </c>
      <c r="N131" s="63">
        <f>IF(ข้อมูลสูตร!$A128="","",ข้อมูลสูตร!O128)</f>
        <v>0</v>
      </c>
      <c r="O131" s="63">
        <f>IF(ข้อมูลสูตร!$A128="","",ข้อมูลสูตร!P128)</f>
        <v>0</v>
      </c>
      <c r="P131" s="63">
        <f>IF(ข้อมูลสูตร!$A128="","",ข้อมูลสูตร!Q128)</f>
        <v>0</v>
      </c>
      <c r="Q131" s="63">
        <f>IF(ข้อมูลสูตร!$A128="","",ข้อมูลสูตร!R128)</f>
        <v>0</v>
      </c>
      <c r="R131" s="63">
        <f>IF(ข้อมูลสูตร!$A128="","",ข้อมูลสูตร!S128)</f>
        <v>300</v>
      </c>
      <c r="S131" s="63">
        <f>IF(ข้อมูลสูตร!$A128="","",ข้อมูลสูตร!T128)</f>
        <v>0</v>
      </c>
      <c r="T131" s="63">
        <f>IF(ข้อมูลสูตร!$A128="","",ข้อมูลสูตร!U128)</f>
        <v>0</v>
      </c>
      <c r="U131" s="64">
        <f>IF(ข้อมูลสูตร!$A128="","",ข้อมูลสูตร!V128)</f>
        <v>296</v>
      </c>
      <c r="V131" s="8">
        <f>IF(ข้อมูลสูตร!$A128="","",ข้อมูลสูตร!W128)</f>
        <v>22.58</v>
      </c>
      <c r="W131" s="64">
        <f>IF(ข้อมูลสูตร!$A128="","",ข้อมูลสูตร!X128)</f>
        <v>69</v>
      </c>
      <c r="X131" s="23">
        <f>IF(ข้อมูลสูตร!$A128="","",ข้อมูลสูตร!Y128)</f>
        <v>0.67275362318840581</v>
      </c>
      <c r="Y131" s="48" t="str">
        <f>IF(ข้อมูลสูตร!$A128="","",ข้อมูลสูตร!Z128)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31" s="48" t="str">
        <f>ข้อมูลสูตร!$A128</f>
        <v>Green Coconut|22 oz|25%</v>
      </c>
    </row>
    <row r="132" spans="1:26" x14ac:dyDescent="0.25">
      <c r="A132" s="4" t="str">
        <f>IF(ข้อมูลสูตร!$A129="","",ข้อมูลสูตร!B129)</f>
        <v>Green Coconut</v>
      </c>
      <c r="B132" s="4" t="str">
        <f>IF(ข้อมูลสูตร!$A129="","",ข้อมูลสูตร!C129)</f>
        <v>22 oz</v>
      </c>
      <c r="C132" s="4" t="str">
        <f>IF(ข้อมูลสูตร!$A129="","",ข้อมูลสูตร!D129)</f>
        <v>50%</v>
      </c>
      <c r="D132" s="63">
        <f>IF(ข้อมูลสูตร!$A129="","",ข้อมูลสูตร!E129)</f>
        <v>0</v>
      </c>
      <c r="E132" s="63">
        <f>IF(ข้อมูลสูตร!$A129="","",ข้อมูลสูตร!F129)</f>
        <v>144.5</v>
      </c>
      <c r="F132" s="63">
        <f>IF(ข้อมูลสูตร!$A129="","",ข้อมูลสูตร!G129)</f>
        <v>0</v>
      </c>
      <c r="G132" s="63">
        <f>IF(ข้อมูลสูตร!$A129="","",ข้อมูลสูตร!H129)</f>
        <v>14</v>
      </c>
      <c r="H132" s="63">
        <f>IF(ข้อมูลสูตร!$A129="","",ข้อมูลสูตร!I129)</f>
        <v>14</v>
      </c>
      <c r="I132" s="63">
        <f>IF(ข้อมูลสูตร!$A129="","",ข้อมูลสูตร!J129)</f>
        <v>18.5</v>
      </c>
      <c r="J132" s="63">
        <f>IF(ข้อมูลสูตร!$A129="","",ข้อมูลสูตร!K129)</f>
        <v>0</v>
      </c>
      <c r="K132" s="63">
        <f>IF(ข้อมูลสูตร!$A129="","",ข้อมูลสูตร!L129)</f>
        <v>0</v>
      </c>
      <c r="L132" s="63">
        <f>IF(ข้อมูลสูตร!$A129="","",ข้อมูลสูตร!M129)</f>
        <v>0</v>
      </c>
      <c r="M132" s="63">
        <f>IF(ข้อมูลสูตร!$A129="","",ข้อมูลสูตร!N129)</f>
        <v>112</v>
      </c>
      <c r="N132" s="63">
        <f>IF(ข้อมูลสูตร!$A129="","",ข้อมูลสูตร!O129)</f>
        <v>0</v>
      </c>
      <c r="O132" s="63">
        <f>IF(ข้อมูลสูตร!$A129="","",ข้อมูลสูตร!P129)</f>
        <v>0</v>
      </c>
      <c r="P132" s="63">
        <f>IF(ข้อมูลสูตร!$A129="","",ข้อมูลสูตร!Q129)</f>
        <v>0</v>
      </c>
      <c r="Q132" s="63">
        <f>IF(ข้อมูลสูตร!$A129="","",ข้อมูลสูตร!R129)</f>
        <v>0</v>
      </c>
      <c r="R132" s="63">
        <f>IF(ข้อมูลสูตร!$A129="","",ข้อมูลสูตร!S129)</f>
        <v>300</v>
      </c>
      <c r="S132" s="63">
        <f>IF(ข้อมูลสูตร!$A129="","",ข้อมูลสูตร!T129)</f>
        <v>0</v>
      </c>
      <c r="T132" s="63">
        <f>IF(ข้อมูลสูตร!$A129="","",ข้อมูลสูตร!U129)</f>
        <v>0</v>
      </c>
      <c r="U132" s="64">
        <f>IF(ข้อมูลสูตร!$A129="","",ข้อมูลสูตร!V129)</f>
        <v>303</v>
      </c>
      <c r="V132" s="8">
        <f>IF(ข้อมูลสูตร!$A129="","",ข้อมูลสูตร!W129)</f>
        <v>23.07</v>
      </c>
      <c r="W132" s="64">
        <f>IF(ข้อมูลสูตร!$A129="","",ข้อมูลสูตร!X129)</f>
        <v>69</v>
      </c>
      <c r="X132" s="23">
        <f>IF(ข้อมูลสูตร!$A129="","",ข้อมูลสูตร!Y129)</f>
        <v>0.66565217391304343</v>
      </c>
      <c r="Y132" s="48" t="str">
        <f>IF(ข้อมูลสูตร!$A129="","",ข้อมูลสูตร!Z129)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32" s="48" t="str">
        <f>ข้อมูลสูตร!$A129</f>
        <v>Green Coconut|22 oz|50%</v>
      </c>
    </row>
    <row r="133" spans="1:26" x14ac:dyDescent="0.25">
      <c r="A133" s="4" t="str">
        <f>IF(ข้อมูลสูตร!$A130="","",ข้อมูลสูตร!B130)</f>
        <v>Green Coconut</v>
      </c>
      <c r="B133" s="4" t="str">
        <f>IF(ข้อมูลสูตร!$A130="","",ข้อมูลสูตร!C130)</f>
        <v>22 oz</v>
      </c>
      <c r="C133" s="4" t="str">
        <f>IF(ข้อมูลสูตร!$A130="","",ข้อมูลสูตร!D130)</f>
        <v>75%</v>
      </c>
      <c r="D133" s="63">
        <f>IF(ข้อมูลสูตร!$A130="","",ข้อมูลสูตร!E130)</f>
        <v>0</v>
      </c>
      <c r="E133" s="63">
        <f>IF(ข้อมูลสูตร!$A130="","",ข้อมูลสูตร!F130)</f>
        <v>144.5</v>
      </c>
      <c r="F133" s="63">
        <f>IF(ข้อมูลสูตร!$A130="","",ข้อมูลสูตร!G130)</f>
        <v>0</v>
      </c>
      <c r="G133" s="63">
        <f>IF(ข้อมูลสูตร!$A130="","",ข้อมูลสูตร!H130)</f>
        <v>14</v>
      </c>
      <c r="H133" s="63">
        <f>IF(ข้อมูลสูตร!$A130="","",ข้อมูลสูตร!I130)</f>
        <v>20.5</v>
      </c>
      <c r="I133" s="63">
        <f>IF(ข้อมูลสูตร!$A130="","",ข้อมูลสูตร!J130)</f>
        <v>18.5</v>
      </c>
      <c r="J133" s="63">
        <f>IF(ข้อมูลสูตร!$A130="","",ข้อมูลสูตร!K130)</f>
        <v>0</v>
      </c>
      <c r="K133" s="63">
        <f>IF(ข้อมูลสูตร!$A130="","",ข้อมูลสูตร!L130)</f>
        <v>0</v>
      </c>
      <c r="L133" s="63">
        <f>IF(ข้อมูลสูตร!$A130="","",ข้อมูลสูตร!M130)</f>
        <v>0</v>
      </c>
      <c r="M133" s="63">
        <f>IF(ข้อมูลสูตร!$A130="","",ข้อมูลสูตร!N130)</f>
        <v>112</v>
      </c>
      <c r="N133" s="63">
        <f>IF(ข้อมูลสูตร!$A130="","",ข้อมูลสูตร!O130)</f>
        <v>0</v>
      </c>
      <c r="O133" s="63">
        <f>IF(ข้อมูลสูตร!$A130="","",ข้อมูลสูตร!P130)</f>
        <v>0</v>
      </c>
      <c r="P133" s="63">
        <f>IF(ข้อมูลสูตร!$A130="","",ข้อมูลสูตร!Q130)</f>
        <v>0</v>
      </c>
      <c r="Q133" s="63">
        <f>IF(ข้อมูลสูตร!$A130="","",ข้อมูลสูตร!R130)</f>
        <v>0</v>
      </c>
      <c r="R133" s="63">
        <f>IF(ข้อมูลสูตร!$A130="","",ข้อมูลสูตร!S130)</f>
        <v>300</v>
      </c>
      <c r="S133" s="63">
        <f>IF(ข้อมูลสูตร!$A130="","",ข้อมูลสูตร!T130)</f>
        <v>0</v>
      </c>
      <c r="T133" s="63">
        <f>IF(ข้อมูลสูตร!$A130="","",ข้อมูลสูตร!U130)</f>
        <v>0</v>
      </c>
      <c r="U133" s="64">
        <f>IF(ข้อมูลสูตร!$A130="","",ข้อมูลสูตร!V130)</f>
        <v>309.5</v>
      </c>
      <c r="V133" s="8">
        <f>IF(ข้อมูลสูตร!$A130="","",ข้อมูลสูตร!W130)</f>
        <v>23.52</v>
      </c>
      <c r="W133" s="64">
        <f>IF(ข้อมูลสูตร!$A130="","",ข้อมูลสูตร!X130)</f>
        <v>69</v>
      </c>
      <c r="X133" s="23">
        <f>IF(ข้อมูลสูตร!$A130="","",ข้อมูลสูตร!Y130)</f>
        <v>0.6591304347826088</v>
      </c>
      <c r="Y133" s="48" t="str">
        <f>IF(ข้อมูลสูตร!$A130="","",ข้อมูลสูตร!Z130)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33" s="48" t="str">
        <f>ข้อมูลสูตร!$A130</f>
        <v>Green Coconut|22 oz|75%</v>
      </c>
    </row>
    <row r="134" spans="1:26" x14ac:dyDescent="0.25">
      <c r="A134" s="4" t="str">
        <f>IF(ข้อมูลสูตร!$A131="","",ข้อมูลสูตร!B131)</f>
        <v>Green Coconut</v>
      </c>
      <c r="B134" s="4" t="str">
        <f>IF(ข้อมูลสูตร!$A131="","",ข้อมูลสูตร!C131)</f>
        <v>22 oz</v>
      </c>
      <c r="C134" s="4" t="str">
        <f>IF(ข้อมูลสูตร!$A131="","",ข้อมูลสูตร!D131)</f>
        <v>100%</v>
      </c>
      <c r="D134" s="63">
        <f>IF(ข้อมูลสูตร!$A131="","",ข้อมูลสูตร!E131)</f>
        <v>0</v>
      </c>
      <c r="E134" s="63">
        <f>IF(ข้อมูลสูตร!$A131="","",ข้อมูลสูตร!F131)</f>
        <v>144.5</v>
      </c>
      <c r="F134" s="63">
        <f>IF(ข้อมูลสูตร!$A131="","",ข้อมูลสูตร!G131)</f>
        <v>0</v>
      </c>
      <c r="G134" s="63">
        <f>IF(ข้อมูลสูตร!$A131="","",ข้อมูลสูตร!H131)</f>
        <v>14</v>
      </c>
      <c r="H134" s="63">
        <f>IF(ข้อมูลสูตร!$A131="","",ข้อมูลสูตร!I131)</f>
        <v>27.5</v>
      </c>
      <c r="I134" s="63">
        <f>IF(ข้อมูลสูตร!$A131="","",ข้อมูลสูตร!J131)</f>
        <v>18.5</v>
      </c>
      <c r="J134" s="63">
        <f>IF(ข้อมูลสูตร!$A131="","",ข้อมูลสูตร!K131)</f>
        <v>0</v>
      </c>
      <c r="K134" s="63">
        <f>IF(ข้อมูลสูตร!$A131="","",ข้อมูลสูตร!L131)</f>
        <v>0</v>
      </c>
      <c r="L134" s="63">
        <f>IF(ข้อมูลสูตร!$A131="","",ข้อมูลสูตร!M131)</f>
        <v>0</v>
      </c>
      <c r="M134" s="63">
        <f>IF(ข้อมูลสูตร!$A131="","",ข้อมูลสูตร!N131)</f>
        <v>112</v>
      </c>
      <c r="N134" s="63">
        <f>IF(ข้อมูลสูตร!$A131="","",ข้อมูลสูตร!O131)</f>
        <v>0</v>
      </c>
      <c r="O134" s="63">
        <f>IF(ข้อมูลสูตร!$A131="","",ข้อมูลสูตร!P131)</f>
        <v>0</v>
      </c>
      <c r="P134" s="63">
        <f>IF(ข้อมูลสูตร!$A131="","",ข้อมูลสูตร!Q131)</f>
        <v>0</v>
      </c>
      <c r="Q134" s="63">
        <f>IF(ข้อมูลสูตร!$A131="","",ข้อมูลสูตร!R131)</f>
        <v>0</v>
      </c>
      <c r="R134" s="63">
        <f>IF(ข้อมูลสูตร!$A131="","",ข้อมูลสูตร!S131)</f>
        <v>300</v>
      </c>
      <c r="S134" s="63">
        <f>IF(ข้อมูลสูตร!$A131="","",ข้อมูลสูตร!T131)</f>
        <v>0</v>
      </c>
      <c r="T134" s="63">
        <f>IF(ข้อมูลสูตร!$A131="","",ข้อมูลสูตร!U131)</f>
        <v>0</v>
      </c>
      <c r="U134" s="64">
        <f>IF(ข้อมูลสูตร!$A131="","",ข้อมูลสูตร!V131)</f>
        <v>316.5</v>
      </c>
      <c r="V134" s="8">
        <f>IF(ข้อมูลสูตร!$A131="","",ข้อมูลสูตร!W131)</f>
        <v>24</v>
      </c>
      <c r="W134" s="64">
        <f>IF(ข้อมูลสูตร!$A131="","",ข้อมูลสูตร!X131)</f>
        <v>69</v>
      </c>
      <c r="X134" s="23">
        <f>IF(ข้อมูลสูตร!$A131="","",ข้อมูลสูตร!Y131)</f>
        <v>0.65217391304347827</v>
      </c>
      <c r="Y134" s="48" t="str">
        <f>IF(ข้อมูลสูตร!$A131="","",ข้อมูลสูตร!Z131)</f>
        <v>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134" s="48" t="str">
        <f>ข้อมูลสูตร!$A131</f>
        <v>Green Coconut|22 oz|100%</v>
      </c>
    </row>
    <row r="135" spans="1:26" x14ac:dyDescent="0.25">
      <c r="A135" s="4" t="str">
        <f>IF(ข้อมูลสูตร!$A132="","",ข้อมูลสูตร!B132)</f>
        <v>Green Honey Milk</v>
      </c>
      <c r="B135" s="4" t="str">
        <f>IF(ข้อมูลสูตร!$A132="","",ข้อมูลสูตร!C132)</f>
        <v>16 oz</v>
      </c>
      <c r="C135" s="4" t="str">
        <f>IF(ข้อมูลสูตร!$A132="","",ข้อมูลสูตร!D132)</f>
        <v>0%</v>
      </c>
      <c r="D135" s="63">
        <f>IF(ข้อมูลสูตร!$A132="","",ข้อมูลสูตร!E132)</f>
        <v>0</v>
      </c>
      <c r="E135" s="63">
        <f>IF(ข้อมูลสูตร!$A132="","",ข้อมูลสูตร!F132)</f>
        <v>130</v>
      </c>
      <c r="F135" s="63">
        <f>IF(ข้อมูลสูตร!$A132="","",ข้อมูลสูตร!G132)</f>
        <v>55</v>
      </c>
      <c r="G135" s="63">
        <f>IF(ข้อมูลสูตร!$A132="","",ข้อมูลสูตร!H132)</f>
        <v>0</v>
      </c>
      <c r="H135" s="63">
        <f>IF(ข้อมูลสูตร!$A132="","",ข้อมูลสูตร!I132)</f>
        <v>0</v>
      </c>
      <c r="I135" s="63">
        <f>IF(ข้อมูลสูตร!$A132="","",ข้อมูลสูตร!J132)</f>
        <v>0</v>
      </c>
      <c r="J135" s="63">
        <f>IF(ข้อมูลสูตร!$A132="","",ข้อมูลสูตร!K132)</f>
        <v>0</v>
      </c>
      <c r="K135" s="63">
        <f>IF(ข้อมูลสูตร!$A132="","",ข้อมูลสูตร!L132)</f>
        <v>0</v>
      </c>
      <c r="L135" s="63">
        <f>IF(ข้อมูลสูตร!$A132="","",ข้อมูลสูตร!M132)</f>
        <v>0</v>
      </c>
      <c r="M135" s="63">
        <f>IF(ข้อมูลสูตร!$A132="","",ข้อมูลสูตร!N132)</f>
        <v>0</v>
      </c>
      <c r="N135" s="63">
        <f>IF(ข้อมูลสูตร!$A132="","",ข้อมูลสูตร!O132)</f>
        <v>0</v>
      </c>
      <c r="O135" s="63">
        <f>IF(ข้อมูลสูตร!$A132="","",ข้อมูลสูตร!P132)</f>
        <v>0</v>
      </c>
      <c r="P135" s="63">
        <f>IF(ข้อมูลสูตร!$A132="","",ข้อมูลสูตร!Q132)</f>
        <v>0</v>
      </c>
      <c r="Q135" s="63">
        <f>IF(ข้อมูลสูตร!$A132="","",ข้อมูลสูตร!R132)</f>
        <v>0</v>
      </c>
      <c r="R135" s="63">
        <f>IF(ข้อมูลสูตร!$A132="","",ข้อมูลสูตร!S132)</f>
        <v>240</v>
      </c>
      <c r="S135" s="63">
        <f>IF(ข้อมูลสูตร!$A132="","",ข้อมูลสูตร!T132)</f>
        <v>0</v>
      </c>
      <c r="T135" s="63">
        <f>IF(ข้อมูลสูตร!$A132="","",ข้อมูลสูตร!U132)</f>
        <v>0</v>
      </c>
      <c r="U135" s="64">
        <f>IF(ข้อมูลสูตร!$A132="","",ข้อมูลสูตร!V132)</f>
        <v>185</v>
      </c>
      <c r="V135" s="8">
        <f>IF(ข้อมูลสูตร!$A132="","",ข้อมูลสูตร!W132)</f>
        <v>13.16</v>
      </c>
      <c r="W135" s="64">
        <f>IF(ข้อมูลสูตร!$A132="","",ข้อมูลสูตร!X132)</f>
        <v>50</v>
      </c>
      <c r="X135" s="23">
        <f>IF(ข้อมูลสูตร!$A132="","",ข้อมูลสูตร!Y132)</f>
        <v>0.73680000000000012</v>
      </c>
      <c r="Y135" s="48" t="str">
        <f>IF(ข้อมูลสูตร!$A132="","",ข้อมูลสูตร!Z132)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35" s="48" t="str">
        <f>ข้อมูลสูตร!$A132</f>
        <v>Green Honey Milk|16 oz|0%</v>
      </c>
    </row>
    <row r="136" spans="1:26" x14ac:dyDescent="0.25">
      <c r="A136" s="4" t="str">
        <f>IF(ข้อมูลสูตร!$A133="","",ข้อมูลสูตร!B133)</f>
        <v>Green Honey Milk</v>
      </c>
      <c r="B136" s="4" t="str">
        <f>IF(ข้อมูลสูตร!$A133="","",ข้อมูลสูตร!C133)</f>
        <v>16 oz</v>
      </c>
      <c r="C136" s="4" t="str">
        <f>IF(ข้อมูลสูตร!$A133="","",ข้อมูลสูตร!D133)</f>
        <v>25%</v>
      </c>
      <c r="D136" s="63">
        <f>IF(ข้อมูลสูตร!$A133="","",ข้อมูลสูตร!E133)</f>
        <v>0</v>
      </c>
      <c r="E136" s="63">
        <f>IF(ข้อมูลสูตร!$A133="","",ข้อมูลสูตร!F133)</f>
        <v>130</v>
      </c>
      <c r="F136" s="63">
        <f>IF(ข้อมูลสูตร!$A133="","",ข้อมูลสูตร!G133)</f>
        <v>38.4</v>
      </c>
      <c r="G136" s="63">
        <f>IF(ข้อมูลสูตร!$A133="","",ข้อมูลสูตร!H133)</f>
        <v>0</v>
      </c>
      <c r="H136" s="63">
        <f>IF(ข้อมูลสูตร!$A133="","",ข้อมูลสูตร!I133)</f>
        <v>0</v>
      </c>
      <c r="I136" s="63">
        <f>IF(ข้อมูลสูตร!$A133="","",ข้อมูลสูตร!J133)</f>
        <v>19.600000000000001</v>
      </c>
      <c r="J136" s="63">
        <f>IF(ข้อมูลสูตร!$A133="","",ข้อมูลสูตร!K133)</f>
        <v>4</v>
      </c>
      <c r="K136" s="63">
        <f>IF(ข้อมูลสูตร!$A133="","",ข้อมูลสูตร!L133)</f>
        <v>0</v>
      </c>
      <c r="L136" s="63">
        <f>IF(ข้อมูลสูตร!$A133="","",ข้อมูลสูตร!M133)</f>
        <v>0</v>
      </c>
      <c r="M136" s="63">
        <f>IF(ข้อมูลสูตร!$A133="","",ข้อมูลสูตร!N133)</f>
        <v>0</v>
      </c>
      <c r="N136" s="63">
        <f>IF(ข้อมูลสูตร!$A133="","",ข้อมูลสูตร!O133)</f>
        <v>0</v>
      </c>
      <c r="O136" s="63">
        <f>IF(ข้อมูลสูตร!$A133="","",ข้อมูลสูตร!P133)</f>
        <v>0</v>
      </c>
      <c r="P136" s="63">
        <f>IF(ข้อมูลสูตร!$A133="","",ข้อมูลสูตร!Q133)</f>
        <v>0</v>
      </c>
      <c r="Q136" s="63">
        <f>IF(ข้อมูลสูตร!$A133="","",ข้อมูลสูตร!R133)</f>
        <v>0</v>
      </c>
      <c r="R136" s="63">
        <f>IF(ข้อมูลสูตร!$A133="","",ข้อมูลสูตร!S133)</f>
        <v>240</v>
      </c>
      <c r="S136" s="63">
        <f>IF(ข้อมูลสูตร!$A133="","",ข้อมูลสูตร!T133)</f>
        <v>0</v>
      </c>
      <c r="T136" s="63">
        <f>IF(ข้อมูลสูตร!$A133="","",ข้อมูลสูตร!U133)</f>
        <v>0</v>
      </c>
      <c r="U136" s="64">
        <f>IF(ข้อมูลสูตร!$A133="","",ข้อมูลสูตร!V133)</f>
        <v>192</v>
      </c>
      <c r="V136" s="8">
        <f>IF(ข้อมูลสูตร!$A133="","",ข้อมูลสูตร!W133)</f>
        <v>13.63</v>
      </c>
      <c r="W136" s="64">
        <f>IF(ข้อมูลสูตร!$A133="","",ข้อมูลสูตร!X133)</f>
        <v>50</v>
      </c>
      <c r="X136" s="23">
        <f>IF(ข้อมูลสูตร!$A133="","",ข้อมูลสูตร!Y133)</f>
        <v>0.72739999999999994</v>
      </c>
      <c r="Y136" s="48" t="str">
        <f>IF(ข้อมูลสูตร!$A133="","",ข้อมูลสูตร!Z133)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36" s="48" t="str">
        <f>ข้อมูลสูตร!$A133</f>
        <v>Green Honey Milk|16 oz|25%</v>
      </c>
    </row>
    <row r="137" spans="1:26" x14ac:dyDescent="0.25">
      <c r="A137" s="4" t="str">
        <f>IF(ข้อมูลสูตร!$A134="","",ข้อมูลสูตร!B134)</f>
        <v>Green Honey Milk</v>
      </c>
      <c r="B137" s="4" t="str">
        <f>IF(ข้อมูลสูตร!$A134="","",ข้อมูลสูตร!C134)</f>
        <v>16 oz</v>
      </c>
      <c r="C137" s="4" t="str">
        <f>IF(ข้อมูลสูตร!$A134="","",ข้อมูลสูตร!D134)</f>
        <v>50%</v>
      </c>
      <c r="D137" s="63">
        <f>IF(ข้อมูลสูตร!$A134="","",ข้อมูลสูตร!E134)</f>
        <v>0</v>
      </c>
      <c r="E137" s="63">
        <f>IF(ข้อมูลสูตร!$A134="","",ข้อมูลสูตร!F134)</f>
        <v>130</v>
      </c>
      <c r="F137" s="63">
        <f>IF(ข้อมูลสูตร!$A134="","",ข้อมูลสูตร!G134)</f>
        <v>38.4</v>
      </c>
      <c r="G137" s="63">
        <f>IF(ข้อมูลสูตร!$A134="","",ข้อมูลสูตร!H134)</f>
        <v>0</v>
      </c>
      <c r="H137" s="63">
        <f>IF(ข้อมูลสูตร!$A134="","",ข้อมูลสูตร!I134)</f>
        <v>0</v>
      </c>
      <c r="I137" s="63">
        <f>IF(ข้อมูลสูตร!$A134="","",ข้อมูลสูตร!J134)</f>
        <v>22.6</v>
      </c>
      <c r="J137" s="63">
        <f>IF(ข้อมูลสูตร!$A134="","",ข้อมูลสูตร!K134)</f>
        <v>8</v>
      </c>
      <c r="K137" s="63">
        <f>IF(ข้อมูลสูตร!$A134="","",ข้อมูลสูตร!L134)</f>
        <v>0</v>
      </c>
      <c r="L137" s="63">
        <f>IF(ข้อมูลสูตร!$A134="","",ข้อมูลสูตร!M134)</f>
        <v>0</v>
      </c>
      <c r="M137" s="63">
        <f>IF(ข้อมูลสูตร!$A134="","",ข้อมูลสูตร!N134)</f>
        <v>0</v>
      </c>
      <c r="N137" s="63">
        <f>IF(ข้อมูลสูตร!$A134="","",ข้อมูลสูตร!O134)</f>
        <v>0</v>
      </c>
      <c r="O137" s="63">
        <f>IF(ข้อมูลสูตร!$A134="","",ข้อมูลสูตร!P134)</f>
        <v>0</v>
      </c>
      <c r="P137" s="63">
        <f>IF(ข้อมูลสูตร!$A134="","",ข้อมูลสูตร!Q134)</f>
        <v>0</v>
      </c>
      <c r="Q137" s="63">
        <f>IF(ข้อมูลสูตร!$A134="","",ข้อมูลสูตร!R134)</f>
        <v>0</v>
      </c>
      <c r="R137" s="63">
        <f>IF(ข้อมูลสูตร!$A134="","",ข้อมูลสูตร!S134)</f>
        <v>240</v>
      </c>
      <c r="S137" s="63">
        <f>IF(ข้อมูลสูตร!$A134="","",ข้อมูลสูตร!T134)</f>
        <v>0</v>
      </c>
      <c r="T137" s="63">
        <f>IF(ข้อมูลสูตร!$A134="","",ข้อมูลสูตร!U134)</f>
        <v>0</v>
      </c>
      <c r="U137" s="64">
        <f>IF(ข้อมูลสูตร!$A134="","",ข้อมูลสูตร!V134)</f>
        <v>199</v>
      </c>
      <c r="V137" s="8">
        <f>IF(ข้อมูลสูตร!$A134="","",ข้อมูลสูตร!W134)</f>
        <v>14.61</v>
      </c>
      <c r="W137" s="64">
        <f>IF(ข้อมูลสูตร!$A134="","",ข้อมูลสูตร!X134)</f>
        <v>50</v>
      </c>
      <c r="X137" s="23">
        <f>IF(ข้อมูลสูตร!$A134="","",ข้อมูลสูตร!Y134)</f>
        <v>0.70779999999999998</v>
      </c>
      <c r="Y137" s="48" t="str">
        <f>IF(ข้อมูลสูตร!$A134="","",ข้อมูลสูตร!Z134)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37" s="48" t="str">
        <f>ข้อมูลสูตร!$A134</f>
        <v>Green Honey Milk|16 oz|50%</v>
      </c>
    </row>
    <row r="138" spans="1:26" x14ac:dyDescent="0.25">
      <c r="A138" s="4" t="str">
        <f>IF(ข้อมูลสูตร!$A135="","",ข้อมูลสูตร!B135)</f>
        <v>Green Honey Milk</v>
      </c>
      <c r="B138" s="4" t="str">
        <f>IF(ข้อมูลสูตร!$A135="","",ข้อมูลสูตร!C135)</f>
        <v>16 oz</v>
      </c>
      <c r="C138" s="4" t="str">
        <f>IF(ข้อมูลสูตร!$A135="","",ข้อมูลสูตร!D135)</f>
        <v>75%</v>
      </c>
      <c r="D138" s="63">
        <f>IF(ข้อมูลสูตร!$A135="","",ข้อมูลสูตร!E135)</f>
        <v>0</v>
      </c>
      <c r="E138" s="63">
        <f>IF(ข้อมูลสูตร!$A135="","",ข้อมูลสูตร!F135)</f>
        <v>130</v>
      </c>
      <c r="F138" s="63">
        <f>IF(ข้อมูลสูตร!$A135="","",ข้อมูลสูตร!G135)</f>
        <v>38.4</v>
      </c>
      <c r="G138" s="63">
        <f>IF(ข้อมูลสูตร!$A135="","",ข้อมูลสูตร!H135)</f>
        <v>0</v>
      </c>
      <c r="H138" s="63">
        <f>IF(ข้อมูลสูตร!$A135="","",ข้อมูลสูตร!I135)</f>
        <v>0</v>
      </c>
      <c r="I138" s="63">
        <f>IF(ข้อมูลสูตร!$A135="","",ข้อมูลสูตร!J135)</f>
        <v>25.6</v>
      </c>
      <c r="J138" s="63">
        <f>IF(ข้อมูลสูตร!$A135="","",ข้อมูลสูตร!K135)</f>
        <v>12</v>
      </c>
      <c r="K138" s="63">
        <f>IF(ข้อมูลสูตร!$A135="","",ข้อมูลสูตร!L135)</f>
        <v>0</v>
      </c>
      <c r="L138" s="63">
        <f>IF(ข้อมูลสูตร!$A135="","",ข้อมูลสูตร!M135)</f>
        <v>0</v>
      </c>
      <c r="M138" s="63">
        <f>IF(ข้อมูลสูตร!$A135="","",ข้อมูลสูตร!N135)</f>
        <v>0</v>
      </c>
      <c r="N138" s="63">
        <f>IF(ข้อมูลสูตร!$A135="","",ข้อมูลสูตร!O135)</f>
        <v>0</v>
      </c>
      <c r="O138" s="63">
        <f>IF(ข้อมูลสูตร!$A135="","",ข้อมูลสูตร!P135)</f>
        <v>0</v>
      </c>
      <c r="P138" s="63">
        <f>IF(ข้อมูลสูตร!$A135="","",ข้อมูลสูตร!Q135)</f>
        <v>0</v>
      </c>
      <c r="Q138" s="63">
        <f>IF(ข้อมูลสูตร!$A135="","",ข้อมูลสูตร!R135)</f>
        <v>0</v>
      </c>
      <c r="R138" s="63">
        <f>IF(ข้อมูลสูตร!$A135="","",ข้อมูลสูตร!S135)</f>
        <v>240</v>
      </c>
      <c r="S138" s="63">
        <f>IF(ข้อมูลสูตร!$A135="","",ข้อมูลสูตร!T135)</f>
        <v>0</v>
      </c>
      <c r="T138" s="63">
        <f>IF(ข้อมูลสูตร!$A135="","",ข้อมูลสูตร!U135)</f>
        <v>0</v>
      </c>
      <c r="U138" s="64">
        <f>IF(ข้อมูลสูตร!$A135="","",ข้อมูลสูตร!V135)</f>
        <v>206</v>
      </c>
      <c r="V138" s="8">
        <f>IF(ข้อมูลสูตร!$A135="","",ข้อมูลสูตร!W135)</f>
        <v>15.6</v>
      </c>
      <c r="W138" s="64">
        <f>IF(ข้อมูลสูตร!$A135="","",ข้อมูลสูตร!X135)</f>
        <v>50</v>
      </c>
      <c r="X138" s="23">
        <f>IF(ข้อมูลสูตร!$A135="","",ข้อมูลสูตร!Y135)</f>
        <v>0.68799999999999994</v>
      </c>
      <c r="Y138" s="48" t="str">
        <f>IF(ข้อมูลสูตร!$A135="","",ข้อมูลสูตร!Z135)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38" s="48" t="str">
        <f>ข้อมูลสูตร!$A135</f>
        <v>Green Honey Milk|16 oz|75%</v>
      </c>
    </row>
    <row r="139" spans="1:26" x14ac:dyDescent="0.25">
      <c r="A139" s="4" t="str">
        <f>IF(ข้อมูลสูตร!$A136="","",ข้อมูลสูตร!B136)</f>
        <v>Green Honey Milk</v>
      </c>
      <c r="B139" s="4" t="str">
        <f>IF(ข้อมูลสูตร!$A136="","",ข้อมูลสูตร!C136)</f>
        <v>16 oz</v>
      </c>
      <c r="C139" s="4" t="str">
        <f>IF(ข้อมูลสูตร!$A136="","",ข้อมูลสูตร!D136)</f>
        <v>100%</v>
      </c>
      <c r="D139" s="63">
        <f>IF(ข้อมูลสูตร!$A136="","",ข้อมูลสูตร!E136)</f>
        <v>0</v>
      </c>
      <c r="E139" s="63">
        <f>IF(ข้อมูลสูตร!$A136="","",ข้อมูลสูตร!F136)</f>
        <v>130</v>
      </c>
      <c r="F139" s="63">
        <f>IF(ข้อมูลสูตร!$A136="","",ข้อมูลสูตร!G136)</f>
        <v>38.4</v>
      </c>
      <c r="G139" s="63">
        <f>IF(ข้อมูลสูตร!$A136="","",ข้อมูลสูตร!H136)</f>
        <v>0</v>
      </c>
      <c r="H139" s="63">
        <f>IF(ข้อมูลสูตร!$A136="","",ข้อมูลสูตร!I136)</f>
        <v>0</v>
      </c>
      <c r="I139" s="63">
        <f>IF(ข้อมูลสูตร!$A136="","",ข้อมูลสูตร!J136)</f>
        <v>28.6</v>
      </c>
      <c r="J139" s="63">
        <f>IF(ข้อมูลสูตร!$A136="","",ข้อมูลสูตร!K136)</f>
        <v>16</v>
      </c>
      <c r="K139" s="63">
        <f>IF(ข้อมูลสูตร!$A136="","",ข้อมูลสูตร!L136)</f>
        <v>0</v>
      </c>
      <c r="L139" s="63">
        <f>IF(ข้อมูลสูตร!$A136="","",ข้อมูลสูตร!M136)</f>
        <v>0</v>
      </c>
      <c r="M139" s="63">
        <f>IF(ข้อมูลสูตร!$A136="","",ข้อมูลสูตร!N136)</f>
        <v>0</v>
      </c>
      <c r="N139" s="63">
        <f>IF(ข้อมูลสูตร!$A136="","",ข้อมูลสูตร!O136)</f>
        <v>0</v>
      </c>
      <c r="O139" s="63">
        <f>IF(ข้อมูลสูตร!$A136="","",ข้อมูลสูตร!P136)</f>
        <v>0</v>
      </c>
      <c r="P139" s="63">
        <f>IF(ข้อมูลสูตร!$A136="","",ข้อมูลสูตร!Q136)</f>
        <v>0</v>
      </c>
      <c r="Q139" s="63">
        <f>IF(ข้อมูลสูตร!$A136="","",ข้อมูลสูตร!R136)</f>
        <v>0</v>
      </c>
      <c r="R139" s="63">
        <f>IF(ข้อมูลสูตร!$A136="","",ข้อมูลสูตร!S136)</f>
        <v>240</v>
      </c>
      <c r="S139" s="63">
        <f>IF(ข้อมูลสูตร!$A136="","",ข้อมูลสูตร!T136)</f>
        <v>0</v>
      </c>
      <c r="T139" s="63">
        <f>IF(ข้อมูลสูตร!$A136="","",ข้อมูลสูตร!U136)</f>
        <v>0</v>
      </c>
      <c r="U139" s="64">
        <f>IF(ข้อมูลสูตร!$A136="","",ข้อมูลสูตร!V136)</f>
        <v>213</v>
      </c>
      <c r="V139" s="8">
        <f>IF(ข้อมูลสูตร!$A136="","",ข้อมูลสูตร!W136)</f>
        <v>16.579999999999998</v>
      </c>
      <c r="W139" s="64">
        <f>IF(ข้อมูลสูตร!$A136="","",ข้อมูลสูตร!X136)</f>
        <v>50</v>
      </c>
      <c r="X139" s="23">
        <f>IF(ข้อมูลสูตร!$A136="","",ข้อมูลสูตร!Y136)</f>
        <v>0.66839999999999999</v>
      </c>
      <c r="Y139" s="48" t="str">
        <f>IF(ข้อมูลสูตร!$A136="","",ข้อมูลสูตร!Z136)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39" s="48" t="str">
        <f>ข้อมูลสูตร!$A136</f>
        <v>Green Honey Milk|16 oz|100%</v>
      </c>
    </row>
    <row r="140" spans="1:26" x14ac:dyDescent="0.25">
      <c r="A140" s="4" t="str">
        <f>IF(ข้อมูลสูตร!$A137="","",ข้อมูลสูตร!B137)</f>
        <v>Green Honey Milk</v>
      </c>
      <c r="B140" s="4" t="str">
        <f>IF(ข้อมูลสูตร!$A137="","",ข้อมูลสูตร!C137)</f>
        <v>22 oz</v>
      </c>
      <c r="C140" s="4" t="str">
        <f>IF(ข้อมูลสูตร!$A137="","",ข้อมูลสูตร!D137)</f>
        <v>0%</v>
      </c>
      <c r="D140" s="63">
        <f>IF(ข้อมูลสูตร!$A137="","",ข้อมูลสูตร!E137)</f>
        <v>0</v>
      </c>
      <c r="E140" s="63">
        <f>IF(ข้อมูลสูตร!$A137="","",ข้อมูลสูตร!F137)</f>
        <v>179</v>
      </c>
      <c r="F140" s="63">
        <f>IF(ข้อมูลสูตร!$A137="","",ข้อมูลสูตร!G137)</f>
        <v>75.5</v>
      </c>
      <c r="G140" s="63">
        <f>IF(ข้อมูลสูตร!$A137="","",ข้อมูลสูตร!H137)</f>
        <v>0</v>
      </c>
      <c r="H140" s="63">
        <f>IF(ข้อมูลสูตร!$A137="","",ข้อมูลสูตร!I137)</f>
        <v>0</v>
      </c>
      <c r="I140" s="63">
        <f>IF(ข้อมูลสูตร!$A137="","",ข้อมูลสูตร!J137)</f>
        <v>0</v>
      </c>
      <c r="J140" s="63">
        <f>IF(ข้อมูลสูตร!$A137="","",ข้อมูลสูตร!K137)</f>
        <v>0</v>
      </c>
      <c r="K140" s="63">
        <f>IF(ข้อมูลสูตร!$A137="","",ข้อมูลสูตร!L137)</f>
        <v>0</v>
      </c>
      <c r="L140" s="63">
        <f>IF(ข้อมูลสูตร!$A137="","",ข้อมูลสูตร!M137)</f>
        <v>0</v>
      </c>
      <c r="M140" s="63">
        <f>IF(ข้อมูลสูตร!$A137="","",ข้อมูลสูตร!N137)</f>
        <v>0</v>
      </c>
      <c r="N140" s="63">
        <f>IF(ข้อมูลสูตร!$A137="","",ข้อมูลสูตร!O137)</f>
        <v>0</v>
      </c>
      <c r="O140" s="63">
        <f>IF(ข้อมูลสูตร!$A137="","",ข้อมูลสูตร!P137)</f>
        <v>0</v>
      </c>
      <c r="P140" s="63">
        <f>IF(ข้อมูลสูตร!$A137="","",ข้อมูลสูตร!Q137)</f>
        <v>0</v>
      </c>
      <c r="Q140" s="63">
        <f>IF(ข้อมูลสูตร!$A137="","",ข้อมูลสูตร!R137)</f>
        <v>0</v>
      </c>
      <c r="R140" s="63">
        <f>IF(ข้อมูลสูตร!$A137="","",ข้อมูลสูตร!S137)</f>
        <v>330</v>
      </c>
      <c r="S140" s="63">
        <f>IF(ข้อมูลสูตร!$A137="","",ข้อมูลสูตร!T137)</f>
        <v>0</v>
      </c>
      <c r="T140" s="63">
        <f>IF(ข้อมูลสูตร!$A137="","",ข้อมูลสูตร!U137)</f>
        <v>0</v>
      </c>
      <c r="U140" s="64">
        <f>IF(ข้อมูลสูตร!$A137="","",ข้อมูลสูตร!V137)</f>
        <v>254.5</v>
      </c>
      <c r="V140" s="8">
        <f>IF(ข้อมูลสูตร!$A137="","",ข้อมูลสูตร!W137)</f>
        <v>17.399999999999999</v>
      </c>
      <c r="W140" s="64">
        <f>IF(ข้อมูลสูตร!$A137="","",ข้อมูลสูตร!X137)</f>
        <v>60</v>
      </c>
      <c r="X140" s="23">
        <f>IF(ข้อมูลสูตร!$A137="","",ข้อมูลสูตร!Y137)</f>
        <v>0.71000000000000008</v>
      </c>
      <c r="Y140" s="48" t="str">
        <f>IF(ข้อมูลสูตร!$A137="","",ข้อมูลสูตร!Z137)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40" s="48" t="str">
        <f>ข้อมูลสูตร!$A137</f>
        <v>Green Honey Milk|22 oz|0%</v>
      </c>
    </row>
    <row r="141" spans="1:26" x14ac:dyDescent="0.25">
      <c r="A141" s="4" t="str">
        <f>IF(ข้อมูลสูตร!$A138="","",ข้อมูลสูตร!B138)</f>
        <v>Green Honey Milk</v>
      </c>
      <c r="B141" s="4" t="str">
        <f>IF(ข้อมูลสูตร!$A138="","",ข้อมูลสูตร!C138)</f>
        <v>22 oz</v>
      </c>
      <c r="C141" s="4" t="str">
        <f>IF(ข้อมูลสูตร!$A138="","",ข้อมูลสูตร!D138)</f>
        <v>25%</v>
      </c>
      <c r="D141" s="63">
        <f>IF(ข้อมูลสูตร!$A138="","",ข้อมูลสูตร!E138)</f>
        <v>0</v>
      </c>
      <c r="E141" s="63">
        <f>IF(ข้อมูลสูตร!$A138="","",ข้อมูลสูตร!F138)</f>
        <v>179</v>
      </c>
      <c r="F141" s="63">
        <f>IF(ข้อมูลสูตร!$A138="","",ข้อมูลสูตร!G138)</f>
        <v>52.6</v>
      </c>
      <c r="G141" s="63">
        <f>IF(ข้อมูลสูตร!$A138="","",ข้อมูลสูตร!H138)</f>
        <v>0</v>
      </c>
      <c r="H141" s="63">
        <f>IF(ข้อมูลสูตร!$A138="","",ข้อมูลสูตร!I138)</f>
        <v>0</v>
      </c>
      <c r="I141" s="63">
        <f>IF(ข้อมูลสูตร!$A138="","",ข้อมูลสูตร!J138)</f>
        <v>26.9</v>
      </c>
      <c r="J141" s="63">
        <f>IF(ข้อมูลสูตร!$A138="","",ข้อมูลสูตร!K138)</f>
        <v>5.5</v>
      </c>
      <c r="K141" s="63">
        <f>IF(ข้อมูลสูตร!$A138="","",ข้อมูลสูตร!L138)</f>
        <v>0</v>
      </c>
      <c r="L141" s="63">
        <f>IF(ข้อมูลสูตร!$A138="","",ข้อมูลสูตร!M138)</f>
        <v>0</v>
      </c>
      <c r="M141" s="63">
        <f>IF(ข้อมูลสูตร!$A138="","",ข้อมูลสูตร!N138)</f>
        <v>0</v>
      </c>
      <c r="N141" s="63">
        <f>IF(ข้อมูลสูตร!$A138="","",ข้อมูลสูตร!O138)</f>
        <v>0</v>
      </c>
      <c r="O141" s="63">
        <f>IF(ข้อมูลสูตร!$A138="","",ข้อมูลสูตร!P138)</f>
        <v>0</v>
      </c>
      <c r="P141" s="63">
        <f>IF(ข้อมูลสูตร!$A138="","",ข้อมูลสูตร!Q138)</f>
        <v>0</v>
      </c>
      <c r="Q141" s="63">
        <f>IF(ข้อมูลสูตร!$A138="","",ข้อมูลสูตร!R138)</f>
        <v>0</v>
      </c>
      <c r="R141" s="63">
        <f>IF(ข้อมูลสูตร!$A138="","",ข้อมูลสูตร!S138)</f>
        <v>330</v>
      </c>
      <c r="S141" s="63">
        <f>IF(ข้อมูลสูตร!$A138="","",ข้อมูลสูตร!T138)</f>
        <v>0</v>
      </c>
      <c r="T141" s="63">
        <f>IF(ข้อมูลสูตร!$A138="","",ข้อมูลสูตร!U138)</f>
        <v>0</v>
      </c>
      <c r="U141" s="64">
        <f>IF(ข้อมูลสูตร!$A138="","",ข้อมูลสูตร!V138)</f>
        <v>264</v>
      </c>
      <c r="V141" s="8">
        <f>IF(ข้อมูลสูตร!$A138="","",ข้อมูลสูตร!W138)</f>
        <v>18.04</v>
      </c>
      <c r="W141" s="64">
        <f>IF(ข้อมูลสูตร!$A138="","",ข้อมูลสูตร!X138)</f>
        <v>60</v>
      </c>
      <c r="X141" s="23">
        <f>IF(ข้อมูลสูตร!$A138="","",ข้อมูลสูตร!Y138)</f>
        <v>0.69933333333333336</v>
      </c>
      <c r="Y141" s="48" t="str">
        <f>IF(ข้อมูลสูตร!$A138="","",ข้อมูลสูตร!Z138)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41" s="48" t="str">
        <f>ข้อมูลสูตร!$A138</f>
        <v>Green Honey Milk|22 oz|25%</v>
      </c>
    </row>
    <row r="142" spans="1:26" x14ac:dyDescent="0.25">
      <c r="A142" s="4" t="str">
        <f>IF(ข้อมูลสูตร!$A139="","",ข้อมูลสูตร!B139)</f>
        <v>Green Honey Milk</v>
      </c>
      <c r="B142" s="4" t="str">
        <f>IF(ข้อมูลสูตร!$A139="","",ข้อมูลสูตร!C139)</f>
        <v>22 oz</v>
      </c>
      <c r="C142" s="4" t="str">
        <f>IF(ข้อมูลสูตร!$A139="","",ข้อมูลสูตร!D139)</f>
        <v>50%</v>
      </c>
      <c r="D142" s="63">
        <f>IF(ข้อมูลสูตร!$A139="","",ข้อมูลสูตร!E139)</f>
        <v>0</v>
      </c>
      <c r="E142" s="63">
        <f>IF(ข้อมูลสูตร!$A139="","",ข้อมูลสูตร!F139)</f>
        <v>179</v>
      </c>
      <c r="F142" s="63">
        <f>IF(ข้อมูลสูตร!$A139="","",ข้อมูลสูตร!G139)</f>
        <v>52.6</v>
      </c>
      <c r="G142" s="63">
        <f>IF(ข้อมูลสูตร!$A139="","",ข้อมูลสูตร!H139)</f>
        <v>0</v>
      </c>
      <c r="H142" s="63">
        <f>IF(ข้อมูลสูตร!$A139="","",ข้อมูลสูตร!I139)</f>
        <v>0</v>
      </c>
      <c r="I142" s="63">
        <f>IF(ข้อมูลสูตร!$A139="","",ข้อมูลสูตร!J139)</f>
        <v>30.9</v>
      </c>
      <c r="J142" s="63">
        <f>IF(ข้อมูลสูตร!$A139="","",ข้อมูลสูตร!K139)</f>
        <v>11</v>
      </c>
      <c r="K142" s="63">
        <f>IF(ข้อมูลสูตร!$A139="","",ข้อมูลสูตร!L139)</f>
        <v>0</v>
      </c>
      <c r="L142" s="63">
        <f>IF(ข้อมูลสูตร!$A139="","",ข้อมูลสูตร!M139)</f>
        <v>0</v>
      </c>
      <c r="M142" s="63">
        <f>IF(ข้อมูลสูตร!$A139="","",ข้อมูลสูตร!N139)</f>
        <v>0</v>
      </c>
      <c r="N142" s="63">
        <f>IF(ข้อมูลสูตร!$A139="","",ข้อมูลสูตร!O139)</f>
        <v>0</v>
      </c>
      <c r="O142" s="63">
        <f>IF(ข้อมูลสูตร!$A139="","",ข้อมูลสูตร!P139)</f>
        <v>0</v>
      </c>
      <c r="P142" s="63">
        <f>IF(ข้อมูลสูตร!$A139="","",ข้อมูลสูตร!Q139)</f>
        <v>0</v>
      </c>
      <c r="Q142" s="63">
        <f>IF(ข้อมูลสูตร!$A139="","",ข้อมูลสูตร!R139)</f>
        <v>0</v>
      </c>
      <c r="R142" s="63">
        <f>IF(ข้อมูลสูตร!$A139="","",ข้อมูลสูตร!S139)</f>
        <v>330</v>
      </c>
      <c r="S142" s="63">
        <f>IF(ข้อมูลสูตร!$A139="","",ข้อมูลสูตร!T139)</f>
        <v>0</v>
      </c>
      <c r="T142" s="63">
        <f>IF(ข้อมูลสูตร!$A139="","",ข้อมูลสูตร!U139)</f>
        <v>0</v>
      </c>
      <c r="U142" s="64">
        <f>IF(ข้อมูลสูตร!$A139="","",ข้อมูลสูตร!V139)</f>
        <v>273.5</v>
      </c>
      <c r="V142" s="8">
        <f>IF(ข้อมูลสูตร!$A139="","",ข้อมูลสูตร!W139)</f>
        <v>19.39</v>
      </c>
      <c r="W142" s="64">
        <f>IF(ข้อมูลสูตร!$A139="","",ข้อมูลสูตร!X139)</f>
        <v>60</v>
      </c>
      <c r="X142" s="23">
        <f>IF(ข้อมูลสูตร!$A139="","",ข้อมูลสูตร!Y139)</f>
        <v>0.67683333333333329</v>
      </c>
      <c r="Y142" s="48" t="str">
        <f>IF(ข้อมูลสูตร!$A139="","",ข้อมูลสูตร!Z139)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42" s="48" t="str">
        <f>ข้อมูลสูตร!$A139</f>
        <v>Green Honey Milk|22 oz|50%</v>
      </c>
    </row>
    <row r="143" spans="1:26" x14ac:dyDescent="0.25">
      <c r="A143" s="4" t="str">
        <f>IF(ข้อมูลสูตร!$A140="","",ข้อมูลสูตร!B140)</f>
        <v>Green Honey Milk</v>
      </c>
      <c r="B143" s="4" t="str">
        <f>IF(ข้อมูลสูตร!$A140="","",ข้อมูลสูตร!C140)</f>
        <v>22 oz</v>
      </c>
      <c r="C143" s="4" t="str">
        <f>IF(ข้อมูลสูตร!$A140="","",ข้อมูลสูตร!D140)</f>
        <v>75%</v>
      </c>
      <c r="D143" s="63">
        <f>IF(ข้อมูลสูตร!$A140="","",ข้อมูลสูตร!E140)</f>
        <v>0</v>
      </c>
      <c r="E143" s="63">
        <f>IF(ข้อมูลสูตร!$A140="","",ข้อมูลสูตร!F140)</f>
        <v>179</v>
      </c>
      <c r="F143" s="63">
        <f>IF(ข้อมูลสูตร!$A140="","",ข้อมูลสูตร!G140)</f>
        <v>52.6</v>
      </c>
      <c r="G143" s="63">
        <f>IF(ข้อมูลสูตร!$A140="","",ข้อมูลสูตร!H140)</f>
        <v>0</v>
      </c>
      <c r="H143" s="63">
        <f>IF(ข้อมูลสูตร!$A140="","",ข้อมูลสูตร!I140)</f>
        <v>0</v>
      </c>
      <c r="I143" s="63">
        <f>IF(ข้อมูลสูตร!$A140="","",ข้อมูลสูตร!J140)</f>
        <v>35.4</v>
      </c>
      <c r="J143" s="63">
        <f>IF(ข้อมูลสูตร!$A140="","",ข้อมูลสูตร!K140)</f>
        <v>16.5</v>
      </c>
      <c r="K143" s="63">
        <f>IF(ข้อมูลสูตร!$A140="","",ข้อมูลสูตร!L140)</f>
        <v>0</v>
      </c>
      <c r="L143" s="63">
        <f>IF(ข้อมูลสูตร!$A140="","",ข้อมูลสูตร!M140)</f>
        <v>0</v>
      </c>
      <c r="M143" s="63">
        <f>IF(ข้อมูลสูตร!$A140="","",ข้อมูลสูตร!N140)</f>
        <v>0</v>
      </c>
      <c r="N143" s="63">
        <f>IF(ข้อมูลสูตร!$A140="","",ข้อมูลสูตร!O140)</f>
        <v>0</v>
      </c>
      <c r="O143" s="63">
        <f>IF(ข้อมูลสูตร!$A140="","",ข้อมูลสูตร!P140)</f>
        <v>0</v>
      </c>
      <c r="P143" s="63">
        <f>IF(ข้อมูลสูตร!$A140="","",ข้อมูลสูตร!Q140)</f>
        <v>0</v>
      </c>
      <c r="Q143" s="63">
        <f>IF(ข้อมูลสูตร!$A140="","",ข้อมูลสูตร!R140)</f>
        <v>0</v>
      </c>
      <c r="R143" s="63">
        <f>IF(ข้อมูลสูตร!$A140="","",ข้อมูลสูตร!S140)</f>
        <v>330</v>
      </c>
      <c r="S143" s="63">
        <f>IF(ข้อมูลสูตร!$A140="","",ข้อมูลสูตร!T140)</f>
        <v>0</v>
      </c>
      <c r="T143" s="63">
        <f>IF(ข้อมูลสูตร!$A140="","",ข้อมูลสูตร!U140)</f>
        <v>0</v>
      </c>
      <c r="U143" s="64">
        <f>IF(ข้อมูลสูตร!$A140="","",ข้อมูลสูตร!V140)</f>
        <v>283.5</v>
      </c>
      <c r="V143" s="8">
        <f>IF(ข้อมูลสูตร!$A140="","",ข้อมูลสูตร!W140)</f>
        <v>20.75</v>
      </c>
      <c r="W143" s="64">
        <f>IF(ข้อมูลสูตร!$A140="","",ข้อมูลสูตร!X140)</f>
        <v>60</v>
      </c>
      <c r="X143" s="23">
        <f>IF(ข้อมูลสูตร!$A140="","",ข้อมูลสูตร!Y140)</f>
        <v>0.65416666666666667</v>
      </c>
      <c r="Y143" s="48" t="str">
        <f>IF(ข้อมูลสูตร!$A140="","",ข้อมูลสูตร!Z140)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43" s="48" t="str">
        <f>ข้อมูลสูตร!$A140</f>
        <v>Green Honey Milk|22 oz|75%</v>
      </c>
    </row>
    <row r="144" spans="1:26" x14ac:dyDescent="0.25">
      <c r="A144" s="4" t="str">
        <f>IF(ข้อมูลสูตร!$A141="","",ข้อมูลสูตร!B141)</f>
        <v>Green Honey Milk</v>
      </c>
      <c r="B144" s="4" t="str">
        <f>IF(ข้อมูลสูตร!$A141="","",ข้อมูลสูตร!C141)</f>
        <v>22 oz</v>
      </c>
      <c r="C144" s="4" t="str">
        <f>IF(ข้อมูลสูตร!$A141="","",ข้อมูลสูตร!D141)</f>
        <v>100%</v>
      </c>
      <c r="D144" s="63">
        <f>IF(ข้อมูลสูตร!$A141="","",ข้อมูลสูตร!E141)</f>
        <v>0</v>
      </c>
      <c r="E144" s="63">
        <f>IF(ข้อมูลสูตร!$A141="","",ข้อมูลสูตร!F141)</f>
        <v>179</v>
      </c>
      <c r="F144" s="63">
        <f>IF(ข้อมูลสูตร!$A141="","",ข้อมูลสูตร!G141)</f>
        <v>52.6</v>
      </c>
      <c r="G144" s="63">
        <f>IF(ข้อมูลสูตร!$A141="","",ข้อมูลสูตร!H141)</f>
        <v>0</v>
      </c>
      <c r="H144" s="63">
        <f>IF(ข้อมูลสูตร!$A141="","",ข้อมูลสูตร!I141)</f>
        <v>0</v>
      </c>
      <c r="I144" s="63">
        <f>IF(ข้อมูลสูตร!$A141="","",ข้อมูลสูตร!J141)</f>
        <v>39.4</v>
      </c>
      <c r="J144" s="63">
        <f>IF(ข้อมูลสูตร!$A141="","",ข้อมูลสูตร!K141)</f>
        <v>22</v>
      </c>
      <c r="K144" s="63">
        <f>IF(ข้อมูลสูตร!$A141="","",ข้อมูลสูตร!L141)</f>
        <v>0</v>
      </c>
      <c r="L144" s="63">
        <f>IF(ข้อมูลสูตร!$A141="","",ข้อมูลสูตร!M141)</f>
        <v>0</v>
      </c>
      <c r="M144" s="63">
        <f>IF(ข้อมูลสูตร!$A141="","",ข้อมูลสูตร!N141)</f>
        <v>0</v>
      </c>
      <c r="N144" s="63">
        <f>IF(ข้อมูลสูตร!$A141="","",ข้อมูลสูตร!O141)</f>
        <v>0</v>
      </c>
      <c r="O144" s="63">
        <f>IF(ข้อมูลสูตร!$A141="","",ข้อมูลสูตร!P141)</f>
        <v>0</v>
      </c>
      <c r="P144" s="63">
        <f>IF(ข้อมูลสูตร!$A141="","",ข้อมูลสูตร!Q141)</f>
        <v>0</v>
      </c>
      <c r="Q144" s="63">
        <f>IF(ข้อมูลสูตร!$A141="","",ข้อมูลสูตร!R141)</f>
        <v>0</v>
      </c>
      <c r="R144" s="63">
        <f>IF(ข้อมูลสูตร!$A141="","",ข้อมูลสูตร!S141)</f>
        <v>330</v>
      </c>
      <c r="S144" s="63">
        <f>IF(ข้อมูลสูตร!$A141="","",ข้อมูลสูตร!T141)</f>
        <v>0</v>
      </c>
      <c r="T144" s="63">
        <f>IF(ข้อมูลสูตร!$A141="","",ข้อมูลสูตร!U141)</f>
        <v>0</v>
      </c>
      <c r="U144" s="64">
        <f>IF(ข้อมูลสูตร!$A141="","",ข้อมูลสูตร!V141)</f>
        <v>293</v>
      </c>
      <c r="V144" s="8">
        <f>IF(ข้อมูลสูตร!$A141="","",ข้อมูลสูตร!W141)</f>
        <v>22.1</v>
      </c>
      <c r="W144" s="64">
        <f>IF(ข้อมูลสูตร!$A141="","",ข้อมูลสูตร!X141)</f>
        <v>60</v>
      </c>
      <c r="X144" s="23">
        <f>IF(ข้อมูลสูตร!$A141="","",ข้อมูลสูตร!Y141)</f>
        <v>0.6316666666666666</v>
      </c>
      <c r="Y144" s="48" t="str">
        <f>IF(ข้อมูลสูตร!$A141="","",ข้อมูลสูตร!Z141)</f>
        <v>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44" s="48" t="str">
        <f>ข้อมูลสูตร!$A141</f>
        <v>Green Honey Milk|22 oz|100%</v>
      </c>
    </row>
    <row r="145" spans="1:26" x14ac:dyDescent="0.25">
      <c r="A145" s="4" t="str">
        <f>IF(ข้อมูลสูตร!$A142="","",ข้อมูลสูตร!B142)</f>
        <v>Green Berry Soda</v>
      </c>
      <c r="B145" s="4" t="str">
        <f>IF(ข้อมูลสูตร!$A142="","",ข้อมูลสูตร!C142)</f>
        <v>16 oz</v>
      </c>
      <c r="C145" s="4" t="str">
        <f>IF(ข้อมูลสูตร!$A142="","",ข้อมูลสูตร!D142)</f>
        <v>0%</v>
      </c>
      <c r="D145" s="63">
        <f>IF(ข้อมูลสูตร!$A142="","",ข้อมูลสูตร!E142)</f>
        <v>0</v>
      </c>
      <c r="E145" s="63">
        <f>IF(ข้อมูลสูตร!$A142="","",ข้อมูลสูตร!F142)</f>
        <v>100</v>
      </c>
      <c r="F145" s="63">
        <f>IF(ข้อมูลสูตร!$A142="","",ข้อมูลสูตร!G142)</f>
        <v>0</v>
      </c>
      <c r="G145" s="63">
        <f>IF(ข้อมูลสูตร!$A142="","",ข้อมูลสูตร!H142)</f>
        <v>0</v>
      </c>
      <c r="H145" s="63">
        <f>IF(ข้อมูลสูตร!$A142="","",ข้อมูลสูตร!I142)</f>
        <v>0</v>
      </c>
      <c r="I145" s="63">
        <f>IF(ข้อมูลสูตร!$A142="","",ข้อมูลสูตร!J142)</f>
        <v>0</v>
      </c>
      <c r="J145" s="63">
        <f>IF(ข้อมูลสูตร!$A142="","",ข้อมูลสูตร!K142)</f>
        <v>0</v>
      </c>
      <c r="K145" s="63">
        <f>IF(ข้อมูลสูตร!$A142="","",ข้อมูลสูตร!L142)</f>
        <v>0</v>
      </c>
      <c r="L145" s="63">
        <f>IF(ข้อมูลสูตร!$A142="","",ข้อมูลสูตร!M142)</f>
        <v>0</v>
      </c>
      <c r="M145" s="63">
        <f>IF(ข้อมูลสูตร!$A142="","",ข้อมูลสูตร!N142)</f>
        <v>0</v>
      </c>
      <c r="N145" s="63">
        <f>IF(ข้อมูลสูตร!$A142="","",ข้อมูลสูตร!O142)</f>
        <v>28</v>
      </c>
      <c r="O145" s="63">
        <f>IF(ข้อมูลสูตร!$A142="","",ข้อมูลสูตร!P142)</f>
        <v>6</v>
      </c>
      <c r="P145" s="63">
        <f>IF(ข้อมูลสูตร!$A142="","",ข้อมูลสูตร!Q142)</f>
        <v>80</v>
      </c>
      <c r="Q145" s="63">
        <f>IF(ข้อมูลสูตร!$A142="","",ข้อมูลสูตร!R142)</f>
        <v>0</v>
      </c>
      <c r="R145" s="63">
        <f>IF(ข้อมูลสูตร!$A142="","",ข้อมูลสูตร!S142)</f>
        <v>240</v>
      </c>
      <c r="S145" s="63">
        <f>IF(ข้อมูลสูตร!$A142="","",ข้อมูลสูตร!T142)</f>
        <v>0</v>
      </c>
      <c r="T145" s="63">
        <f>IF(ข้อมูลสูตร!$A142="","",ข้อมูลสูตร!U142)</f>
        <v>0</v>
      </c>
      <c r="U145" s="64">
        <f>IF(ข้อมูลสูตร!$A142="","",ข้อมูลสูตร!V142)</f>
        <v>186</v>
      </c>
      <c r="V145" s="8">
        <f>IF(ข้อมูลสูตร!$A142="","",ข้อมูลสูตร!W142)</f>
        <v>18</v>
      </c>
      <c r="W145" s="64">
        <f>IF(ข้อมูลสูตร!$A142="","",ข้อมูลสูตร!X142)</f>
        <v>50</v>
      </c>
      <c r="X145" s="23">
        <f>IF(ข้อมูลสูตร!$A142="","",ข้อมูลสูตร!Y142)</f>
        <v>0.64</v>
      </c>
      <c r="Y145" s="48" t="str">
        <f>IF(ข้อมูลสูตร!$A142="","",ข้อมูลสูตร!Z142)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45" s="48" t="str">
        <f>ข้อมูลสูตร!$A142</f>
        <v>Green Berry Soda|16 oz|0%</v>
      </c>
    </row>
    <row r="146" spans="1:26" x14ac:dyDescent="0.25">
      <c r="A146" s="4" t="str">
        <f>IF(ข้อมูลสูตร!$A143="","",ข้อมูลสูตร!B143)</f>
        <v>Green Berry Soda</v>
      </c>
      <c r="B146" s="4" t="str">
        <f>IF(ข้อมูลสูตร!$A143="","",ข้อมูลสูตร!C143)</f>
        <v>16 oz</v>
      </c>
      <c r="C146" s="4" t="str">
        <f>IF(ข้อมูลสูตร!$A143="","",ข้อมูลสูตร!D143)</f>
        <v>25%</v>
      </c>
      <c r="D146" s="63">
        <f>IF(ข้อมูลสูตร!$A143="","",ข้อมูลสูตร!E143)</f>
        <v>0</v>
      </c>
      <c r="E146" s="63">
        <f>IF(ข้อมูลสูตร!$A143="","",ข้อมูลสูตร!F143)</f>
        <v>100</v>
      </c>
      <c r="F146" s="63">
        <f>IF(ข้อมูลสูตร!$A143="","",ข้อมูลสูตร!G143)</f>
        <v>0</v>
      </c>
      <c r="G146" s="63">
        <f>IF(ข้อมูลสูตร!$A143="","",ข้อมูลสูตร!H143)</f>
        <v>0</v>
      </c>
      <c r="H146" s="63">
        <f>IF(ข้อมูลสูตร!$A143="","",ข้อมูลสูตร!I143)</f>
        <v>0</v>
      </c>
      <c r="I146" s="63">
        <f>IF(ข้อมูลสูตร!$A143="","",ข้อมูลสูตร!J143)</f>
        <v>16.8</v>
      </c>
      <c r="J146" s="63">
        <f>IF(ข้อมูลสูตร!$A143="","",ข้อมูลสูตร!K143)</f>
        <v>0</v>
      </c>
      <c r="K146" s="63">
        <f>IF(ข้อมูลสูตร!$A143="","",ข้อมูลสูตร!L143)</f>
        <v>0</v>
      </c>
      <c r="L146" s="63">
        <f>IF(ข้อมูลสูตร!$A143="","",ข้อมูลสูตร!M143)</f>
        <v>0</v>
      </c>
      <c r="M146" s="63">
        <f>IF(ข้อมูลสูตร!$A143="","",ข้อมูลสูตร!N143)</f>
        <v>0</v>
      </c>
      <c r="N146" s="63">
        <f>IF(ข้อมูลสูตร!$A143="","",ข้อมูลสูตร!O143)</f>
        <v>28</v>
      </c>
      <c r="O146" s="63">
        <f>IF(ข้อมูลสูตร!$A143="","",ข้อมูลสูตร!P143)</f>
        <v>6</v>
      </c>
      <c r="P146" s="63">
        <f>IF(ข้อมูลสูตร!$A143="","",ข้อมูลสูตร!Q143)</f>
        <v>80</v>
      </c>
      <c r="Q146" s="63">
        <f>IF(ข้อมูลสูตร!$A143="","",ข้อมูลสูตร!R143)</f>
        <v>0</v>
      </c>
      <c r="R146" s="63">
        <f>IF(ข้อมูลสูตร!$A143="","",ข้อมูลสูตร!S143)</f>
        <v>240</v>
      </c>
      <c r="S146" s="63">
        <f>IF(ข้อมูลสูตร!$A143="","",ข้อมูลสูตร!T143)</f>
        <v>0</v>
      </c>
      <c r="T146" s="63">
        <f>IF(ข้อมูลสูตร!$A143="","",ข้อมูลสูตร!U143)</f>
        <v>0</v>
      </c>
      <c r="U146" s="64">
        <f>IF(ข้อมูลสูตร!$A143="","",ข้อมูลสูตร!V143)</f>
        <v>202.8</v>
      </c>
      <c r="V146" s="8">
        <f>IF(ข้อมูลสูตร!$A143="","",ข้อมูลสูตร!W143)</f>
        <v>18.28</v>
      </c>
      <c r="W146" s="64">
        <f>IF(ข้อมูลสูตร!$A143="","",ข้อมูลสูตร!X143)</f>
        <v>50</v>
      </c>
      <c r="X146" s="23">
        <f>IF(ข้อมูลสูตร!$A143="","",ข้อมูลสูตร!Y143)</f>
        <v>0.63439999999999996</v>
      </c>
      <c r="Y146" s="48" t="str">
        <f>IF(ข้อมูลสูตร!$A143="","",ข้อมูลสูตร!Z143)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46" s="48" t="str">
        <f>ข้อมูลสูตร!$A143</f>
        <v>Green Berry Soda|16 oz|25%</v>
      </c>
    </row>
    <row r="147" spans="1:26" x14ac:dyDescent="0.25">
      <c r="A147" s="4" t="str">
        <f>IF(ข้อมูลสูตร!$A144="","",ข้อมูลสูตร!B144)</f>
        <v>Green Berry Soda</v>
      </c>
      <c r="B147" s="4" t="str">
        <f>IF(ข้อมูลสูตร!$A144="","",ข้อมูลสูตร!C144)</f>
        <v>16 oz</v>
      </c>
      <c r="C147" s="4" t="str">
        <f>IF(ข้อมูลสูตร!$A144="","",ข้อมูลสูตร!D144)</f>
        <v>50%</v>
      </c>
      <c r="D147" s="63">
        <f>IF(ข้อมูลสูตร!$A144="","",ข้อมูลสูตร!E144)</f>
        <v>0</v>
      </c>
      <c r="E147" s="63">
        <f>IF(ข้อมูลสูตร!$A144="","",ข้อมูลสูตร!F144)</f>
        <v>100</v>
      </c>
      <c r="F147" s="63">
        <f>IF(ข้อมูลสูตร!$A144="","",ข้อมูลสูตร!G144)</f>
        <v>0</v>
      </c>
      <c r="G147" s="63">
        <f>IF(ข้อมูลสูตร!$A144="","",ข้อมูลสูตร!H144)</f>
        <v>0</v>
      </c>
      <c r="H147" s="63">
        <f>IF(ข้อมูลสูตร!$A144="","",ข้อมูลสูตร!I144)</f>
        <v>0</v>
      </c>
      <c r="I147" s="63">
        <f>IF(ข้อมูลสูตร!$A144="","",ข้อมูลสูตร!J144)</f>
        <v>20.8</v>
      </c>
      <c r="J147" s="63">
        <f>IF(ข้อมูลสูตร!$A144="","",ข้อมูลสูตร!K144)</f>
        <v>0</v>
      </c>
      <c r="K147" s="63">
        <f>IF(ข้อมูลสูตร!$A144="","",ข้อมูลสูตร!L144)</f>
        <v>0</v>
      </c>
      <c r="L147" s="63">
        <f>IF(ข้อมูลสูตร!$A144="","",ข้อมูลสูตร!M144)</f>
        <v>0</v>
      </c>
      <c r="M147" s="63">
        <f>IF(ข้อมูลสูตร!$A144="","",ข้อมูลสูตร!N144)</f>
        <v>0</v>
      </c>
      <c r="N147" s="63">
        <f>IF(ข้อมูลสูตร!$A144="","",ข้อมูลสูตร!O144)</f>
        <v>28</v>
      </c>
      <c r="O147" s="63">
        <f>IF(ข้อมูลสูตร!$A144="","",ข้อมูลสูตร!P144)</f>
        <v>6</v>
      </c>
      <c r="P147" s="63">
        <f>IF(ข้อมูลสูตร!$A144="","",ข้อมูลสูตร!Q144)</f>
        <v>80</v>
      </c>
      <c r="Q147" s="63">
        <f>IF(ข้อมูลสูตร!$A144="","",ข้อมูลสูตร!R144)</f>
        <v>0</v>
      </c>
      <c r="R147" s="63">
        <f>IF(ข้อมูลสูตร!$A144="","",ข้อมูลสูตร!S144)</f>
        <v>240</v>
      </c>
      <c r="S147" s="63">
        <f>IF(ข้อมูลสูตร!$A144="","",ข้อมูลสูตร!T144)</f>
        <v>0</v>
      </c>
      <c r="T147" s="63">
        <f>IF(ข้อมูลสูตร!$A144="","",ข้อมูลสูตร!U144)</f>
        <v>0</v>
      </c>
      <c r="U147" s="64">
        <f>IF(ข้อมูลสูตร!$A144="","",ข้อมูลสูตร!V144)</f>
        <v>206.8</v>
      </c>
      <c r="V147" s="8">
        <f>IF(ข้อมูลสูตร!$A144="","",ข้อมูลสูตร!W144)</f>
        <v>18.34</v>
      </c>
      <c r="W147" s="64">
        <f>IF(ข้อมูลสูตร!$A144="","",ข้อมูลสูตร!X144)</f>
        <v>50</v>
      </c>
      <c r="X147" s="23">
        <f>IF(ข้อมูลสูตร!$A144="","",ข้อมูลสูตร!Y144)</f>
        <v>0.63319999999999999</v>
      </c>
      <c r="Y147" s="48" t="str">
        <f>IF(ข้อมูลสูตร!$A144="","",ข้อมูลสูตร!Z144)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47" s="48" t="str">
        <f>ข้อมูลสูตร!$A144</f>
        <v>Green Berry Soda|16 oz|50%</v>
      </c>
    </row>
    <row r="148" spans="1:26" x14ac:dyDescent="0.25">
      <c r="A148" s="4" t="str">
        <f>IF(ข้อมูลสูตร!$A145="","",ข้อมูลสูตร!B145)</f>
        <v>Green Berry Soda</v>
      </c>
      <c r="B148" s="4" t="str">
        <f>IF(ข้อมูลสูตร!$A145="","",ข้อมูลสูตร!C145)</f>
        <v>16 oz</v>
      </c>
      <c r="C148" s="4" t="str">
        <f>IF(ข้อมูลสูตร!$A145="","",ข้อมูลสูตร!D145)</f>
        <v>75%</v>
      </c>
      <c r="D148" s="63">
        <f>IF(ข้อมูลสูตร!$A145="","",ข้อมูลสูตร!E145)</f>
        <v>0</v>
      </c>
      <c r="E148" s="63">
        <f>IF(ข้อมูลสูตร!$A145="","",ข้อมูลสูตร!F145)</f>
        <v>100</v>
      </c>
      <c r="F148" s="63">
        <f>IF(ข้อมูลสูตร!$A145="","",ข้อมูลสูตร!G145)</f>
        <v>0</v>
      </c>
      <c r="G148" s="63">
        <f>IF(ข้อมูลสูตร!$A145="","",ข้อมูลสูตร!H145)</f>
        <v>0</v>
      </c>
      <c r="H148" s="63">
        <f>IF(ข้อมูลสูตร!$A145="","",ข้อมูลสูตร!I145)</f>
        <v>0</v>
      </c>
      <c r="I148" s="63">
        <f>IF(ข้อมูลสูตร!$A145="","",ข้อมูลสูตร!J145)</f>
        <v>24.8</v>
      </c>
      <c r="J148" s="63">
        <f>IF(ข้อมูลสูตร!$A145="","",ข้อมูลสูตร!K145)</f>
        <v>0</v>
      </c>
      <c r="K148" s="63">
        <f>IF(ข้อมูลสูตร!$A145="","",ข้อมูลสูตร!L145)</f>
        <v>0</v>
      </c>
      <c r="L148" s="63">
        <f>IF(ข้อมูลสูตร!$A145="","",ข้อมูลสูตร!M145)</f>
        <v>0</v>
      </c>
      <c r="M148" s="63">
        <f>IF(ข้อมูลสูตร!$A145="","",ข้อมูลสูตร!N145)</f>
        <v>0</v>
      </c>
      <c r="N148" s="63">
        <f>IF(ข้อมูลสูตร!$A145="","",ข้อมูลสูตร!O145)</f>
        <v>28</v>
      </c>
      <c r="O148" s="63">
        <f>IF(ข้อมูลสูตร!$A145="","",ข้อมูลสูตร!P145)</f>
        <v>6</v>
      </c>
      <c r="P148" s="63">
        <f>IF(ข้อมูลสูตร!$A145="","",ข้อมูลสูตร!Q145)</f>
        <v>80</v>
      </c>
      <c r="Q148" s="63">
        <f>IF(ข้อมูลสูตร!$A145="","",ข้อมูลสูตร!R145)</f>
        <v>0</v>
      </c>
      <c r="R148" s="63">
        <f>IF(ข้อมูลสูตร!$A145="","",ข้อมูลสูตร!S145)</f>
        <v>240</v>
      </c>
      <c r="S148" s="63">
        <f>IF(ข้อมูลสูตร!$A145="","",ข้อมูลสูตร!T145)</f>
        <v>0</v>
      </c>
      <c r="T148" s="63">
        <f>IF(ข้อมูลสูตร!$A145="","",ข้อมูลสูตร!U145)</f>
        <v>0</v>
      </c>
      <c r="U148" s="64">
        <f>IF(ข้อมูลสูตร!$A145="","",ข้อมูลสูตร!V145)</f>
        <v>210.8</v>
      </c>
      <c r="V148" s="8">
        <f>IF(ข้อมูลสูตร!$A145="","",ข้อมูลสูตร!W145)</f>
        <v>18.41</v>
      </c>
      <c r="W148" s="64">
        <f>IF(ข้อมูลสูตร!$A145="","",ข้อมูลสูตร!X145)</f>
        <v>50</v>
      </c>
      <c r="X148" s="23">
        <f>IF(ข้อมูลสูตร!$A145="","",ข้อมูลสูตร!Y145)</f>
        <v>0.63180000000000003</v>
      </c>
      <c r="Y148" s="48" t="str">
        <f>IF(ข้อมูลสูตร!$A145="","",ข้อมูลสูตร!Z145)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48" s="48" t="str">
        <f>ข้อมูลสูตร!$A145</f>
        <v>Green Berry Soda|16 oz|75%</v>
      </c>
    </row>
    <row r="149" spans="1:26" x14ac:dyDescent="0.25">
      <c r="A149" s="4" t="str">
        <f>IF(ข้อมูลสูตร!$A146="","",ข้อมูลสูตร!B146)</f>
        <v>Green Berry Soda</v>
      </c>
      <c r="B149" s="4" t="str">
        <f>IF(ข้อมูลสูตร!$A146="","",ข้อมูลสูตร!C146)</f>
        <v>16 oz</v>
      </c>
      <c r="C149" s="4" t="str">
        <f>IF(ข้อมูลสูตร!$A146="","",ข้อมูลสูตร!D146)</f>
        <v>100%</v>
      </c>
      <c r="D149" s="63">
        <f>IF(ข้อมูลสูตร!$A146="","",ข้อมูลสูตร!E146)</f>
        <v>0</v>
      </c>
      <c r="E149" s="63">
        <f>IF(ข้อมูลสูตร!$A146="","",ข้อมูลสูตร!F146)</f>
        <v>100</v>
      </c>
      <c r="F149" s="63">
        <f>IF(ข้อมูลสูตร!$A146="","",ข้อมูลสูตร!G146)</f>
        <v>0</v>
      </c>
      <c r="G149" s="63">
        <f>IF(ข้อมูลสูตร!$A146="","",ข้อมูลสูตร!H146)</f>
        <v>0</v>
      </c>
      <c r="H149" s="63">
        <f>IF(ข้อมูลสูตร!$A146="","",ข้อมูลสูตร!I146)</f>
        <v>0</v>
      </c>
      <c r="I149" s="63">
        <f>IF(ข้อมูลสูตร!$A146="","",ข้อมูลสูตร!J146)</f>
        <v>28.8</v>
      </c>
      <c r="J149" s="63">
        <f>IF(ข้อมูลสูตร!$A146="","",ข้อมูลสูตร!K146)</f>
        <v>0</v>
      </c>
      <c r="K149" s="63">
        <f>IF(ข้อมูลสูตร!$A146="","",ข้อมูลสูตร!L146)</f>
        <v>0</v>
      </c>
      <c r="L149" s="63">
        <f>IF(ข้อมูลสูตร!$A146="","",ข้อมูลสูตร!M146)</f>
        <v>0</v>
      </c>
      <c r="M149" s="63">
        <f>IF(ข้อมูลสูตร!$A146="","",ข้อมูลสูตร!N146)</f>
        <v>0</v>
      </c>
      <c r="N149" s="63">
        <f>IF(ข้อมูลสูตร!$A146="","",ข้อมูลสูตร!O146)</f>
        <v>28</v>
      </c>
      <c r="O149" s="63">
        <f>IF(ข้อมูลสูตร!$A146="","",ข้อมูลสูตร!P146)</f>
        <v>6</v>
      </c>
      <c r="P149" s="63">
        <f>IF(ข้อมูลสูตร!$A146="","",ข้อมูลสูตร!Q146)</f>
        <v>80</v>
      </c>
      <c r="Q149" s="63">
        <f>IF(ข้อมูลสูตร!$A146="","",ข้อมูลสูตร!R146)</f>
        <v>0</v>
      </c>
      <c r="R149" s="63">
        <f>IF(ข้อมูลสูตร!$A146="","",ข้อมูลสูตร!S146)</f>
        <v>240</v>
      </c>
      <c r="S149" s="63">
        <f>IF(ข้อมูลสูตร!$A146="","",ข้อมูลสูตร!T146)</f>
        <v>0</v>
      </c>
      <c r="T149" s="63">
        <f>IF(ข้อมูลสูตร!$A146="","",ข้อมูลสูตร!U146)</f>
        <v>0</v>
      </c>
      <c r="U149" s="64">
        <f>IF(ข้อมูลสูตร!$A146="","",ข้อมูลสูตร!V146)</f>
        <v>214.8</v>
      </c>
      <c r="V149" s="8">
        <f>IF(ข้อมูลสูตร!$A146="","",ข้อมูลสูตร!W146)</f>
        <v>18.48</v>
      </c>
      <c r="W149" s="64">
        <f>IF(ข้อมูลสูตร!$A146="","",ข้อมูลสูตร!X146)</f>
        <v>50</v>
      </c>
      <c r="X149" s="23">
        <f>IF(ข้อมูลสูตร!$A146="","",ข้อมูลสูตร!Y146)</f>
        <v>0.63039999999999996</v>
      </c>
      <c r="Y149" s="48" t="str">
        <f>IF(ข้อมูลสูตร!$A146="","",ข้อมูลสูตร!Z146)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49" s="48" t="str">
        <f>ข้อมูลสูตร!$A146</f>
        <v>Green Berry Soda|16 oz|100%</v>
      </c>
    </row>
    <row r="150" spans="1:26" x14ac:dyDescent="0.25">
      <c r="A150" s="4" t="str">
        <f>IF(ข้อมูลสูตร!$A147="","",ข้อมูลสูตร!B147)</f>
        <v>Green Berry Soda</v>
      </c>
      <c r="B150" s="4" t="str">
        <f>IF(ข้อมูลสูตร!$A147="","",ข้อมูลสูตร!C147)</f>
        <v>22 oz</v>
      </c>
      <c r="C150" s="4" t="str">
        <f>IF(ข้อมูลสูตร!$A147="","",ข้อมูลสูตร!D147)</f>
        <v>0%</v>
      </c>
      <c r="D150" s="63">
        <f>IF(ข้อมูลสูตร!$A147="","",ข้อมูลสูตร!E147)</f>
        <v>0</v>
      </c>
      <c r="E150" s="63">
        <f>IF(ข้อมูลสูตร!$A147="","",ข้อมูลสูตร!F147)</f>
        <v>137.5</v>
      </c>
      <c r="F150" s="63">
        <f>IF(ข้อมูลสูตร!$A147="","",ข้อมูลสูตร!G147)</f>
        <v>0</v>
      </c>
      <c r="G150" s="63">
        <f>IF(ข้อมูลสูตร!$A147="","",ข้อมูลสูตร!H147)</f>
        <v>0</v>
      </c>
      <c r="H150" s="63">
        <f>IF(ข้อมูลสูตร!$A147="","",ข้อมูลสูตร!I147)</f>
        <v>0</v>
      </c>
      <c r="I150" s="63">
        <f>IF(ข้อมูลสูตร!$A147="","",ข้อมูลสูตร!J147)</f>
        <v>0</v>
      </c>
      <c r="J150" s="63">
        <f>IF(ข้อมูลสูตร!$A147="","",ข้อมูลสูตร!K147)</f>
        <v>0</v>
      </c>
      <c r="K150" s="63">
        <f>IF(ข้อมูลสูตร!$A147="","",ข้อมูลสูตร!L147)</f>
        <v>0</v>
      </c>
      <c r="L150" s="63">
        <f>IF(ข้อมูลสูตร!$A147="","",ข้อมูลสูตร!M147)</f>
        <v>0</v>
      </c>
      <c r="M150" s="63">
        <f>IF(ข้อมูลสูตร!$A147="","",ข้อมูลสูตร!N147)</f>
        <v>0</v>
      </c>
      <c r="N150" s="63">
        <f>IF(ข้อมูลสูตร!$A147="","",ข้อมูลสูตร!O147)</f>
        <v>38.5</v>
      </c>
      <c r="O150" s="63">
        <f>IF(ข้อมูลสูตร!$A147="","",ข้อมูลสูตร!P147)</f>
        <v>8</v>
      </c>
      <c r="P150" s="63">
        <f>IF(ข้อมูลสูตร!$A147="","",ข้อมูลสูตร!Q147)</f>
        <v>110</v>
      </c>
      <c r="Q150" s="63">
        <f>IF(ข้อมูลสูตร!$A147="","",ข้อมูลสูตร!R147)</f>
        <v>0</v>
      </c>
      <c r="R150" s="63">
        <f>IF(ข้อมูลสูตร!$A147="","",ข้อมูลสูตร!S147)</f>
        <v>330</v>
      </c>
      <c r="S150" s="63">
        <f>IF(ข้อมูลสูตร!$A147="","",ข้อมูลสูตร!T147)</f>
        <v>0</v>
      </c>
      <c r="T150" s="63">
        <f>IF(ข้อมูลสูตร!$A147="","",ข้อมูลสูตร!U147)</f>
        <v>0</v>
      </c>
      <c r="U150" s="64">
        <f>IF(ข้อมูลสูตร!$A147="","",ข้อมูลสูตร!V147)</f>
        <v>255.5</v>
      </c>
      <c r="V150" s="8">
        <f>IF(ข้อมูลสูตร!$A147="","",ข้อมูลสูตร!W147)</f>
        <v>23.98</v>
      </c>
      <c r="W150" s="64">
        <f>IF(ข้อมูลสูตร!$A147="","",ข้อมูลสูตร!X147)</f>
        <v>65</v>
      </c>
      <c r="X150" s="23">
        <f>IF(ข้อมูลสูตร!$A147="","",ข้อมูลสูตร!Y147)</f>
        <v>0.63107692307692298</v>
      </c>
      <c r="Y150" s="48" t="str">
        <f>IF(ข้อมูลสูตร!$A147="","",ข้อมูลสูตร!Z147)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50" s="48" t="str">
        <f>ข้อมูลสูตร!$A147</f>
        <v>Green Berry Soda|22 oz|0%</v>
      </c>
    </row>
    <row r="151" spans="1:26" x14ac:dyDescent="0.25">
      <c r="A151" s="4" t="str">
        <f>IF(ข้อมูลสูตร!$A148="","",ข้อมูลสูตร!B148)</f>
        <v>Green Berry Soda</v>
      </c>
      <c r="B151" s="4" t="str">
        <f>IF(ข้อมูลสูตร!$A148="","",ข้อมูลสูตร!C148)</f>
        <v>22 oz</v>
      </c>
      <c r="C151" s="4" t="str">
        <f>IF(ข้อมูลสูตร!$A148="","",ข้อมูลสูตร!D148)</f>
        <v>25%</v>
      </c>
      <c r="D151" s="63">
        <f>IF(ข้อมูลสูตร!$A148="","",ข้อมูลสูตร!E148)</f>
        <v>0</v>
      </c>
      <c r="E151" s="63">
        <f>IF(ข้อมูลสูตร!$A148="","",ข้อมูลสูตร!F148)</f>
        <v>137.5</v>
      </c>
      <c r="F151" s="63">
        <f>IF(ข้อมูลสูตร!$A148="","",ข้อมูลสูตร!G148)</f>
        <v>0</v>
      </c>
      <c r="G151" s="63">
        <f>IF(ข้อมูลสูตร!$A148="","",ข้อมูลสูตร!H148)</f>
        <v>0</v>
      </c>
      <c r="H151" s="63">
        <f>IF(ข้อมูลสูตร!$A148="","",ข้อมูลสูตร!I148)</f>
        <v>0</v>
      </c>
      <c r="I151" s="63">
        <f>IF(ข้อมูลสูตร!$A148="","",ข้อมูลสูตร!J148)</f>
        <v>23.1</v>
      </c>
      <c r="J151" s="63">
        <f>IF(ข้อมูลสูตร!$A148="","",ข้อมูลสูตร!K148)</f>
        <v>0</v>
      </c>
      <c r="K151" s="63">
        <f>IF(ข้อมูลสูตร!$A148="","",ข้อมูลสูตร!L148)</f>
        <v>0</v>
      </c>
      <c r="L151" s="63">
        <f>IF(ข้อมูลสูตร!$A148="","",ข้อมูลสูตร!M148)</f>
        <v>0</v>
      </c>
      <c r="M151" s="63">
        <f>IF(ข้อมูลสูตร!$A148="","",ข้อมูลสูตร!N148)</f>
        <v>0</v>
      </c>
      <c r="N151" s="63">
        <f>IF(ข้อมูลสูตร!$A148="","",ข้อมูลสูตร!O148)</f>
        <v>38.5</v>
      </c>
      <c r="O151" s="63">
        <f>IF(ข้อมูลสูตร!$A148="","",ข้อมูลสูตร!P148)</f>
        <v>8</v>
      </c>
      <c r="P151" s="63">
        <f>IF(ข้อมูลสูตร!$A148="","",ข้อมูลสูตร!Q148)</f>
        <v>110</v>
      </c>
      <c r="Q151" s="63">
        <f>IF(ข้อมูลสูตร!$A148="","",ข้อมูลสูตร!R148)</f>
        <v>0</v>
      </c>
      <c r="R151" s="63">
        <f>IF(ข้อมูลสูตร!$A148="","",ข้อมูลสูตร!S148)</f>
        <v>330</v>
      </c>
      <c r="S151" s="63">
        <f>IF(ข้อมูลสูตร!$A148="","",ข้อมูลสูตร!T148)</f>
        <v>0</v>
      </c>
      <c r="T151" s="63">
        <f>IF(ข้อมูลสูตร!$A148="","",ข้อมูลสูตร!U148)</f>
        <v>0</v>
      </c>
      <c r="U151" s="64">
        <f>IF(ข้อมูลสูตร!$A148="","",ข้อมูลสูตร!V148)</f>
        <v>278.60000000000002</v>
      </c>
      <c r="V151" s="8">
        <f>IF(ข้อมูลสูตร!$A148="","",ข้อมูลสูตร!W148)</f>
        <v>24.37</v>
      </c>
      <c r="W151" s="64">
        <f>IF(ข้อมูลสูตร!$A148="","",ข้อมูลสูตร!X148)</f>
        <v>65</v>
      </c>
      <c r="X151" s="23">
        <f>IF(ข้อมูลสูตร!$A148="","",ข้อมูลสูตร!Y148)</f>
        <v>0.62507692307692297</v>
      </c>
      <c r="Y151" s="48" t="str">
        <f>IF(ข้อมูลสูตร!$A148="","",ข้อมูลสูตร!Z148)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51" s="48" t="str">
        <f>ข้อมูลสูตร!$A148</f>
        <v>Green Berry Soda|22 oz|25%</v>
      </c>
    </row>
    <row r="152" spans="1:26" x14ac:dyDescent="0.25">
      <c r="A152" s="4" t="str">
        <f>IF(ข้อมูลสูตร!$A149="","",ข้อมูลสูตร!B149)</f>
        <v>Green Berry Soda</v>
      </c>
      <c r="B152" s="4" t="str">
        <f>IF(ข้อมูลสูตร!$A149="","",ข้อมูลสูตร!C149)</f>
        <v>22 oz</v>
      </c>
      <c r="C152" s="4" t="str">
        <f>IF(ข้อมูลสูตร!$A149="","",ข้อมูลสูตร!D149)</f>
        <v>50%</v>
      </c>
      <c r="D152" s="63">
        <f>IF(ข้อมูลสูตร!$A149="","",ข้อมูลสูตร!E149)</f>
        <v>0</v>
      </c>
      <c r="E152" s="63">
        <f>IF(ข้อมูลสูตร!$A149="","",ข้อมูลสูตร!F149)</f>
        <v>137.5</v>
      </c>
      <c r="F152" s="63">
        <f>IF(ข้อมูลสูตร!$A149="","",ข้อมูลสูตร!G149)</f>
        <v>0</v>
      </c>
      <c r="G152" s="63">
        <f>IF(ข้อมูลสูตร!$A149="","",ข้อมูลสูตร!H149)</f>
        <v>0</v>
      </c>
      <c r="H152" s="63">
        <f>IF(ข้อมูลสูตร!$A149="","",ข้อมูลสูตร!I149)</f>
        <v>0</v>
      </c>
      <c r="I152" s="63">
        <f>IF(ข้อมูลสูตร!$A149="","",ข้อมูลสูตร!J149)</f>
        <v>28.6</v>
      </c>
      <c r="J152" s="63">
        <f>IF(ข้อมูลสูตร!$A149="","",ข้อมูลสูตร!K149)</f>
        <v>0</v>
      </c>
      <c r="K152" s="63">
        <f>IF(ข้อมูลสูตร!$A149="","",ข้อมูลสูตร!L149)</f>
        <v>0</v>
      </c>
      <c r="L152" s="63">
        <f>IF(ข้อมูลสูตร!$A149="","",ข้อมูลสูตร!M149)</f>
        <v>0</v>
      </c>
      <c r="M152" s="63">
        <f>IF(ข้อมูลสูตร!$A149="","",ข้อมูลสูตร!N149)</f>
        <v>0</v>
      </c>
      <c r="N152" s="63">
        <f>IF(ข้อมูลสูตร!$A149="","",ข้อมูลสูตร!O149)</f>
        <v>38.5</v>
      </c>
      <c r="O152" s="63">
        <f>IF(ข้อมูลสูตร!$A149="","",ข้อมูลสูตร!P149)</f>
        <v>8</v>
      </c>
      <c r="P152" s="63">
        <f>IF(ข้อมูลสูตร!$A149="","",ข้อมูลสูตร!Q149)</f>
        <v>110</v>
      </c>
      <c r="Q152" s="63">
        <f>IF(ข้อมูลสูตร!$A149="","",ข้อมูลสูตร!R149)</f>
        <v>0</v>
      </c>
      <c r="R152" s="63">
        <f>IF(ข้อมูลสูตร!$A149="","",ข้อมูลสูตร!S149)</f>
        <v>330</v>
      </c>
      <c r="S152" s="63">
        <f>IF(ข้อมูลสูตร!$A149="","",ข้อมูลสูตร!T149)</f>
        <v>0</v>
      </c>
      <c r="T152" s="63">
        <f>IF(ข้อมูลสูตร!$A149="","",ข้อมูลสูตร!U149)</f>
        <v>0</v>
      </c>
      <c r="U152" s="64">
        <f>IF(ข้อมูลสูตร!$A149="","",ข้อมูลสูตร!V149)</f>
        <v>284.10000000000002</v>
      </c>
      <c r="V152" s="8">
        <f>IF(ข้อมูลสูตร!$A149="","",ข้อมูลสูตร!W149)</f>
        <v>24.46</v>
      </c>
      <c r="W152" s="64">
        <f>IF(ข้อมูลสูตร!$A149="","",ข้อมูลสูตร!X149)</f>
        <v>65</v>
      </c>
      <c r="X152" s="23">
        <f>IF(ข้อมูลสูตร!$A149="","",ข้อมูลสูตร!Y149)</f>
        <v>0.62369230769230766</v>
      </c>
      <c r="Y152" s="48" t="str">
        <f>IF(ข้อมูลสูตร!$A149="","",ข้อมูลสูตร!Z149)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52" s="48" t="str">
        <f>ข้อมูลสูตร!$A149</f>
        <v>Green Berry Soda|22 oz|50%</v>
      </c>
    </row>
    <row r="153" spans="1:26" x14ac:dyDescent="0.25">
      <c r="A153" s="4" t="str">
        <f>IF(ข้อมูลสูตร!$A150="","",ข้อมูลสูตร!B150)</f>
        <v>Green Berry Soda</v>
      </c>
      <c r="B153" s="4" t="str">
        <f>IF(ข้อมูลสูตร!$A150="","",ข้อมูลสูตร!C150)</f>
        <v>22 oz</v>
      </c>
      <c r="C153" s="4" t="str">
        <f>IF(ข้อมูลสูตร!$A150="","",ข้อมูลสูตร!D150)</f>
        <v>75%</v>
      </c>
      <c r="D153" s="63">
        <f>IF(ข้อมูลสูตร!$A150="","",ข้อมูลสูตร!E150)</f>
        <v>0</v>
      </c>
      <c r="E153" s="63">
        <f>IF(ข้อมูลสูตร!$A150="","",ข้อมูลสูตร!F150)</f>
        <v>137.5</v>
      </c>
      <c r="F153" s="63">
        <f>IF(ข้อมูลสูตร!$A150="","",ข้อมูลสูตร!G150)</f>
        <v>0</v>
      </c>
      <c r="G153" s="63">
        <f>IF(ข้อมูลสูตร!$A150="","",ข้อมูลสูตร!H150)</f>
        <v>0</v>
      </c>
      <c r="H153" s="63">
        <f>IF(ข้อมูลสูตร!$A150="","",ข้อมูลสูตร!I150)</f>
        <v>0</v>
      </c>
      <c r="I153" s="63">
        <f>IF(ข้อมูลสูตร!$A150="","",ข้อมูลสูตร!J150)</f>
        <v>34.1</v>
      </c>
      <c r="J153" s="63">
        <f>IF(ข้อมูลสูตร!$A150="","",ข้อมูลสูตร!K150)</f>
        <v>0</v>
      </c>
      <c r="K153" s="63">
        <f>IF(ข้อมูลสูตร!$A150="","",ข้อมูลสูตร!L150)</f>
        <v>0</v>
      </c>
      <c r="L153" s="63">
        <f>IF(ข้อมูลสูตร!$A150="","",ข้อมูลสูตร!M150)</f>
        <v>0</v>
      </c>
      <c r="M153" s="63">
        <f>IF(ข้อมูลสูตร!$A150="","",ข้อมูลสูตร!N150)</f>
        <v>0</v>
      </c>
      <c r="N153" s="63">
        <f>IF(ข้อมูลสูตร!$A150="","",ข้อมูลสูตร!O150)</f>
        <v>38.5</v>
      </c>
      <c r="O153" s="63">
        <f>IF(ข้อมูลสูตร!$A150="","",ข้อมูลสูตร!P150)</f>
        <v>8</v>
      </c>
      <c r="P153" s="63">
        <f>IF(ข้อมูลสูตร!$A150="","",ข้อมูลสูตร!Q150)</f>
        <v>110</v>
      </c>
      <c r="Q153" s="63">
        <f>IF(ข้อมูลสูตร!$A150="","",ข้อมูลสูตร!R150)</f>
        <v>0</v>
      </c>
      <c r="R153" s="63">
        <f>IF(ข้อมูลสูตร!$A150="","",ข้อมูลสูตร!S150)</f>
        <v>330</v>
      </c>
      <c r="S153" s="63">
        <f>IF(ข้อมูลสูตร!$A150="","",ข้อมูลสูตร!T150)</f>
        <v>0</v>
      </c>
      <c r="T153" s="63">
        <f>IF(ข้อมูลสูตร!$A150="","",ข้อมูลสูตร!U150)</f>
        <v>0</v>
      </c>
      <c r="U153" s="64">
        <f>IF(ข้อมูลสูตร!$A150="","",ข้อมูลสูตร!V150)</f>
        <v>289.60000000000002</v>
      </c>
      <c r="V153" s="8">
        <f>IF(ข้อมูลสูตร!$A150="","",ข้อมูลสูตร!W150)</f>
        <v>24.56</v>
      </c>
      <c r="W153" s="64">
        <f>IF(ข้อมูลสูตร!$A150="","",ข้อมูลสูตร!X150)</f>
        <v>65</v>
      </c>
      <c r="X153" s="23">
        <f>IF(ข้อมูลสูตร!$A150="","",ข้อมูลสูตร!Y150)</f>
        <v>0.62215384615384617</v>
      </c>
      <c r="Y153" s="48" t="str">
        <f>IF(ข้อมูลสูตร!$A150="","",ข้อมูลสูตร!Z150)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53" s="48" t="str">
        <f>ข้อมูลสูตร!$A150</f>
        <v>Green Berry Soda|22 oz|75%</v>
      </c>
    </row>
    <row r="154" spans="1:26" x14ac:dyDescent="0.25">
      <c r="A154" s="4" t="str">
        <f>IF(ข้อมูลสูตร!$A151="","",ข้อมูลสูตร!B151)</f>
        <v>Green Berry Soda</v>
      </c>
      <c r="B154" s="4" t="str">
        <f>IF(ข้อมูลสูตร!$A151="","",ข้อมูลสูตร!C151)</f>
        <v>22 oz</v>
      </c>
      <c r="C154" s="4" t="str">
        <f>IF(ข้อมูลสูตร!$A151="","",ข้อมูลสูตร!D151)</f>
        <v>100%</v>
      </c>
      <c r="D154" s="63">
        <f>IF(ข้อมูลสูตร!$A151="","",ข้อมูลสูตร!E151)</f>
        <v>0</v>
      </c>
      <c r="E154" s="63">
        <f>IF(ข้อมูลสูตร!$A151="","",ข้อมูลสูตร!F151)</f>
        <v>137.5</v>
      </c>
      <c r="F154" s="63">
        <f>IF(ข้อมูลสูตร!$A151="","",ข้อมูลสูตร!G151)</f>
        <v>0</v>
      </c>
      <c r="G154" s="63">
        <f>IF(ข้อมูลสูตร!$A151="","",ข้อมูลสูตร!H151)</f>
        <v>0</v>
      </c>
      <c r="H154" s="63">
        <f>IF(ข้อมูลสูตร!$A151="","",ข้อมูลสูตร!I151)</f>
        <v>0</v>
      </c>
      <c r="I154" s="63">
        <f>IF(ข้อมูลสูตร!$A151="","",ข้อมูลสูตร!J151)</f>
        <v>39.6</v>
      </c>
      <c r="J154" s="63">
        <f>IF(ข้อมูลสูตร!$A151="","",ข้อมูลสูตร!K151)</f>
        <v>0</v>
      </c>
      <c r="K154" s="63">
        <f>IF(ข้อมูลสูตร!$A151="","",ข้อมูลสูตร!L151)</f>
        <v>0</v>
      </c>
      <c r="L154" s="63">
        <f>IF(ข้อมูลสูตร!$A151="","",ข้อมูลสูตร!M151)</f>
        <v>0</v>
      </c>
      <c r="M154" s="63">
        <f>IF(ข้อมูลสูตร!$A151="","",ข้อมูลสูตร!N151)</f>
        <v>0</v>
      </c>
      <c r="N154" s="63">
        <f>IF(ข้อมูลสูตร!$A151="","",ข้อมูลสูตร!O151)</f>
        <v>38.5</v>
      </c>
      <c r="O154" s="63">
        <f>IF(ข้อมูลสูตร!$A151="","",ข้อมูลสูตร!P151)</f>
        <v>8</v>
      </c>
      <c r="P154" s="63">
        <f>IF(ข้อมูลสูตร!$A151="","",ข้อมูลสูตร!Q151)</f>
        <v>110</v>
      </c>
      <c r="Q154" s="63">
        <f>IF(ข้อมูลสูตร!$A151="","",ข้อมูลสูตร!R151)</f>
        <v>0</v>
      </c>
      <c r="R154" s="63">
        <f>IF(ข้อมูลสูตร!$A151="","",ข้อมูลสูตร!S151)</f>
        <v>330</v>
      </c>
      <c r="S154" s="63">
        <f>IF(ข้อมูลสูตร!$A151="","",ข้อมูลสูตร!T151)</f>
        <v>0</v>
      </c>
      <c r="T154" s="63">
        <f>IF(ข้อมูลสูตร!$A151="","",ข้อมูลสูตร!U151)</f>
        <v>0</v>
      </c>
      <c r="U154" s="64">
        <f>IF(ข้อมูลสูตร!$A151="","",ข้อมูลสูตร!V151)</f>
        <v>295.10000000000002</v>
      </c>
      <c r="V154" s="8">
        <f>IF(ข้อมูลสูตร!$A151="","",ข้อมูลสูตร!W151)</f>
        <v>24.65</v>
      </c>
      <c r="W154" s="64">
        <f>IF(ข้อมูลสูตร!$A151="","",ข้อมูลสูตร!X151)</f>
        <v>65</v>
      </c>
      <c r="X154" s="23">
        <f>IF(ข้อมูลสูตร!$A151="","",ข้อมูลสูตร!Y151)</f>
        <v>0.62076923076923074</v>
      </c>
      <c r="Y154" s="48" t="str">
        <f>IF(ข้อมูลสูตร!$A151="","",ข้อมูลสูตร!Z151)</f>
        <v>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154" s="48" t="str">
        <f>ข้อมูลสูตร!$A151</f>
        <v>Green Berry Soda|22 oz|100%</v>
      </c>
    </row>
    <row r="155" spans="1:26" x14ac:dyDescent="0.25">
      <c r="A155" s="4" t="str">
        <f>IF(ข้อมูลสูตร!$A152="","",ข้อมูลสูตร!B152)</f>
        <v>Green Tea Frappe</v>
      </c>
      <c r="B155" s="4" t="str">
        <f>IF(ข้อมูลสูตร!$A152="","",ข้อมูลสูตร!C152)</f>
        <v>16 oz</v>
      </c>
      <c r="C155" s="4" t="str">
        <f>IF(ข้อมูลสูตร!$A152="","",ข้อมูลสูตร!D152)</f>
        <v>0%</v>
      </c>
      <c r="D155" s="63">
        <f>IF(ข้อมูลสูตร!$A152="","",ข้อมูลสูตร!E152)</f>
        <v>0</v>
      </c>
      <c r="E155" s="63">
        <f>IF(ข้อมูลสูตร!$A152="","",ข้อมูลสูตร!F152)</f>
        <v>90</v>
      </c>
      <c r="F155" s="63">
        <f>IF(ข้อมูลสูตร!$A152="","",ข้อมูลสูตร!G152)</f>
        <v>70</v>
      </c>
      <c r="G155" s="63">
        <f>IF(ข้อมูลสูตร!$A152="","",ข้อมูลสูตร!H152)</f>
        <v>20</v>
      </c>
      <c r="H155" s="63">
        <f>IF(ข้อมูลสูตร!$A152="","",ข้อมูลสูตร!I152)</f>
        <v>0</v>
      </c>
      <c r="I155" s="63">
        <f>IF(ข้อมูลสูตร!$A152="","",ข้อมูลสูตร!J152)</f>
        <v>0</v>
      </c>
      <c r="J155" s="63">
        <f>IF(ข้อมูลสูตร!$A152="","",ข้อมูลสูตร!K152)</f>
        <v>0</v>
      </c>
      <c r="K155" s="63">
        <f>IF(ข้อมูลสูตร!$A152="","",ข้อมูลสูตร!L152)</f>
        <v>0</v>
      </c>
      <c r="L155" s="63">
        <f>IF(ข้อมูลสูตร!$A152="","",ข้อมูลสูตร!M152)</f>
        <v>0</v>
      </c>
      <c r="M155" s="63">
        <f>IF(ข้อมูลสูตร!$A152="","",ข้อมูลสูตร!N152)</f>
        <v>0</v>
      </c>
      <c r="N155" s="63">
        <f>IF(ข้อมูลสูตร!$A152="","",ข้อมูลสูตร!O152)</f>
        <v>0</v>
      </c>
      <c r="O155" s="63">
        <f>IF(ข้อมูลสูตร!$A152="","",ข้อมูลสูตร!P152)</f>
        <v>0</v>
      </c>
      <c r="P155" s="63">
        <f>IF(ข้อมูลสูตร!$A152="","",ข้อมูลสูตร!Q152)</f>
        <v>0</v>
      </c>
      <c r="Q155" s="63">
        <f>IF(ข้อมูลสูตร!$A152="","",ข้อมูลสูตร!R152)</f>
        <v>0</v>
      </c>
      <c r="R155" s="63">
        <f>IF(ข้อมูลสูตร!$A152="","",ข้อมูลสูตร!S152)</f>
        <v>200</v>
      </c>
      <c r="S155" s="63">
        <f>IF(ข้อมูลสูตร!$A152="","",ข้อมูลสูตร!T152)</f>
        <v>0</v>
      </c>
      <c r="T155" s="63">
        <f>IF(ข้อมูลสูตร!$A152="","",ข้อมูลสูตร!U152)</f>
        <v>0</v>
      </c>
      <c r="U155" s="64">
        <f>IF(ข้อมูลสูตร!$A152="","",ข้อมูลสูตร!V152)</f>
        <v>180</v>
      </c>
      <c r="V155" s="8">
        <f>IF(ข้อมูลสูตร!$A152="","",ข้อมูลสูตร!W152)</f>
        <v>13.83</v>
      </c>
      <c r="W155" s="64">
        <f>IF(ข้อมูลสูตร!$A152="","",ข้อมูลสูตร!X152)</f>
        <v>65</v>
      </c>
      <c r="X155" s="23">
        <f>IF(ข้อมูลสูตร!$A152="","",ข้อมูลสูตร!Y152)</f>
        <v>0.78723076923076929</v>
      </c>
      <c r="Y155" s="48" t="str">
        <f>IF(ข้อมูลสูตร!$A152="","",ข้อมูลสูตร!Z152)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55" s="48" t="str">
        <f>ข้อมูลสูตร!$A152</f>
        <v>Green Tea Frappe|16 oz|0%</v>
      </c>
    </row>
    <row r="156" spans="1:26" x14ac:dyDescent="0.25">
      <c r="A156" s="4" t="str">
        <f>IF(ข้อมูลสูตร!$A153="","",ข้อมูลสูตร!B153)</f>
        <v>Green Tea Frappe</v>
      </c>
      <c r="B156" s="4" t="str">
        <f>IF(ข้อมูลสูตร!$A153="","",ข้อมูลสูตร!C153)</f>
        <v>16 oz</v>
      </c>
      <c r="C156" s="4" t="str">
        <f>IF(ข้อมูลสูตร!$A153="","",ข้อมูลสูตร!D153)</f>
        <v>25%</v>
      </c>
      <c r="D156" s="63">
        <f>IF(ข้อมูลสูตร!$A153="","",ข้อมูลสูตร!E153)</f>
        <v>0</v>
      </c>
      <c r="E156" s="63">
        <f>IF(ข้อมูลสูตร!$A153="","",ข้อมูลสูตร!F153)</f>
        <v>90</v>
      </c>
      <c r="F156" s="63">
        <f>IF(ข้อมูลสูตร!$A153="","",ข้อมูลสูตร!G153)</f>
        <v>58.5</v>
      </c>
      <c r="G156" s="63">
        <f>IF(ข้อมูลสูตร!$A153="","",ข้อมูลสูตร!H153)</f>
        <v>20</v>
      </c>
      <c r="H156" s="63">
        <f>IF(ข้อมูลสูตร!$A153="","",ข้อมูลสูตร!I153)</f>
        <v>8</v>
      </c>
      <c r="I156" s="63">
        <f>IF(ข้อมูลสูตร!$A153="","",ข้อมูลสูตร!J153)</f>
        <v>11.5</v>
      </c>
      <c r="J156" s="63">
        <f>IF(ข้อมูลสูตร!$A153="","",ข้อมูลสูตร!K153)</f>
        <v>0</v>
      </c>
      <c r="K156" s="63">
        <f>IF(ข้อมูลสูตร!$A153="","",ข้อมูลสูตร!L153)</f>
        <v>0</v>
      </c>
      <c r="L156" s="63">
        <f>IF(ข้อมูลสูตร!$A153="","",ข้อมูลสูตร!M153)</f>
        <v>0</v>
      </c>
      <c r="M156" s="63">
        <f>IF(ข้อมูลสูตร!$A153="","",ข้อมูลสูตร!N153)</f>
        <v>0</v>
      </c>
      <c r="N156" s="63">
        <f>IF(ข้อมูลสูตร!$A153="","",ข้อมูลสูตร!O153)</f>
        <v>0</v>
      </c>
      <c r="O156" s="63">
        <f>IF(ข้อมูลสูตร!$A153="","",ข้อมูลสูตร!P153)</f>
        <v>0</v>
      </c>
      <c r="P156" s="63">
        <f>IF(ข้อมูลสูตร!$A153="","",ข้อมูลสูตร!Q153)</f>
        <v>0</v>
      </c>
      <c r="Q156" s="63">
        <f>IF(ข้อมูลสูตร!$A153="","",ข้อมูลสูตร!R153)</f>
        <v>0</v>
      </c>
      <c r="R156" s="63">
        <f>IF(ข้อมูลสูตร!$A153="","",ข้อมูลสูตร!S153)</f>
        <v>200</v>
      </c>
      <c r="S156" s="63">
        <f>IF(ข้อมูลสูตร!$A153="","",ข้อมูลสูตร!T153)</f>
        <v>0</v>
      </c>
      <c r="T156" s="63">
        <f>IF(ข้อมูลสูตร!$A153="","",ข้อมูลสูตร!U153)</f>
        <v>0</v>
      </c>
      <c r="U156" s="64">
        <f>IF(ข้อมูลสูตร!$A153="","",ข้อมูลสูตร!V153)</f>
        <v>188</v>
      </c>
      <c r="V156" s="8">
        <f>IF(ข้อมูลสูตร!$A153="","",ข้อมูลสูตร!W153)</f>
        <v>14.03</v>
      </c>
      <c r="W156" s="64">
        <f>IF(ข้อมูลสูตร!$A153="","",ข้อมูลสูตร!X153)</f>
        <v>65</v>
      </c>
      <c r="X156" s="23">
        <f>IF(ข้อมูลสูตร!$A153="","",ข้อมูลสูตร!Y153)</f>
        <v>0.78415384615384609</v>
      </c>
      <c r="Y156" s="48" t="str">
        <f>IF(ข้อมูลสูตร!$A153="","",ข้อมูลสูตร!Z153)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56" s="48" t="str">
        <f>ข้อมูลสูตร!$A153</f>
        <v>Green Tea Frappe|16 oz|25%</v>
      </c>
    </row>
    <row r="157" spans="1:26" x14ac:dyDescent="0.25">
      <c r="A157" s="4" t="str">
        <f>IF(ข้อมูลสูตร!$A154="","",ข้อมูลสูตร!B154)</f>
        <v>Green Tea Frappe</v>
      </c>
      <c r="B157" s="4" t="str">
        <f>IF(ข้อมูลสูตร!$A154="","",ข้อมูลสูตร!C154)</f>
        <v>16 oz</v>
      </c>
      <c r="C157" s="4" t="str">
        <f>IF(ข้อมูลสูตร!$A154="","",ข้อมูลสูตร!D154)</f>
        <v>50%</v>
      </c>
      <c r="D157" s="63">
        <f>IF(ข้อมูลสูตร!$A154="","",ข้อมูลสูตร!E154)</f>
        <v>0</v>
      </c>
      <c r="E157" s="63">
        <f>IF(ข้อมูลสูตร!$A154="","",ข้อมูลสูตร!F154)</f>
        <v>90</v>
      </c>
      <c r="F157" s="63">
        <f>IF(ข้อมูลสูตร!$A154="","",ข้อมูลสูตร!G154)</f>
        <v>58.5</v>
      </c>
      <c r="G157" s="63">
        <f>IF(ข้อมูลสูตร!$A154="","",ข้อมูลสูตร!H154)</f>
        <v>20</v>
      </c>
      <c r="H157" s="63">
        <f>IF(ข้อมูลสูตร!$A154="","",ข้อมูลสูตร!I154)</f>
        <v>16</v>
      </c>
      <c r="I157" s="63">
        <f>IF(ข้อมูลสูตร!$A154="","",ข้อมูลสูตร!J154)</f>
        <v>11.5</v>
      </c>
      <c r="J157" s="63">
        <f>IF(ข้อมูลสูตร!$A154="","",ข้อมูลสูตร!K154)</f>
        <v>0</v>
      </c>
      <c r="K157" s="63">
        <f>IF(ข้อมูลสูตร!$A154="","",ข้อมูลสูตร!L154)</f>
        <v>0</v>
      </c>
      <c r="L157" s="63">
        <f>IF(ข้อมูลสูตร!$A154="","",ข้อมูลสูตร!M154)</f>
        <v>0</v>
      </c>
      <c r="M157" s="63">
        <f>IF(ข้อมูลสูตร!$A154="","",ข้อมูลสูตร!N154)</f>
        <v>0</v>
      </c>
      <c r="N157" s="63">
        <f>IF(ข้อมูลสูตร!$A154="","",ข้อมูลสูตร!O154)</f>
        <v>0</v>
      </c>
      <c r="O157" s="63">
        <f>IF(ข้อมูลสูตร!$A154="","",ข้อมูลสูตร!P154)</f>
        <v>0</v>
      </c>
      <c r="P157" s="63">
        <f>IF(ข้อมูลสูตร!$A154="","",ข้อมูลสูตร!Q154)</f>
        <v>0</v>
      </c>
      <c r="Q157" s="63">
        <f>IF(ข้อมูลสูตร!$A154="","",ข้อมูลสูตร!R154)</f>
        <v>0</v>
      </c>
      <c r="R157" s="63">
        <f>IF(ข้อมูลสูตร!$A154="","",ข้อมูลสูตร!S154)</f>
        <v>200</v>
      </c>
      <c r="S157" s="63">
        <f>IF(ข้อมูลสูตร!$A154="","",ข้อมูลสูตร!T154)</f>
        <v>0</v>
      </c>
      <c r="T157" s="63">
        <f>IF(ข้อมูลสูตร!$A154="","",ข้อมูลสูตร!U154)</f>
        <v>0</v>
      </c>
      <c r="U157" s="64">
        <f>IF(ข้อมูลสูตร!$A154="","",ข้อมูลสูตร!V154)</f>
        <v>196</v>
      </c>
      <c r="V157" s="8">
        <f>IF(ข้อมูลสูตร!$A154="","",ข้อมูลสูตร!W154)</f>
        <v>14.58</v>
      </c>
      <c r="W157" s="64">
        <f>IF(ข้อมูลสูตร!$A154="","",ข้อมูลสูตร!X154)</f>
        <v>65</v>
      </c>
      <c r="X157" s="23">
        <f>IF(ข้อมูลสูตร!$A154="","",ข้อมูลสูตร!Y154)</f>
        <v>0.77569230769230768</v>
      </c>
      <c r="Y157" s="48" t="str">
        <f>IF(ข้อมูลสูตร!$A154="","",ข้อมูลสูตร!Z154)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57" s="48" t="str">
        <f>ข้อมูลสูตร!$A154</f>
        <v>Green Tea Frappe|16 oz|50%</v>
      </c>
    </row>
    <row r="158" spans="1:26" x14ac:dyDescent="0.25">
      <c r="A158" s="4" t="str">
        <f>IF(ข้อมูลสูตร!$A155="","",ข้อมูลสูตร!B155)</f>
        <v>Green Tea Frappe</v>
      </c>
      <c r="B158" s="4" t="str">
        <f>IF(ข้อมูลสูตร!$A155="","",ข้อมูลสูตร!C155)</f>
        <v>16 oz</v>
      </c>
      <c r="C158" s="4" t="str">
        <f>IF(ข้อมูลสูตร!$A155="","",ข้อมูลสูตร!D155)</f>
        <v>75%</v>
      </c>
      <c r="D158" s="63">
        <f>IF(ข้อมูลสูตร!$A155="","",ข้อมูลสูตร!E155)</f>
        <v>0</v>
      </c>
      <c r="E158" s="63">
        <f>IF(ข้อมูลสูตร!$A155="","",ข้อมูลสูตร!F155)</f>
        <v>90</v>
      </c>
      <c r="F158" s="63">
        <f>IF(ข้อมูลสูตร!$A155="","",ข้อมูลสูตร!G155)</f>
        <v>58.5</v>
      </c>
      <c r="G158" s="63">
        <f>IF(ข้อมูลสูตร!$A155="","",ข้อมูลสูตร!H155)</f>
        <v>20</v>
      </c>
      <c r="H158" s="63">
        <f>IF(ข้อมูลสูตร!$A155="","",ข้อมูลสูตร!I155)</f>
        <v>24</v>
      </c>
      <c r="I158" s="63">
        <f>IF(ข้อมูลสูตร!$A155="","",ข้อมูลสูตร!J155)</f>
        <v>11.5</v>
      </c>
      <c r="J158" s="63">
        <f>IF(ข้อมูลสูตร!$A155="","",ข้อมูลสูตร!K155)</f>
        <v>0</v>
      </c>
      <c r="K158" s="63">
        <f>IF(ข้อมูลสูตร!$A155="","",ข้อมูลสูตร!L155)</f>
        <v>0</v>
      </c>
      <c r="L158" s="63">
        <f>IF(ข้อมูลสูตร!$A155="","",ข้อมูลสูตร!M155)</f>
        <v>0</v>
      </c>
      <c r="M158" s="63">
        <f>IF(ข้อมูลสูตร!$A155="","",ข้อมูลสูตร!N155)</f>
        <v>0</v>
      </c>
      <c r="N158" s="63">
        <f>IF(ข้อมูลสูตร!$A155="","",ข้อมูลสูตร!O155)</f>
        <v>0</v>
      </c>
      <c r="O158" s="63">
        <f>IF(ข้อมูลสูตร!$A155="","",ข้อมูลสูตร!P155)</f>
        <v>0</v>
      </c>
      <c r="P158" s="63">
        <f>IF(ข้อมูลสูตร!$A155="","",ข้อมูลสูตร!Q155)</f>
        <v>0</v>
      </c>
      <c r="Q158" s="63">
        <f>IF(ข้อมูลสูตร!$A155="","",ข้อมูลสูตร!R155)</f>
        <v>0</v>
      </c>
      <c r="R158" s="63">
        <f>IF(ข้อมูลสูตร!$A155="","",ข้อมูลสูตร!S155)</f>
        <v>200</v>
      </c>
      <c r="S158" s="63">
        <f>IF(ข้อมูลสูตร!$A155="","",ข้อมูลสูตร!T155)</f>
        <v>0</v>
      </c>
      <c r="T158" s="63">
        <f>IF(ข้อมูลสูตร!$A155="","",ข้อมูลสูตร!U155)</f>
        <v>0</v>
      </c>
      <c r="U158" s="64">
        <f>IF(ข้อมูลสูตร!$A155="","",ข้อมูลสูตร!V155)</f>
        <v>204</v>
      </c>
      <c r="V158" s="8">
        <f>IF(ข้อมูลสูตร!$A155="","",ข้อมูลสูตร!W155)</f>
        <v>15.14</v>
      </c>
      <c r="W158" s="64">
        <f>IF(ข้อมูลสูตร!$A155="","",ข้อมูลสูตร!X155)</f>
        <v>65</v>
      </c>
      <c r="X158" s="23">
        <f>IF(ข้อมูลสูตร!$A155="","",ข้อมูลสูตร!Y155)</f>
        <v>0.7670769230769231</v>
      </c>
      <c r="Y158" s="48" t="str">
        <f>IF(ข้อมูลสูตร!$A155="","",ข้อมูลสูตร!Z155)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58" s="48" t="str">
        <f>ข้อมูลสูตร!$A155</f>
        <v>Green Tea Frappe|16 oz|75%</v>
      </c>
    </row>
    <row r="159" spans="1:26" x14ac:dyDescent="0.25">
      <c r="A159" s="4" t="str">
        <f>IF(ข้อมูลสูตร!$A156="","",ข้อมูลสูตร!B156)</f>
        <v>Green Tea Frappe</v>
      </c>
      <c r="B159" s="4" t="str">
        <f>IF(ข้อมูลสูตร!$A156="","",ข้อมูลสูตร!C156)</f>
        <v>16 oz</v>
      </c>
      <c r="C159" s="4" t="str">
        <f>IF(ข้อมูลสูตร!$A156="","",ข้อมูลสูตร!D156)</f>
        <v>100%</v>
      </c>
      <c r="D159" s="63">
        <f>IF(ข้อมูลสูตร!$A156="","",ข้อมูลสูตร!E156)</f>
        <v>0</v>
      </c>
      <c r="E159" s="63">
        <f>IF(ข้อมูลสูตร!$A156="","",ข้อมูลสูตร!F156)</f>
        <v>90</v>
      </c>
      <c r="F159" s="63">
        <f>IF(ข้อมูลสูตร!$A156="","",ข้อมูลสูตร!G156)</f>
        <v>58.5</v>
      </c>
      <c r="G159" s="63">
        <f>IF(ข้อมูลสูตร!$A156="","",ข้อมูลสูตร!H156)</f>
        <v>20</v>
      </c>
      <c r="H159" s="63">
        <f>IF(ข้อมูลสูตร!$A156="","",ข้อมูลสูตร!I156)</f>
        <v>32</v>
      </c>
      <c r="I159" s="63">
        <f>IF(ข้อมูลสูตร!$A156="","",ข้อมูลสูตร!J156)</f>
        <v>11.5</v>
      </c>
      <c r="J159" s="63">
        <f>IF(ข้อมูลสูตร!$A156="","",ข้อมูลสูตร!K156)</f>
        <v>0</v>
      </c>
      <c r="K159" s="63">
        <f>IF(ข้อมูลสูตร!$A156="","",ข้อมูลสูตร!L156)</f>
        <v>0</v>
      </c>
      <c r="L159" s="63">
        <f>IF(ข้อมูลสูตร!$A156="","",ข้อมูลสูตร!M156)</f>
        <v>0</v>
      </c>
      <c r="M159" s="63">
        <f>IF(ข้อมูลสูตร!$A156="","",ข้อมูลสูตร!N156)</f>
        <v>0</v>
      </c>
      <c r="N159" s="63">
        <f>IF(ข้อมูลสูตร!$A156="","",ข้อมูลสูตร!O156)</f>
        <v>0</v>
      </c>
      <c r="O159" s="63">
        <f>IF(ข้อมูลสูตร!$A156="","",ข้อมูลสูตร!P156)</f>
        <v>0</v>
      </c>
      <c r="P159" s="63">
        <f>IF(ข้อมูลสูตร!$A156="","",ข้อมูลสูตร!Q156)</f>
        <v>0</v>
      </c>
      <c r="Q159" s="63">
        <f>IF(ข้อมูลสูตร!$A156="","",ข้อมูลสูตร!R156)</f>
        <v>0</v>
      </c>
      <c r="R159" s="63">
        <f>IF(ข้อมูลสูตร!$A156="","",ข้อมูลสูตร!S156)</f>
        <v>200</v>
      </c>
      <c r="S159" s="63">
        <f>IF(ข้อมูลสูตร!$A156="","",ข้อมูลสูตร!T156)</f>
        <v>0</v>
      </c>
      <c r="T159" s="63">
        <f>IF(ข้อมูลสูตร!$A156="","",ข้อมูลสูตร!U156)</f>
        <v>0</v>
      </c>
      <c r="U159" s="64">
        <f>IF(ข้อมูลสูตร!$A156="","",ข้อมูลสูตร!V156)</f>
        <v>212</v>
      </c>
      <c r="V159" s="8">
        <f>IF(ข้อมูลสูตร!$A156="","",ข้อมูลสูตร!W156)</f>
        <v>15.69</v>
      </c>
      <c r="W159" s="64">
        <f>IF(ข้อมูลสูตร!$A156="","",ข้อมูลสูตร!X156)</f>
        <v>65</v>
      </c>
      <c r="X159" s="23">
        <f>IF(ข้อมูลสูตร!$A156="","",ข้อมูลสูตร!Y156)</f>
        <v>0.75861538461538469</v>
      </c>
      <c r="Y159" s="48" t="str">
        <f>IF(ข้อมูลสูตร!$A156="","",ข้อมูลสูตร!Z156)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59" s="48" t="str">
        <f>ข้อมูลสูตร!$A156</f>
        <v>Green Tea Frappe|16 oz|100%</v>
      </c>
    </row>
    <row r="160" spans="1:26" x14ac:dyDescent="0.25">
      <c r="A160" s="4" t="str">
        <f>IF(ข้อมูลสูตร!$A157="","",ข้อมูลสูตร!B157)</f>
        <v>Green Tea Frappe</v>
      </c>
      <c r="B160" s="4" t="str">
        <f>IF(ข้อมูลสูตร!$A157="","",ข้อมูลสูตร!C157)</f>
        <v>22 oz</v>
      </c>
      <c r="C160" s="4" t="str">
        <f>IF(ข้อมูลสูตร!$A157="","",ข้อมูลสูตร!D157)</f>
        <v>0%</v>
      </c>
      <c r="D160" s="63">
        <f>IF(ข้อมูลสูตร!$A157="","",ข้อมูลสูตร!E157)</f>
        <v>0</v>
      </c>
      <c r="E160" s="63">
        <f>IF(ข้อมูลสูตร!$A157="","",ข้อมูลสูตร!F157)</f>
        <v>124</v>
      </c>
      <c r="F160" s="63">
        <f>IF(ข้อมูลสูตร!$A157="","",ข้อมูลสูตร!G157)</f>
        <v>96</v>
      </c>
      <c r="G160" s="63">
        <f>IF(ข้อมูลสูตร!$A157="","",ข้อมูลสูตร!H157)</f>
        <v>27.5</v>
      </c>
      <c r="H160" s="63">
        <f>IF(ข้อมูลสูตร!$A157="","",ข้อมูลสูตร!I157)</f>
        <v>0</v>
      </c>
      <c r="I160" s="63">
        <f>IF(ข้อมูลสูตร!$A157="","",ข้อมูลสูตร!J157)</f>
        <v>0</v>
      </c>
      <c r="J160" s="63">
        <f>IF(ข้อมูลสูตร!$A157="","",ข้อมูลสูตร!K157)</f>
        <v>0</v>
      </c>
      <c r="K160" s="63">
        <f>IF(ข้อมูลสูตร!$A157="","",ข้อมูลสูตร!L157)</f>
        <v>0</v>
      </c>
      <c r="L160" s="63">
        <f>IF(ข้อมูลสูตร!$A157="","",ข้อมูลสูตร!M157)</f>
        <v>0</v>
      </c>
      <c r="M160" s="63">
        <f>IF(ข้อมูลสูตร!$A157="","",ข้อมูลสูตร!N157)</f>
        <v>0</v>
      </c>
      <c r="N160" s="63">
        <f>IF(ข้อมูลสูตร!$A157="","",ข้อมูลสูตร!O157)</f>
        <v>0</v>
      </c>
      <c r="O160" s="63">
        <f>IF(ข้อมูลสูตร!$A157="","",ข้อมูลสูตร!P157)</f>
        <v>0</v>
      </c>
      <c r="P160" s="63">
        <f>IF(ข้อมูลสูตร!$A157="","",ข้อมูลสูตร!Q157)</f>
        <v>0</v>
      </c>
      <c r="Q160" s="63">
        <f>IF(ข้อมูลสูตร!$A157="","",ข้อมูลสูตร!R157)</f>
        <v>0</v>
      </c>
      <c r="R160" s="63">
        <f>IF(ข้อมูลสูตร!$A157="","",ข้อมูลสูตร!S157)</f>
        <v>270</v>
      </c>
      <c r="S160" s="63">
        <f>IF(ข้อมูลสูตร!$A157="","",ข้อมูลสูตร!T157)</f>
        <v>0</v>
      </c>
      <c r="T160" s="63">
        <f>IF(ข้อมูลสูตร!$A157="","",ข้อมูลสูตร!U157)</f>
        <v>0</v>
      </c>
      <c r="U160" s="64">
        <f>IF(ข้อมูลสูตร!$A157="","",ข้อมูลสูตร!V157)</f>
        <v>247.5</v>
      </c>
      <c r="V160" s="8">
        <f>IF(ข้อมูลสูตร!$A157="","",ข้อมูลสูตร!W157)</f>
        <v>18.239999999999998</v>
      </c>
      <c r="W160" s="64">
        <f>IF(ข้อมูลสูตร!$A157="","",ข้อมูลสูตร!X157)</f>
        <v>75</v>
      </c>
      <c r="X160" s="23">
        <f>IF(ข้อมูลสูตร!$A157="","",ข้อมูลสูตร!Y157)</f>
        <v>0.75680000000000003</v>
      </c>
      <c r="Y160" s="48" t="str">
        <f>IF(ข้อมูลสูตร!$A157="","",ข้อมูลสูตร!Z157)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60" s="48" t="str">
        <f>ข้อมูลสูตร!$A157</f>
        <v>Green Tea Frappe|22 oz|0%</v>
      </c>
    </row>
    <row r="161" spans="1:26" x14ac:dyDescent="0.25">
      <c r="A161" s="4" t="str">
        <f>IF(ข้อมูลสูตร!$A158="","",ข้อมูลสูตร!B158)</f>
        <v>Green Tea Frappe</v>
      </c>
      <c r="B161" s="4" t="str">
        <f>IF(ข้อมูลสูตร!$A158="","",ข้อมูลสูตร!C158)</f>
        <v>22 oz</v>
      </c>
      <c r="C161" s="4" t="str">
        <f>IF(ข้อมูลสูตร!$A158="","",ข้อมูลสูตร!D158)</f>
        <v>25%</v>
      </c>
      <c r="D161" s="63">
        <f>IF(ข้อมูลสูตร!$A158="","",ข้อมูลสูตร!E158)</f>
        <v>0</v>
      </c>
      <c r="E161" s="63">
        <f>IF(ข้อมูลสูตร!$A158="","",ข้อมูลสูตร!F158)</f>
        <v>124</v>
      </c>
      <c r="F161" s="63">
        <f>IF(ข้อมูลสูตร!$A158="","",ข้อมูลสูตร!G158)</f>
        <v>80.099999999999994</v>
      </c>
      <c r="G161" s="63">
        <f>IF(ข้อมูลสูตร!$A158="","",ข้อมูลสูตร!H158)</f>
        <v>27.5</v>
      </c>
      <c r="H161" s="63">
        <f>IF(ข้อมูลสูตร!$A158="","",ข้อมูลสูตร!I158)</f>
        <v>11</v>
      </c>
      <c r="I161" s="63">
        <f>IF(ข้อมูลสูตร!$A158="","",ข้อมูลสูตร!J158)</f>
        <v>15.9</v>
      </c>
      <c r="J161" s="63">
        <f>IF(ข้อมูลสูตร!$A158="","",ข้อมูลสูตร!K158)</f>
        <v>0</v>
      </c>
      <c r="K161" s="63">
        <f>IF(ข้อมูลสูตร!$A158="","",ข้อมูลสูตร!L158)</f>
        <v>0</v>
      </c>
      <c r="L161" s="63">
        <f>IF(ข้อมูลสูตร!$A158="","",ข้อมูลสูตร!M158)</f>
        <v>0</v>
      </c>
      <c r="M161" s="63">
        <f>IF(ข้อมูลสูตร!$A158="","",ข้อมูลสูตร!N158)</f>
        <v>0</v>
      </c>
      <c r="N161" s="63">
        <f>IF(ข้อมูลสูตร!$A158="","",ข้อมูลสูตร!O158)</f>
        <v>0</v>
      </c>
      <c r="O161" s="63">
        <f>IF(ข้อมูลสูตร!$A158="","",ข้อมูลสูตร!P158)</f>
        <v>0</v>
      </c>
      <c r="P161" s="63">
        <f>IF(ข้อมูลสูตร!$A158="","",ข้อมูลสูตร!Q158)</f>
        <v>0</v>
      </c>
      <c r="Q161" s="63">
        <f>IF(ข้อมูลสูตร!$A158="","",ข้อมูลสูตร!R158)</f>
        <v>0</v>
      </c>
      <c r="R161" s="63">
        <f>IF(ข้อมูลสูตร!$A158="","",ข้อมูลสูตร!S158)</f>
        <v>270</v>
      </c>
      <c r="S161" s="63">
        <f>IF(ข้อมูลสูตร!$A158="","",ข้อมูลสูตร!T158)</f>
        <v>0</v>
      </c>
      <c r="T161" s="63">
        <f>IF(ข้อมูลสูตร!$A158="","",ข้อมูลสูตร!U158)</f>
        <v>0</v>
      </c>
      <c r="U161" s="64">
        <f>IF(ข้อมูลสูตร!$A158="","",ข้อมูลสูตร!V158)</f>
        <v>258.5</v>
      </c>
      <c r="V161" s="8">
        <f>IF(ข้อมูลสูตร!$A158="","",ข้อมูลสูตร!W158)</f>
        <v>18.510000000000002</v>
      </c>
      <c r="W161" s="64">
        <f>IF(ข้อมูลสูตร!$A158="","",ข้อมูลสูตร!X158)</f>
        <v>75</v>
      </c>
      <c r="X161" s="23">
        <f>IF(ข้อมูลสูตร!$A158="","",ข้อมูลสูตร!Y158)</f>
        <v>0.75319999999999998</v>
      </c>
      <c r="Y161" s="48" t="str">
        <f>IF(ข้อมูลสูตร!$A158="","",ข้อมูลสูตร!Z158)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1" s="48" t="str">
        <f>ข้อมูลสูตร!$A158</f>
        <v>Green Tea Frappe|22 oz|25%</v>
      </c>
    </row>
    <row r="162" spans="1:26" x14ac:dyDescent="0.25">
      <c r="A162" s="4" t="str">
        <f>IF(ข้อมูลสูตร!$A159="","",ข้อมูลสูตร!B159)</f>
        <v>Green Tea Frappe</v>
      </c>
      <c r="B162" s="4" t="str">
        <f>IF(ข้อมูลสูตร!$A159="","",ข้อมูลสูตร!C159)</f>
        <v>22 oz</v>
      </c>
      <c r="C162" s="4" t="str">
        <f>IF(ข้อมูลสูตร!$A159="","",ข้อมูลสูตร!D159)</f>
        <v>50%</v>
      </c>
      <c r="D162" s="63">
        <f>IF(ข้อมูลสูตร!$A159="","",ข้อมูลสูตร!E159)</f>
        <v>0</v>
      </c>
      <c r="E162" s="63">
        <f>IF(ข้อมูลสูตร!$A159="","",ข้อมูลสูตร!F159)</f>
        <v>124</v>
      </c>
      <c r="F162" s="63">
        <f>IF(ข้อมูลสูตร!$A159="","",ข้อมูลสูตร!G159)</f>
        <v>80.099999999999994</v>
      </c>
      <c r="G162" s="63">
        <f>IF(ข้อมูลสูตร!$A159="","",ข้อมูลสูตร!H159)</f>
        <v>27.5</v>
      </c>
      <c r="H162" s="63">
        <f>IF(ข้อมูลสูตร!$A159="","",ข้อมูลสูตร!I159)</f>
        <v>22</v>
      </c>
      <c r="I162" s="63">
        <f>IF(ข้อมูลสูตร!$A159="","",ข้อมูลสูตร!J159)</f>
        <v>15.9</v>
      </c>
      <c r="J162" s="63">
        <f>IF(ข้อมูลสูตร!$A159="","",ข้อมูลสูตร!K159)</f>
        <v>0</v>
      </c>
      <c r="K162" s="63">
        <f>IF(ข้อมูลสูตร!$A159="","",ข้อมูลสูตร!L159)</f>
        <v>0</v>
      </c>
      <c r="L162" s="63">
        <f>IF(ข้อมูลสูตร!$A159="","",ข้อมูลสูตร!M159)</f>
        <v>0</v>
      </c>
      <c r="M162" s="63">
        <f>IF(ข้อมูลสูตร!$A159="","",ข้อมูลสูตร!N159)</f>
        <v>0</v>
      </c>
      <c r="N162" s="63">
        <f>IF(ข้อมูลสูตร!$A159="","",ข้อมูลสูตร!O159)</f>
        <v>0</v>
      </c>
      <c r="O162" s="63">
        <f>IF(ข้อมูลสูตร!$A159="","",ข้อมูลสูตร!P159)</f>
        <v>0</v>
      </c>
      <c r="P162" s="63">
        <f>IF(ข้อมูลสูตร!$A159="","",ข้อมูลสูตร!Q159)</f>
        <v>0</v>
      </c>
      <c r="Q162" s="63">
        <f>IF(ข้อมูลสูตร!$A159="","",ข้อมูลสูตร!R159)</f>
        <v>0</v>
      </c>
      <c r="R162" s="63">
        <f>IF(ข้อมูลสูตร!$A159="","",ข้อมูลสูตร!S159)</f>
        <v>270</v>
      </c>
      <c r="S162" s="63">
        <f>IF(ข้อมูลสูตร!$A159="","",ข้อมูลสูตร!T159)</f>
        <v>0</v>
      </c>
      <c r="T162" s="63">
        <f>IF(ข้อมูลสูตร!$A159="","",ข้อมูลสูตร!U159)</f>
        <v>0</v>
      </c>
      <c r="U162" s="64">
        <f>IF(ข้อมูลสูตร!$A159="","",ข้อมูลสูตร!V159)</f>
        <v>269.5</v>
      </c>
      <c r="V162" s="8">
        <f>IF(ข้อมูลสูตร!$A159="","",ข้อมูลสูตร!W159)</f>
        <v>19.27</v>
      </c>
      <c r="W162" s="64">
        <f>IF(ข้อมูลสูตร!$A159="","",ข้อมูลสูตร!X159)</f>
        <v>75</v>
      </c>
      <c r="X162" s="23">
        <f>IF(ข้อมูลสูตร!$A159="","",ข้อมูลสูตร!Y159)</f>
        <v>0.74306666666666676</v>
      </c>
      <c r="Y162" s="48" t="str">
        <f>IF(ข้อมูลสูตร!$A159="","",ข้อมูลสูตร!Z159)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2" s="48" t="str">
        <f>ข้อมูลสูตร!$A159</f>
        <v>Green Tea Frappe|22 oz|50%</v>
      </c>
    </row>
    <row r="163" spans="1:26" x14ac:dyDescent="0.25">
      <c r="A163" s="4" t="str">
        <f>IF(ข้อมูลสูตร!$A160="","",ข้อมูลสูตร!B160)</f>
        <v>Green Tea Frappe</v>
      </c>
      <c r="B163" s="4" t="str">
        <f>IF(ข้อมูลสูตร!$A160="","",ข้อมูลสูตร!C160)</f>
        <v>22 oz</v>
      </c>
      <c r="C163" s="4" t="str">
        <f>IF(ข้อมูลสูตร!$A160="","",ข้อมูลสูตร!D160)</f>
        <v>75%</v>
      </c>
      <c r="D163" s="63">
        <f>IF(ข้อมูลสูตร!$A160="","",ข้อมูลสูตร!E160)</f>
        <v>0</v>
      </c>
      <c r="E163" s="63">
        <f>IF(ข้อมูลสูตร!$A160="","",ข้อมูลสูตร!F160)</f>
        <v>124</v>
      </c>
      <c r="F163" s="63">
        <f>IF(ข้อมูลสูตร!$A160="","",ข้อมูลสูตร!G160)</f>
        <v>80.099999999999994</v>
      </c>
      <c r="G163" s="63">
        <f>IF(ข้อมูลสูตร!$A160="","",ข้อมูลสูตร!H160)</f>
        <v>27.5</v>
      </c>
      <c r="H163" s="63">
        <f>IF(ข้อมูลสูตร!$A160="","",ข้อมูลสูตร!I160)</f>
        <v>33</v>
      </c>
      <c r="I163" s="63">
        <f>IF(ข้อมูลสูตร!$A160="","",ข้อมูลสูตร!J160)</f>
        <v>15.9</v>
      </c>
      <c r="J163" s="63">
        <f>IF(ข้อมูลสูตร!$A160="","",ข้อมูลสูตร!K160)</f>
        <v>0</v>
      </c>
      <c r="K163" s="63">
        <f>IF(ข้อมูลสูตร!$A160="","",ข้อมูลสูตร!L160)</f>
        <v>0</v>
      </c>
      <c r="L163" s="63">
        <f>IF(ข้อมูลสูตร!$A160="","",ข้อมูลสูตร!M160)</f>
        <v>0</v>
      </c>
      <c r="M163" s="63">
        <f>IF(ข้อมูลสูตร!$A160="","",ข้อมูลสูตร!N160)</f>
        <v>0</v>
      </c>
      <c r="N163" s="63">
        <f>IF(ข้อมูลสูตร!$A160="","",ข้อมูลสูตร!O160)</f>
        <v>0</v>
      </c>
      <c r="O163" s="63">
        <f>IF(ข้อมูลสูตร!$A160="","",ข้อมูลสูตร!P160)</f>
        <v>0</v>
      </c>
      <c r="P163" s="63">
        <f>IF(ข้อมูลสูตร!$A160="","",ข้อมูลสูตร!Q160)</f>
        <v>0</v>
      </c>
      <c r="Q163" s="63">
        <f>IF(ข้อมูลสูตร!$A160="","",ข้อมูลสูตร!R160)</f>
        <v>0</v>
      </c>
      <c r="R163" s="63">
        <f>IF(ข้อมูลสูตร!$A160="","",ข้อมูลสูตร!S160)</f>
        <v>270</v>
      </c>
      <c r="S163" s="63">
        <f>IF(ข้อมูลสูตร!$A160="","",ข้อมูลสูตร!T160)</f>
        <v>0</v>
      </c>
      <c r="T163" s="63">
        <f>IF(ข้อมูลสูตร!$A160="","",ข้อมูลสูตร!U160)</f>
        <v>0</v>
      </c>
      <c r="U163" s="64">
        <f>IF(ข้อมูลสูตร!$A160="","",ข้อมูลสูตร!V160)</f>
        <v>280.5</v>
      </c>
      <c r="V163" s="8">
        <f>IF(ข้อมูลสูตร!$A160="","",ข้อมูลสูตร!W160)</f>
        <v>20.03</v>
      </c>
      <c r="W163" s="64">
        <f>IF(ข้อมูลสูตร!$A160="","",ข้อมูลสูตร!X160)</f>
        <v>75</v>
      </c>
      <c r="X163" s="23">
        <f>IF(ข้อมูลสูตร!$A160="","",ข้อมูลสูตร!Y160)</f>
        <v>0.73293333333333333</v>
      </c>
      <c r="Y163" s="48" t="str">
        <f>IF(ข้อมูลสูตร!$A160="","",ข้อมูลสูตร!Z160)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3" s="48" t="str">
        <f>ข้อมูลสูตร!$A160</f>
        <v>Green Tea Frappe|22 oz|75%</v>
      </c>
    </row>
    <row r="164" spans="1:26" x14ac:dyDescent="0.25">
      <c r="A164" s="4" t="str">
        <f>IF(ข้อมูลสูตร!$A161="","",ข้อมูลสูตร!B161)</f>
        <v>Green Tea Frappe</v>
      </c>
      <c r="B164" s="4" t="str">
        <f>IF(ข้อมูลสูตร!$A161="","",ข้อมูลสูตร!C161)</f>
        <v>22 oz</v>
      </c>
      <c r="C164" s="4" t="str">
        <f>IF(ข้อมูลสูตร!$A161="","",ข้อมูลสูตร!D161)</f>
        <v>100%</v>
      </c>
      <c r="D164" s="63">
        <f>IF(ข้อมูลสูตร!$A161="","",ข้อมูลสูตร!E161)</f>
        <v>0</v>
      </c>
      <c r="E164" s="63">
        <f>IF(ข้อมูลสูตร!$A161="","",ข้อมูลสูตร!F161)</f>
        <v>124</v>
      </c>
      <c r="F164" s="63">
        <f>IF(ข้อมูลสูตร!$A161="","",ข้อมูลสูตร!G161)</f>
        <v>80.099999999999994</v>
      </c>
      <c r="G164" s="63">
        <f>IF(ข้อมูลสูตร!$A161="","",ข้อมูลสูตร!H161)</f>
        <v>27.5</v>
      </c>
      <c r="H164" s="63">
        <f>IF(ข้อมูลสูตร!$A161="","",ข้อมูลสูตร!I161)</f>
        <v>44</v>
      </c>
      <c r="I164" s="63">
        <f>IF(ข้อมูลสูตร!$A161="","",ข้อมูลสูตร!J161)</f>
        <v>15.9</v>
      </c>
      <c r="J164" s="63">
        <f>IF(ข้อมูลสูตร!$A161="","",ข้อมูลสูตร!K161)</f>
        <v>0</v>
      </c>
      <c r="K164" s="63">
        <f>IF(ข้อมูลสูตร!$A161="","",ข้อมูลสูตร!L161)</f>
        <v>0</v>
      </c>
      <c r="L164" s="63">
        <f>IF(ข้อมูลสูตร!$A161="","",ข้อมูลสูตร!M161)</f>
        <v>0</v>
      </c>
      <c r="M164" s="63">
        <f>IF(ข้อมูลสูตร!$A161="","",ข้อมูลสูตร!N161)</f>
        <v>0</v>
      </c>
      <c r="N164" s="63">
        <f>IF(ข้อมูลสูตร!$A161="","",ข้อมูลสูตร!O161)</f>
        <v>0</v>
      </c>
      <c r="O164" s="63">
        <f>IF(ข้อมูลสูตร!$A161="","",ข้อมูลสูตร!P161)</f>
        <v>0</v>
      </c>
      <c r="P164" s="63">
        <f>IF(ข้อมูลสูตร!$A161="","",ข้อมูลสูตร!Q161)</f>
        <v>0</v>
      </c>
      <c r="Q164" s="63">
        <f>IF(ข้อมูลสูตร!$A161="","",ข้อมูลสูตร!R161)</f>
        <v>0</v>
      </c>
      <c r="R164" s="63">
        <f>IF(ข้อมูลสูตร!$A161="","",ข้อมูลสูตร!S161)</f>
        <v>270</v>
      </c>
      <c r="S164" s="63">
        <f>IF(ข้อมูลสูตร!$A161="","",ข้อมูลสูตร!T161)</f>
        <v>0</v>
      </c>
      <c r="T164" s="63">
        <f>IF(ข้อมูลสูตร!$A161="","",ข้อมูลสูตร!U161)</f>
        <v>0</v>
      </c>
      <c r="U164" s="64">
        <f>IF(ข้อมูลสูตร!$A161="","",ข้อมูลสูตร!V161)</f>
        <v>291.5</v>
      </c>
      <c r="V164" s="8">
        <f>IF(ข้อมูลสูตร!$A161="","",ข้อมูลสูตร!W161)</f>
        <v>20.79</v>
      </c>
      <c r="W164" s="64">
        <f>IF(ข้อมูลสูตร!$A161="","",ข้อมูลสูตร!X161)</f>
        <v>75</v>
      </c>
      <c r="X164" s="23">
        <f>IF(ข้อมูลสูตร!$A161="","",ข้อมูลสูตร!Y161)</f>
        <v>0.7228</v>
      </c>
      <c r="Y164" s="48" t="str">
        <f>IF(ข้อมูลสูตร!$A161="","",ข้อมูลสูตร!Z161)</f>
        <v>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4" s="48" t="str">
        <f>ข้อมูลสูตร!$A161</f>
        <v>Green Tea Frappe|22 oz|100%</v>
      </c>
    </row>
    <row r="165" spans="1:26" x14ac:dyDescent="0.25">
      <c r="A165" s="4" t="str">
        <f>IF(ข้อมูลสูตร!$A162="","",ข้อมูลสูตร!B162)</f>
        <v>Green Latte</v>
      </c>
      <c r="B165" s="4" t="str">
        <f>IF(ข้อมูลสูตร!$A162="","",ข้อมูลสูตร!C162)</f>
        <v>16 oz</v>
      </c>
      <c r="C165" s="4" t="str">
        <f>IF(ข้อมูลสูตร!$A162="","",ข้อมูลสูตร!D162)</f>
        <v>0%</v>
      </c>
      <c r="D165" s="63">
        <f>IF(ข้อมูลสูตร!$A162="","",ข้อมูลสูตร!E162)</f>
        <v>0</v>
      </c>
      <c r="E165" s="63">
        <f>IF(ข้อมูลสูตร!$A162="","",ข้อมูลสูตร!F162)</f>
        <v>130</v>
      </c>
      <c r="F165" s="63">
        <f>IF(ข้อมูลสูตร!$A162="","",ข้อมูลสูตร!G162)</f>
        <v>50</v>
      </c>
      <c r="G165" s="63">
        <f>IF(ข้อมูลสูตร!$A162="","",ข้อมูลสูตร!H162)</f>
        <v>20</v>
      </c>
      <c r="H165" s="63">
        <f>IF(ข้อมูลสูตร!$A162="","",ข้อมูลสูตร!I162)</f>
        <v>0</v>
      </c>
      <c r="I165" s="63">
        <f>IF(ข้อมูลสูตร!$A162="","",ข้อมูลสูตร!J162)</f>
        <v>0</v>
      </c>
      <c r="J165" s="63">
        <f>IF(ข้อมูลสูตร!$A162="","",ข้อมูลสูตร!K162)</f>
        <v>0</v>
      </c>
      <c r="K165" s="63">
        <f>IF(ข้อมูลสูตร!$A162="","",ข้อมูลสูตร!L162)</f>
        <v>0</v>
      </c>
      <c r="L165" s="63">
        <f>IF(ข้อมูลสูตร!$A162="","",ข้อมูลสูตร!M162)</f>
        <v>0</v>
      </c>
      <c r="M165" s="63">
        <f>IF(ข้อมูลสูตร!$A162="","",ข้อมูลสูตร!N162)</f>
        <v>0</v>
      </c>
      <c r="N165" s="63">
        <f>IF(ข้อมูลสูตร!$A162="","",ข้อมูลสูตร!O162)</f>
        <v>0</v>
      </c>
      <c r="O165" s="63">
        <f>IF(ข้อมูลสูตร!$A162="","",ข้อมูลสูตร!P162)</f>
        <v>0</v>
      </c>
      <c r="P165" s="63">
        <f>IF(ข้อมูลสูตร!$A162="","",ข้อมูลสูตร!Q162)</f>
        <v>0</v>
      </c>
      <c r="Q165" s="63">
        <f>IF(ข้อมูลสูตร!$A162="","",ข้อมูลสูตร!R162)</f>
        <v>0</v>
      </c>
      <c r="R165" s="63">
        <f>IF(ข้อมูลสูตร!$A162="","",ข้อมูลสูตร!S162)</f>
        <v>240</v>
      </c>
      <c r="S165" s="63">
        <f>IF(ข้อมูลสูตร!$A162="","",ข้อมูลสูตร!T162)</f>
        <v>0</v>
      </c>
      <c r="T165" s="63">
        <f>IF(ข้อมูลสูตร!$A162="","",ข้อมูลสูตร!U162)</f>
        <v>0</v>
      </c>
      <c r="U165" s="64">
        <f>IF(ข้อมูลสูตร!$A162="","",ข้อมูลสูตร!V162)</f>
        <v>200</v>
      </c>
      <c r="V165" s="8">
        <f>IF(ข้อมูลสูตร!$A162="","",ข้อมูลสูตร!W162)</f>
        <v>14.4</v>
      </c>
      <c r="W165" s="64">
        <f>IF(ข้อมูลสูตร!$A162="","",ข้อมูลสูตร!X162)</f>
        <v>50</v>
      </c>
      <c r="X165" s="23">
        <f>IF(ข้อมูลสูตร!$A162="","",ข้อมูลสูตร!Y162)</f>
        <v>0.71200000000000008</v>
      </c>
      <c r="Y165" s="48" t="str">
        <f>IF(ข้อมูลสูตร!$A162="","",ข้อมูลสูตร!Z162)</f>
        <v>เมนูใหม่ (ชาเขียว) — เรียบเรียงจากสูตรเว็บ/โซเชียล สเกลหวาน/ขนาดตามแพทเทิร์น Latte (ดูแหล่งที่มาใน comment B162)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65" s="48" t="str">
        <f>ข้อมูลสูตร!$A162</f>
        <v>Green Latte|16 oz|0%</v>
      </c>
    </row>
    <row r="166" spans="1:26" x14ac:dyDescent="0.25">
      <c r="A166" s="4" t="str">
        <f>IF(ข้อมูลสูตร!$A163="","",ข้อมูลสูตร!B163)</f>
        <v>Green Latte</v>
      </c>
      <c r="B166" s="4" t="str">
        <f>IF(ข้อมูลสูตร!$A163="","",ข้อมูลสูตร!C163)</f>
        <v>16 oz</v>
      </c>
      <c r="C166" s="4" t="str">
        <f>IF(ข้อมูลสูตร!$A163="","",ข้อมูลสูตร!D163)</f>
        <v>25%</v>
      </c>
      <c r="D166" s="63">
        <f>IF(ข้อมูลสูตร!$A163="","",ข้อมูลสูตร!E163)</f>
        <v>0</v>
      </c>
      <c r="E166" s="63">
        <f>IF(ข้อมูลสูตร!$A163="","",ข้อมูลสูตร!F163)</f>
        <v>130</v>
      </c>
      <c r="F166" s="63">
        <f>IF(ข้อมูลสูตร!$A163="","",ข้อมูลสูตร!G163)</f>
        <v>30.4</v>
      </c>
      <c r="G166" s="63">
        <f>IF(ข้อมูลสูตร!$A163="","",ข้อมูลสูตร!H163)</f>
        <v>20</v>
      </c>
      <c r="H166" s="63">
        <f>IF(ข้อมูลสูตร!$A163="","",ข้อมูลสูตร!I163)</f>
        <v>0</v>
      </c>
      <c r="I166" s="63">
        <f>IF(ข้อมูลสูตร!$A163="","",ข้อมูลสูตร!J163)</f>
        <v>23.6</v>
      </c>
      <c r="J166" s="63">
        <f>IF(ข้อมูลสูตร!$A163="","",ข้อมูลสูตร!K163)</f>
        <v>0</v>
      </c>
      <c r="K166" s="63">
        <f>IF(ข้อมูลสูตร!$A163="","",ข้อมูลสูตร!L163)</f>
        <v>0</v>
      </c>
      <c r="L166" s="63">
        <f>IF(ข้อมูลสูตร!$A163="","",ข้อมูลสูตร!M163)</f>
        <v>0</v>
      </c>
      <c r="M166" s="63">
        <f>IF(ข้อมูลสูตร!$A163="","",ข้อมูลสูตร!N163)</f>
        <v>0</v>
      </c>
      <c r="N166" s="63">
        <f>IF(ข้อมูลสูตร!$A163="","",ข้อมูลสูตร!O163)</f>
        <v>0</v>
      </c>
      <c r="O166" s="63">
        <f>IF(ข้อมูลสูตร!$A163="","",ข้อมูลสูตร!P163)</f>
        <v>0</v>
      </c>
      <c r="P166" s="63">
        <f>IF(ข้อมูลสูตร!$A163="","",ข้อมูลสูตร!Q163)</f>
        <v>0</v>
      </c>
      <c r="Q166" s="63">
        <f>IF(ข้อมูลสูตร!$A163="","",ข้อมูลสูตร!R163)</f>
        <v>0</v>
      </c>
      <c r="R166" s="63">
        <f>IF(ข้อมูลสูตร!$A163="","",ข้อมูลสูตร!S163)</f>
        <v>240</v>
      </c>
      <c r="S166" s="63">
        <f>IF(ข้อมูลสูตร!$A163="","",ข้อมูลสูตร!T163)</f>
        <v>0</v>
      </c>
      <c r="T166" s="63">
        <f>IF(ข้อมูลสูตร!$A163="","",ข้อมูลสูตร!U163)</f>
        <v>0</v>
      </c>
      <c r="U166" s="64">
        <f>IF(ข้อมูลสูตร!$A163="","",ข้อมูลสูตร!V163)</f>
        <v>204</v>
      </c>
      <c r="V166" s="8">
        <f>IF(ข้อมูลสูตร!$A163="","",ข้อมูลสูตร!W163)</f>
        <v>13.86</v>
      </c>
      <c r="W166" s="64">
        <f>IF(ข้อมูลสูตร!$A163="","",ข้อมูลสูตร!X163)</f>
        <v>50</v>
      </c>
      <c r="X166" s="23">
        <f>IF(ข้อมูลสูตร!$A163="","",ข้อมูลสูตร!Y163)</f>
        <v>0.7228</v>
      </c>
      <c r="Y166" s="48" t="str">
        <f>IF(ข้อมูลสูตร!$A163="","",ข้อมูลสูตร!Z163)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6" s="48" t="str">
        <f>ข้อมูลสูตร!$A163</f>
        <v>Green Latte|16 oz|25%</v>
      </c>
    </row>
    <row r="167" spans="1:26" x14ac:dyDescent="0.25">
      <c r="A167" s="4" t="str">
        <f>IF(ข้อมูลสูตร!$A164="","",ข้อมูลสูตร!B164)</f>
        <v>Green Latte</v>
      </c>
      <c r="B167" s="4" t="str">
        <f>IF(ข้อมูลสูตร!$A164="","",ข้อมูลสูตร!C164)</f>
        <v>16 oz</v>
      </c>
      <c r="C167" s="4" t="str">
        <f>IF(ข้อมูลสูตร!$A164="","",ข้อมูลสูตร!D164)</f>
        <v>50%</v>
      </c>
      <c r="D167" s="63">
        <f>IF(ข้อมูลสูตร!$A164="","",ข้อมูลสูตร!E164)</f>
        <v>0</v>
      </c>
      <c r="E167" s="63">
        <f>IF(ข้อมูลสูตร!$A164="","",ข้อมูลสูตร!F164)</f>
        <v>130</v>
      </c>
      <c r="F167" s="63">
        <f>IF(ข้อมูลสูตร!$A164="","",ข้อมูลสูตร!G164)</f>
        <v>27.4</v>
      </c>
      <c r="G167" s="63">
        <f>IF(ข้อมูลสูตร!$A164="","",ข้อมูลสูตร!H164)</f>
        <v>20</v>
      </c>
      <c r="H167" s="63">
        <f>IF(ข้อมูลสูตร!$A164="","",ข้อมูลสูตร!I164)</f>
        <v>0</v>
      </c>
      <c r="I167" s="63">
        <f>IF(ข้อมูลสูตร!$A164="","",ข้อมูลสูตร!J164)</f>
        <v>30.6</v>
      </c>
      <c r="J167" s="63">
        <f>IF(ข้อมูลสูตร!$A164="","",ข้อมูลสูตร!K164)</f>
        <v>0</v>
      </c>
      <c r="K167" s="63">
        <f>IF(ข้อมูลสูตร!$A164="","",ข้อมูลสูตร!L164)</f>
        <v>0</v>
      </c>
      <c r="L167" s="63">
        <f>IF(ข้อมูลสูตร!$A164="","",ข้อมูลสูตร!M164)</f>
        <v>0</v>
      </c>
      <c r="M167" s="63">
        <f>IF(ข้อมูลสูตร!$A164="","",ข้อมูลสูตร!N164)</f>
        <v>0</v>
      </c>
      <c r="N167" s="63">
        <f>IF(ข้อมูลสูตร!$A164="","",ข้อมูลสูตร!O164)</f>
        <v>0</v>
      </c>
      <c r="O167" s="63">
        <f>IF(ข้อมูลสูตร!$A164="","",ข้อมูลสูตร!P164)</f>
        <v>0</v>
      </c>
      <c r="P167" s="63">
        <f>IF(ข้อมูลสูตร!$A164="","",ข้อมูลสูตร!Q164)</f>
        <v>0</v>
      </c>
      <c r="Q167" s="63">
        <f>IF(ข้อมูลสูตร!$A164="","",ข้อมูลสูตร!R164)</f>
        <v>0</v>
      </c>
      <c r="R167" s="63">
        <f>IF(ข้อมูลสูตร!$A164="","",ข้อมูลสูตร!S164)</f>
        <v>240</v>
      </c>
      <c r="S167" s="63">
        <f>IF(ข้อมูลสูตร!$A164="","",ข้อมูลสูตร!T164)</f>
        <v>0</v>
      </c>
      <c r="T167" s="63">
        <f>IF(ข้อมูลสูตร!$A164="","",ข้อมูลสูตร!U164)</f>
        <v>0</v>
      </c>
      <c r="U167" s="64">
        <f>IF(ข้อมูลสูตร!$A164="","",ข้อมูลสูตร!V164)</f>
        <v>208</v>
      </c>
      <c r="V167" s="8">
        <f>IF(ข้อมูลสูตร!$A164="","",ข้อมูลสูตร!W164)</f>
        <v>13.83</v>
      </c>
      <c r="W167" s="64">
        <f>IF(ข้อมูลสูตร!$A164="","",ข้อมูลสูตร!X164)</f>
        <v>50</v>
      </c>
      <c r="X167" s="23">
        <f>IF(ข้อมูลสูตร!$A164="","",ข้อมูลสูตร!Y164)</f>
        <v>0.72340000000000004</v>
      </c>
      <c r="Y167" s="48" t="str">
        <f>IF(ข้อมูลสูตร!$A164="","",ข้อมูลสูตร!Z164)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7" s="48" t="str">
        <f>ข้อมูลสูตร!$A164</f>
        <v>Green Latte|16 oz|50%</v>
      </c>
    </row>
    <row r="168" spans="1:26" x14ac:dyDescent="0.25">
      <c r="A168" s="4" t="str">
        <f>IF(ข้อมูลสูตร!$A165="","",ข้อมูลสูตร!B165)</f>
        <v>Green Latte</v>
      </c>
      <c r="B168" s="4" t="str">
        <f>IF(ข้อมูลสูตร!$A165="","",ข้อมูลสูตร!C165)</f>
        <v>16 oz</v>
      </c>
      <c r="C168" s="4" t="str">
        <f>IF(ข้อมูลสูตร!$A165="","",ข้อมูลสูตร!D165)</f>
        <v>75%</v>
      </c>
      <c r="D168" s="63">
        <f>IF(ข้อมูลสูตร!$A165="","",ข้อมูลสูตร!E165)</f>
        <v>0</v>
      </c>
      <c r="E168" s="63">
        <f>IF(ข้อมูลสูตร!$A165="","",ข้อมูลสูตร!F165)</f>
        <v>130</v>
      </c>
      <c r="F168" s="63">
        <f>IF(ข้อมูลสูตร!$A165="","",ข้อมูลสูตร!G165)</f>
        <v>24.4</v>
      </c>
      <c r="G168" s="63">
        <f>IF(ข้อมูลสูตร!$A165="","",ข้อมูลสูตร!H165)</f>
        <v>20</v>
      </c>
      <c r="H168" s="63">
        <f>IF(ข้อมูลสูตร!$A165="","",ข้อมูลสูตร!I165)</f>
        <v>0</v>
      </c>
      <c r="I168" s="63">
        <f>IF(ข้อมูลสูตร!$A165="","",ข้อมูลสูตร!J165)</f>
        <v>37.6</v>
      </c>
      <c r="J168" s="63">
        <f>IF(ข้อมูลสูตร!$A165="","",ข้อมูลสูตร!K165)</f>
        <v>0</v>
      </c>
      <c r="K168" s="63">
        <f>IF(ข้อมูลสูตร!$A165="","",ข้อมูลสูตร!L165)</f>
        <v>0</v>
      </c>
      <c r="L168" s="63">
        <f>IF(ข้อมูลสูตร!$A165="","",ข้อมูลสูตร!M165)</f>
        <v>0</v>
      </c>
      <c r="M168" s="63">
        <f>IF(ข้อมูลสูตร!$A165="","",ข้อมูลสูตร!N165)</f>
        <v>0</v>
      </c>
      <c r="N168" s="63">
        <f>IF(ข้อมูลสูตร!$A165="","",ข้อมูลสูตร!O165)</f>
        <v>0</v>
      </c>
      <c r="O168" s="63">
        <f>IF(ข้อมูลสูตร!$A165="","",ข้อมูลสูตร!P165)</f>
        <v>0</v>
      </c>
      <c r="P168" s="63">
        <f>IF(ข้อมูลสูตร!$A165="","",ข้อมูลสูตร!Q165)</f>
        <v>0</v>
      </c>
      <c r="Q168" s="63">
        <f>IF(ข้อมูลสูตร!$A165="","",ข้อมูลสูตร!R165)</f>
        <v>0</v>
      </c>
      <c r="R168" s="63">
        <f>IF(ข้อมูลสูตร!$A165="","",ข้อมูลสูตร!S165)</f>
        <v>240</v>
      </c>
      <c r="S168" s="63">
        <f>IF(ข้อมูลสูตร!$A165="","",ข้อมูลสูตร!T165)</f>
        <v>0</v>
      </c>
      <c r="T168" s="63">
        <f>IF(ข้อมูลสูตร!$A165="","",ข้อมูลสูตร!U165)</f>
        <v>0</v>
      </c>
      <c r="U168" s="64">
        <f>IF(ข้อมูลสูตร!$A165="","",ข้อมูลสูตร!V165)</f>
        <v>212</v>
      </c>
      <c r="V168" s="8">
        <f>IF(ข้อมูลสูตร!$A165="","",ข้อมูลสูตร!W165)</f>
        <v>13.81</v>
      </c>
      <c r="W168" s="64">
        <f>IF(ข้อมูลสูตร!$A165="","",ข้อมูลสูตร!X165)</f>
        <v>50</v>
      </c>
      <c r="X168" s="23">
        <f>IF(ข้อมูลสูตร!$A165="","",ข้อมูลสูตร!Y165)</f>
        <v>0.7238</v>
      </c>
      <c r="Y168" s="48" t="str">
        <f>IF(ข้อมูลสูตร!$A165="","",ข้อมูลสูตร!Z165)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8" s="48" t="str">
        <f>ข้อมูลสูตร!$A165</f>
        <v>Green Latte|16 oz|75%</v>
      </c>
    </row>
    <row r="169" spans="1:26" x14ac:dyDescent="0.25">
      <c r="A169" s="4" t="str">
        <f>IF(ข้อมูลสูตร!$A166="","",ข้อมูลสูตร!B166)</f>
        <v>Green Latte</v>
      </c>
      <c r="B169" s="4" t="str">
        <f>IF(ข้อมูลสูตร!$A166="","",ข้อมูลสูตร!C166)</f>
        <v>16 oz</v>
      </c>
      <c r="C169" s="4" t="str">
        <f>IF(ข้อมูลสูตร!$A166="","",ข้อมูลสูตร!D166)</f>
        <v>100%</v>
      </c>
      <c r="D169" s="63">
        <f>IF(ข้อมูลสูตร!$A166="","",ข้อมูลสูตร!E166)</f>
        <v>0</v>
      </c>
      <c r="E169" s="63">
        <f>IF(ข้อมูลสูตร!$A166="","",ข้อมูลสูตร!F166)</f>
        <v>130</v>
      </c>
      <c r="F169" s="63">
        <f>IF(ข้อมูลสูตร!$A166="","",ข้อมูลสูตร!G166)</f>
        <v>21.4</v>
      </c>
      <c r="G169" s="63">
        <f>IF(ข้อมูลสูตร!$A166="","",ข้อมูลสูตร!H166)</f>
        <v>20</v>
      </c>
      <c r="H169" s="63">
        <f>IF(ข้อมูลสูตร!$A166="","",ข้อมูลสูตร!I166)</f>
        <v>0</v>
      </c>
      <c r="I169" s="63">
        <f>IF(ข้อมูลสูตร!$A166="","",ข้อมูลสูตร!J166)</f>
        <v>44.6</v>
      </c>
      <c r="J169" s="63">
        <f>IF(ข้อมูลสูตร!$A166="","",ข้อมูลสูตร!K166)</f>
        <v>0</v>
      </c>
      <c r="K169" s="63">
        <f>IF(ข้อมูลสูตร!$A166="","",ข้อมูลสูตร!L166)</f>
        <v>0</v>
      </c>
      <c r="L169" s="63">
        <f>IF(ข้อมูลสูตร!$A166="","",ข้อมูลสูตร!M166)</f>
        <v>0</v>
      </c>
      <c r="M169" s="63">
        <f>IF(ข้อมูลสูตร!$A166="","",ข้อมูลสูตร!N166)</f>
        <v>0</v>
      </c>
      <c r="N169" s="63">
        <f>IF(ข้อมูลสูตร!$A166="","",ข้อมูลสูตร!O166)</f>
        <v>0</v>
      </c>
      <c r="O169" s="63">
        <f>IF(ข้อมูลสูตร!$A166="","",ข้อมูลสูตร!P166)</f>
        <v>0</v>
      </c>
      <c r="P169" s="63">
        <f>IF(ข้อมูลสูตร!$A166="","",ข้อมูลสูตร!Q166)</f>
        <v>0</v>
      </c>
      <c r="Q169" s="63">
        <f>IF(ข้อมูลสูตร!$A166="","",ข้อมูลสูตร!R166)</f>
        <v>0</v>
      </c>
      <c r="R169" s="63">
        <f>IF(ข้อมูลสูตร!$A166="","",ข้อมูลสูตร!S166)</f>
        <v>240</v>
      </c>
      <c r="S169" s="63">
        <f>IF(ข้อมูลสูตร!$A166="","",ข้อมูลสูตร!T166)</f>
        <v>0</v>
      </c>
      <c r="T169" s="63">
        <f>IF(ข้อมูลสูตร!$A166="","",ข้อมูลสูตร!U166)</f>
        <v>0</v>
      </c>
      <c r="U169" s="64">
        <f>IF(ข้อมูลสูตร!$A166="","",ข้อมูลสูตร!V166)</f>
        <v>216</v>
      </c>
      <c r="V169" s="8">
        <f>IF(ข้อมูลสูตร!$A166="","",ข้อมูลสูตร!W166)</f>
        <v>13.78</v>
      </c>
      <c r="W169" s="64">
        <f>IF(ข้อมูลสูตร!$A166="","",ข้อมูลสูตร!X166)</f>
        <v>50</v>
      </c>
      <c r="X169" s="23">
        <f>IF(ข้อมูลสูตร!$A166="","",ข้อมูลสูตร!Y166)</f>
        <v>0.72439999999999993</v>
      </c>
      <c r="Y169" s="48" t="str">
        <f>IF(ข้อมูลสูตร!$A166="","",ข้อมูลสูตร!Z166)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69" s="48" t="str">
        <f>ข้อมูลสูตร!$A166</f>
        <v>Green Latte|16 oz|100%</v>
      </c>
    </row>
    <row r="170" spans="1:26" x14ac:dyDescent="0.25">
      <c r="A170" s="4" t="str">
        <f>IF(ข้อมูลสูตร!$A167="","",ข้อมูลสูตร!B167)</f>
        <v>Green Latte</v>
      </c>
      <c r="B170" s="4" t="str">
        <f>IF(ข้อมูลสูตร!$A167="","",ข้อมูลสูตร!C167)</f>
        <v>22 oz</v>
      </c>
      <c r="C170" s="4" t="str">
        <f>IF(ข้อมูลสูตร!$A167="","",ข้อมูลสูตร!D167)</f>
        <v>0%</v>
      </c>
      <c r="D170" s="63">
        <f>IF(ข้อมูลสูตร!$A167="","",ข้อมูลสูตร!E167)</f>
        <v>0</v>
      </c>
      <c r="E170" s="63">
        <f>IF(ข้อมูลสูตร!$A167="","",ข้อมูลสูตร!F167)</f>
        <v>179</v>
      </c>
      <c r="F170" s="63">
        <f>IF(ข้อมูลสูตร!$A167="","",ข้อมูลสูตร!G167)</f>
        <v>69</v>
      </c>
      <c r="G170" s="63">
        <f>IF(ข้อมูลสูตร!$A167="","",ข้อมูลสูตร!H167)</f>
        <v>27.5</v>
      </c>
      <c r="H170" s="63">
        <f>IF(ข้อมูลสูตร!$A167="","",ข้อมูลสูตร!I167)</f>
        <v>0</v>
      </c>
      <c r="I170" s="63">
        <f>IF(ข้อมูลสูตร!$A167="","",ข้อมูลสูตร!J167)</f>
        <v>0</v>
      </c>
      <c r="J170" s="63">
        <f>IF(ข้อมูลสูตร!$A167="","",ข้อมูลสูตร!K167)</f>
        <v>0</v>
      </c>
      <c r="K170" s="63">
        <f>IF(ข้อมูลสูตร!$A167="","",ข้อมูลสูตร!L167)</f>
        <v>0</v>
      </c>
      <c r="L170" s="63">
        <f>IF(ข้อมูลสูตร!$A167="","",ข้อมูลสูตร!M167)</f>
        <v>0</v>
      </c>
      <c r="M170" s="63">
        <f>IF(ข้อมูลสูตร!$A167="","",ข้อมูลสูตร!N167)</f>
        <v>0</v>
      </c>
      <c r="N170" s="63">
        <f>IF(ข้อมูลสูตร!$A167="","",ข้อมูลสูตร!O167)</f>
        <v>0</v>
      </c>
      <c r="O170" s="63">
        <f>IF(ข้อมูลสูตร!$A167="","",ข้อมูลสูตร!P167)</f>
        <v>0</v>
      </c>
      <c r="P170" s="63">
        <f>IF(ข้อมูลสูตร!$A167="","",ข้อมูลสูตร!Q167)</f>
        <v>0</v>
      </c>
      <c r="Q170" s="63">
        <f>IF(ข้อมูลสูตร!$A167="","",ข้อมูลสูตร!R167)</f>
        <v>0</v>
      </c>
      <c r="R170" s="63">
        <f>IF(ข้อมูลสูตร!$A167="","",ข้อมูลสูตร!S167)</f>
        <v>330</v>
      </c>
      <c r="S170" s="63">
        <f>IF(ข้อมูลสูตร!$A167="","",ข้อมูลสูตร!T167)</f>
        <v>0</v>
      </c>
      <c r="T170" s="63">
        <f>IF(ข้อมูลสูตร!$A167="","",ข้อมูลสูตร!U167)</f>
        <v>0</v>
      </c>
      <c r="U170" s="64">
        <f>IF(ข้อมูลสูตร!$A167="","",ข้อมูลสูตร!V167)</f>
        <v>275.5</v>
      </c>
      <c r="V170" s="8">
        <f>IF(ข้อมูลสูตร!$A167="","",ข้อมูลสูตร!W167)</f>
        <v>19.12</v>
      </c>
      <c r="W170" s="64">
        <f>IF(ข้อมูลสูตร!$A167="","",ข้อมูลสูตร!X167)</f>
        <v>60</v>
      </c>
      <c r="X170" s="23">
        <f>IF(ข้อมูลสูตร!$A167="","",ข้อมูลสูตร!Y167)</f>
        <v>0.68133333333333324</v>
      </c>
      <c r="Y170" s="48" t="str">
        <f>IF(ข้อมูลสูตร!$A167="","",ข้อมูลสูตร!Z167)</f>
        <v>เมนูใหม่ (ชาเขียว) — สเกลตามแพทเทิร์น Latte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70" s="48" t="str">
        <f>ข้อมูลสูตร!$A167</f>
        <v>Green Latte|22 oz|0%</v>
      </c>
    </row>
    <row r="171" spans="1:26" x14ac:dyDescent="0.25">
      <c r="A171" s="4" t="str">
        <f>IF(ข้อมูลสูตร!$A168="","",ข้อมูลสูตร!B168)</f>
        <v>Green Latte</v>
      </c>
      <c r="B171" s="4" t="str">
        <f>IF(ข้อมูลสูตร!$A168="","",ข้อมูลสูตร!C168)</f>
        <v>22 oz</v>
      </c>
      <c r="C171" s="4" t="str">
        <f>IF(ข้อมูลสูตร!$A168="","",ข้อมูลสูตร!D168)</f>
        <v>25%</v>
      </c>
      <c r="D171" s="63">
        <f>IF(ข้อมูลสูตร!$A168="","",ข้อมูลสูตร!E168)</f>
        <v>0</v>
      </c>
      <c r="E171" s="63">
        <f>IF(ข้อมูลสูตร!$A168="","",ข้อมูลสูตร!F168)</f>
        <v>179</v>
      </c>
      <c r="F171" s="63">
        <f>IF(ข้อมูลสูตร!$A168="","",ข้อมูลสูตร!G168)</f>
        <v>41.6</v>
      </c>
      <c r="G171" s="63">
        <f>IF(ข้อมูลสูตร!$A168="","",ข้อมูลสูตร!H168)</f>
        <v>27.5</v>
      </c>
      <c r="H171" s="63">
        <f>IF(ข้อมูลสูตร!$A168="","",ข้อมูลสูตร!I168)</f>
        <v>0</v>
      </c>
      <c r="I171" s="63">
        <f>IF(ข้อมูลสูตร!$A168="","",ข้อมูลสูตร!J168)</f>
        <v>32.4</v>
      </c>
      <c r="J171" s="63">
        <f>IF(ข้อมูลสูตร!$A168="","",ข้อมูลสูตร!K168)</f>
        <v>0</v>
      </c>
      <c r="K171" s="63">
        <f>IF(ข้อมูลสูตร!$A168="","",ข้อมูลสูตร!L168)</f>
        <v>0</v>
      </c>
      <c r="L171" s="63">
        <f>IF(ข้อมูลสูตร!$A168="","",ข้อมูลสูตร!M168)</f>
        <v>0</v>
      </c>
      <c r="M171" s="63">
        <f>IF(ข้อมูลสูตร!$A168="","",ข้อมูลสูตร!N168)</f>
        <v>0</v>
      </c>
      <c r="N171" s="63">
        <f>IF(ข้อมูลสูตร!$A168="","",ข้อมูลสูตร!O168)</f>
        <v>0</v>
      </c>
      <c r="O171" s="63">
        <f>IF(ข้อมูลสูตร!$A168="","",ข้อมูลสูตร!P168)</f>
        <v>0</v>
      </c>
      <c r="P171" s="63">
        <f>IF(ข้อมูลสูตร!$A168="","",ข้อมูลสูตร!Q168)</f>
        <v>0</v>
      </c>
      <c r="Q171" s="63">
        <f>IF(ข้อมูลสูตร!$A168="","",ข้อมูลสูตร!R168)</f>
        <v>0</v>
      </c>
      <c r="R171" s="63">
        <f>IF(ข้อมูลสูตร!$A168="","",ข้อมูลสูตร!S168)</f>
        <v>330</v>
      </c>
      <c r="S171" s="63">
        <f>IF(ข้อมูลสูตร!$A168="","",ข้อมูลสูตร!T168)</f>
        <v>0</v>
      </c>
      <c r="T171" s="63">
        <f>IF(ข้อมูลสูตร!$A168="","",ข้อมูลสูตร!U168)</f>
        <v>0</v>
      </c>
      <c r="U171" s="64">
        <f>IF(ข้อมูลสูตร!$A168="","",ข้อมูลสูตร!V168)</f>
        <v>280.5</v>
      </c>
      <c r="V171" s="8">
        <f>IF(ข้อมูลสูตร!$A168="","",ข้อมูลสูตร!W168)</f>
        <v>18.350000000000001</v>
      </c>
      <c r="W171" s="64">
        <f>IF(ข้อมูลสูตร!$A168="","",ข้อมูลสูตร!X168)</f>
        <v>60</v>
      </c>
      <c r="X171" s="23">
        <f>IF(ข้อมูลสูตร!$A168="","",ข้อมูลสูตร!Y168)</f>
        <v>0.6941666666666666</v>
      </c>
      <c r="Y171" s="48" t="str">
        <f>IF(ข้อมูลสูตร!$A168="","",ข้อมูลสูตร!Z168)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71" s="48" t="str">
        <f>ข้อมูลสูตร!$A168</f>
        <v>Green Latte|22 oz|25%</v>
      </c>
    </row>
    <row r="172" spans="1:26" x14ac:dyDescent="0.25">
      <c r="A172" s="4" t="str">
        <f>IF(ข้อมูลสูตร!$A169="","",ข้อมูลสูตร!B169)</f>
        <v>Green Latte</v>
      </c>
      <c r="B172" s="4" t="str">
        <f>IF(ข้อมูลสูตร!$A169="","",ข้อมูลสูตร!C169)</f>
        <v>22 oz</v>
      </c>
      <c r="C172" s="4" t="str">
        <f>IF(ข้อมูลสูตร!$A169="","",ข้อมูลสูตร!D169)</f>
        <v>50%</v>
      </c>
      <c r="D172" s="63">
        <f>IF(ข้อมูลสูตร!$A169="","",ข้อมูลสูตร!E169)</f>
        <v>0</v>
      </c>
      <c r="E172" s="63">
        <f>IF(ข้อมูลสูตร!$A169="","",ข้อมูลสูตร!F169)</f>
        <v>179</v>
      </c>
      <c r="F172" s="63">
        <f>IF(ข้อมูลสูตร!$A169="","",ข้อมูลสูตร!G169)</f>
        <v>37.6</v>
      </c>
      <c r="G172" s="63">
        <f>IF(ข้อมูลสูตร!$A169="","",ข้อมูลสูตร!H169)</f>
        <v>27.5</v>
      </c>
      <c r="H172" s="63">
        <f>IF(ข้อมูลสูตร!$A169="","",ข้อมูลสูตร!I169)</f>
        <v>0</v>
      </c>
      <c r="I172" s="63">
        <f>IF(ข้อมูลสูตร!$A169="","",ข้อมูลสูตร!J169)</f>
        <v>41.9</v>
      </c>
      <c r="J172" s="63">
        <f>IF(ข้อมูลสูตร!$A169="","",ข้อมูลสูตร!K169)</f>
        <v>0</v>
      </c>
      <c r="K172" s="63">
        <f>IF(ข้อมูลสูตร!$A169="","",ข้อมูลสูตร!L169)</f>
        <v>0</v>
      </c>
      <c r="L172" s="63">
        <f>IF(ข้อมูลสูตร!$A169="","",ข้อมูลสูตร!M169)</f>
        <v>0</v>
      </c>
      <c r="M172" s="63">
        <f>IF(ข้อมูลสูตร!$A169="","",ข้อมูลสูตร!N169)</f>
        <v>0</v>
      </c>
      <c r="N172" s="63">
        <f>IF(ข้อมูลสูตร!$A169="","",ข้อมูลสูตร!O169)</f>
        <v>0</v>
      </c>
      <c r="O172" s="63">
        <f>IF(ข้อมูลสูตร!$A169="","",ข้อมูลสูตร!P169)</f>
        <v>0</v>
      </c>
      <c r="P172" s="63">
        <f>IF(ข้อมูลสูตร!$A169="","",ข้อมูลสูตร!Q169)</f>
        <v>0</v>
      </c>
      <c r="Q172" s="63">
        <f>IF(ข้อมูลสูตร!$A169="","",ข้อมูลสูตร!R169)</f>
        <v>0</v>
      </c>
      <c r="R172" s="63">
        <f>IF(ข้อมูลสูตร!$A169="","",ข้อมูลสูตร!S169)</f>
        <v>330</v>
      </c>
      <c r="S172" s="63">
        <f>IF(ข้อมูลสูตร!$A169="","",ข้อมูลสูตร!T169)</f>
        <v>0</v>
      </c>
      <c r="T172" s="63">
        <f>IF(ข้อมูลสูตร!$A169="","",ข้อมูลสูตร!U169)</f>
        <v>0</v>
      </c>
      <c r="U172" s="64">
        <f>IF(ข้อมูลสูตร!$A169="","",ข้อมูลสูตร!V169)</f>
        <v>286</v>
      </c>
      <c r="V172" s="8">
        <f>IF(ข้อมูลสูตร!$A169="","",ข้อมูลสูตร!W169)</f>
        <v>18.32</v>
      </c>
      <c r="W172" s="64">
        <f>IF(ข้อมูลสูตร!$A169="","",ข้อมูลสูตร!X169)</f>
        <v>60</v>
      </c>
      <c r="X172" s="23">
        <f>IF(ข้อมูลสูตร!$A169="","",ข้อมูลสูตร!Y169)</f>
        <v>0.69466666666666665</v>
      </c>
      <c r="Y172" s="48" t="str">
        <f>IF(ข้อมูลสูตร!$A169="","",ข้อมูลสูตร!Z169)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72" s="48" t="str">
        <f>ข้อมูลสูตร!$A169</f>
        <v>Green Latte|22 oz|50%</v>
      </c>
    </row>
    <row r="173" spans="1:26" x14ac:dyDescent="0.25">
      <c r="A173" s="4" t="str">
        <f>IF(ข้อมูลสูตร!$A170="","",ข้อมูลสูตร!B170)</f>
        <v>Green Latte</v>
      </c>
      <c r="B173" s="4" t="str">
        <f>IF(ข้อมูลสูตร!$A170="","",ข้อมูลสูตร!C170)</f>
        <v>22 oz</v>
      </c>
      <c r="C173" s="4" t="str">
        <f>IF(ข้อมูลสูตร!$A170="","",ข้อมูลสูตร!D170)</f>
        <v>75%</v>
      </c>
      <c r="D173" s="63">
        <f>IF(ข้อมูลสูตร!$A170="","",ข้อมูลสูตร!E170)</f>
        <v>0</v>
      </c>
      <c r="E173" s="63">
        <f>IF(ข้อมูลสูตร!$A170="","",ข้อมูลสูตร!F170)</f>
        <v>179</v>
      </c>
      <c r="F173" s="63">
        <f>IF(ข้อมูลสูตร!$A170="","",ข้อมูลสูตร!G170)</f>
        <v>33.6</v>
      </c>
      <c r="G173" s="63">
        <f>IF(ข้อมูลสูตร!$A170="","",ข้อมูลสูตร!H170)</f>
        <v>27.5</v>
      </c>
      <c r="H173" s="63">
        <f>IF(ข้อมูลสูตร!$A170="","",ข้อมูลสูตร!I170)</f>
        <v>0</v>
      </c>
      <c r="I173" s="63">
        <f>IF(ข้อมูลสูตร!$A170="","",ข้อมูลสูตร!J170)</f>
        <v>51.9</v>
      </c>
      <c r="J173" s="63">
        <f>IF(ข้อมูลสูตร!$A170="","",ข้อมูลสูตร!K170)</f>
        <v>0</v>
      </c>
      <c r="K173" s="63">
        <f>IF(ข้อมูลสูตร!$A170="","",ข้อมูลสูตร!L170)</f>
        <v>0</v>
      </c>
      <c r="L173" s="63">
        <f>IF(ข้อมูลสูตร!$A170="","",ข้อมูลสูตร!M170)</f>
        <v>0</v>
      </c>
      <c r="M173" s="63">
        <f>IF(ข้อมูลสูตร!$A170="","",ข้อมูลสูตร!N170)</f>
        <v>0</v>
      </c>
      <c r="N173" s="63">
        <f>IF(ข้อมูลสูตร!$A170="","",ข้อมูลสูตร!O170)</f>
        <v>0</v>
      </c>
      <c r="O173" s="63">
        <f>IF(ข้อมูลสูตร!$A170="","",ข้อมูลสูตร!P170)</f>
        <v>0</v>
      </c>
      <c r="P173" s="63">
        <f>IF(ข้อมูลสูตร!$A170="","",ข้อมูลสูตร!Q170)</f>
        <v>0</v>
      </c>
      <c r="Q173" s="63">
        <f>IF(ข้อมูลสูตร!$A170="","",ข้อมูลสูตร!R170)</f>
        <v>0</v>
      </c>
      <c r="R173" s="63">
        <f>IF(ข้อมูลสูตร!$A170="","",ข้อมูลสูตร!S170)</f>
        <v>330</v>
      </c>
      <c r="S173" s="63">
        <f>IF(ข้อมูลสูตร!$A170="","",ข้อมูลสูตร!T170)</f>
        <v>0</v>
      </c>
      <c r="T173" s="63">
        <f>IF(ข้อมูลสูตร!$A170="","",ข้อมูลสูตร!U170)</f>
        <v>0</v>
      </c>
      <c r="U173" s="64">
        <f>IF(ข้อมูลสูตร!$A170="","",ข้อมูลสูตร!V170)</f>
        <v>292</v>
      </c>
      <c r="V173" s="8">
        <f>IF(ข้อมูลสูตร!$A170="","",ข้อมูลสูตร!W170)</f>
        <v>18.29</v>
      </c>
      <c r="W173" s="64">
        <f>IF(ข้อมูลสูตร!$A170="","",ข้อมูลสูตร!X170)</f>
        <v>60</v>
      </c>
      <c r="X173" s="23">
        <f>IF(ข้อมูลสูตร!$A170="","",ข้อมูลสูตร!Y170)</f>
        <v>0.69516666666666671</v>
      </c>
      <c r="Y173" s="48" t="str">
        <f>IF(ข้อมูลสูตร!$A170="","",ข้อมูลสูตร!Z170)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73" s="48" t="str">
        <f>ข้อมูลสูตร!$A170</f>
        <v>Green Latte|22 oz|75%</v>
      </c>
    </row>
    <row r="174" spans="1:26" x14ac:dyDescent="0.25">
      <c r="A174" s="4" t="str">
        <f>IF(ข้อมูลสูตร!$A171="","",ข้อมูลสูตร!B171)</f>
        <v>Green Latte</v>
      </c>
      <c r="B174" s="4" t="str">
        <f>IF(ข้อมูลสูตร!$A171="","",ข้อมูลสูตร!C171)</f>
        <v>22 oz</v>
      </c>
      <c r="C174" s="4" t="str">
        <f>IF(ข้อมูลสูตร!$A171="","",ข้อมูลสูตร!D171)</f>
        <v>100%</v>
      </c>
      <c r="D174" s="63">
        <f>IF(ข้อมูลสูตร!$A171="","",ข้อมูลสูตร!E171)</f>
        <v>0</v>
      </c>
      <c r="E174" s="63">
        <f>IF(ข้อมูลสูตร!$A171="","",ข้อมูลสูตร!F171)</f>
        <v>179</v>
      </c>
      <c r="F174" s="63">
        <f>IF(ข้อมูลสูตร!$A171="","",ข้อมูลสูตร!G171)</f>
        <v>29.1</v>
      </c>
      <c r="G174" s="63">
        <f>IF(ข้อมูลสูตร!$A171="","",ข้อมูลสูตร!H171)</f>
        <v>27.5</v>
      </c>
      <c r="H174" s="63">
        <f>IF(ข้อมูลสูตร!$A171="","",ข้อมูลสูตร!I171)</f>
        <v>0</v>
      </c>
      <c r="I174" s="63">
        <f>IF(ข้อมูลสูตร!$A171="","",ข้อมูลสูตร!J171)</f>
        <v>61.4</v>
      </c>
      <c r="J174" s="63">
        <f>IF(ข้อมูลสูตร!$A171="","",ข้อมูลสูตร!K171)</f>
        <v>0</v>
      </c>
      <c r="K174" s="63">
        <f>IF(ข้อมูลสูตร!$A171="","",ข้อมูลสูตร!L171)</f>
        <v>0</v>
      </c>
      <c r="L174" s="63">
        <f>IF(ข้อมูลสูตร!$A171="","",ข้อมูลสูตร!M171)</f>
        <v>0</v>
      </c>
      <c r="M174" s="63">
        <f>IF(ข้อมูลสูตร!$A171="","",ข้อมูลสูตร!N171)</f>
        <v>0</v>
      </c>
      <c r="N174" s="63">
        <f>IF(ข้อมูลสูตร!$A171="","",ข้อมูลสูตร!O171)</f>
        <v>0</v>
      </c>
      <c r="O174" s="63">
        <f>IF(ข้อมูลสูตร!$A171="","",ข้อมูลสูตร!P171)</f>
        <v>0</v>
      </c>
      <c r="P174" s="63">
        <f>IF(ข้อมูลสูตร!$A171="","",ข้อมูลสูตร!Q171)</f>
        <v>0</v>
      </c>
      <c r="Q174" s="63">
        <f>IF(ข้อมูลสูตร!$A171="","",ข้อมูลสูตร!R171)</f>
        <v>0</v>
      </c>
      <c r="R174" s="63">
        <f>IF(ข้อมูลสูตร!$A171="","",ข้อมูลสูตร!S171)</f>
        <v>330</v>
      </c>
      <c r="S174" s="63">
        <f>IF(ข้อมูลสูตร!$A171="","",ข้อมูลสูตร!T171)</f>
        <v>0</v>
      </c>
      <c r="T174" s="63">
        <f>IF(ข้อมูลสูตร!$A171="","",ข้อมูลสูตร!U171)</f>
        <v>0</v>
      </c>
      <c r="U174" s="64">
        <f>IF(ข้อมูลสูตร!$A171="","",ข้อมูลสูตร!V171)</f>
        <v>297</v>
      </c>
      <c r="V174" s="8">
        <f>IF(ข้อมูลสูตร!$A171="","",ข้อมูลสูตร!W171)</f>
        <v>18.239999999999998</v>
      </c>
      <c r="W174" s="64">
        <f>IF(ข้อมูลสูตร!$A171="","",ข้อมูลสูตร!X171)</f>
        <v>60</v>
      </c>
      <c r="X174" s="23">
        <f>IF(ข้อมูลสูตร!$A171="","",ข้อมูลสูตร!Y171)</f>
        <v>0.69600000000000006</v>
      </c>
      <c r="Y174" s="48" t="str">
        <f>IF(ข้อมูลสูตร!$A171="","",ข้อมูลสูตร!Z171)</f>
        <v>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174" s="48" t="str">
        <f>ข้อมูลสูตร!$A171</f>
        <v>Green Latte|22 oz|100%</v>
      </c>
    </row>
    <row r="175" spans="1:26" x14ac:dyDescent="0.25">
      <c r="A175" s="4" t="str">
        <f>IF(ข้อมูลสูตร!$A172="","",ข้อมูลสูตร!B172)</f>
        <v>Green Lemon Tea</v>
      </c>
      <c r="B175" s="4" t="str">
        <f>IF(ข้อมูลสูตร!$A172="","",ข้อมูลสูตร!C172)</f>
        <v>16 oz</v>
      </c>
      <c r="C175" s="4" t="str">
        <f>IF(ข้อมูลสูตร!$A172="","",ข้อมูลสูตร!D172)</f>
        <v>0%</v>
      </c>
      <c r="D175" s="63">
        <f>IF(ข้อมูลสูตร!$A172="","",ข้อมูลสูตร!E172)</f>
        <v>0</v>
      </c>
      <c r="E175" s="63">
        <f>IF(ข้อมูลสูตร!$A172="","",ข้อมูลสูตร!F172)</f>
        <v>165</v>
      </c>
      <c r="F175" s="63">
        <f>IF(ข้อมูลสูตร!$A172="","",ข้อมูลสูตร!G172)</f>
        <v>0</v>
      </c>
      <c r="G175" s="63">
        <f>IF(ข้อมูลสูตร!$A172="","",ข้อมูลสูตร!H172)</f>
        <v>0</v>
      </c>
      <c r="H175" s="63">
        <f>IF(ข้อมูลสูตร!$A172="","",ข้อมูลสูตร!I172)</f>
        <v>0</v>
      </c>
      <c r="I175" s="63">
        <f>IF(ข้อมูลสูตร!$A172="","",ข้อมูลสูตร!J172)</f>
        <v>0</v>
      </c>
      <c r="J175" s="63">
        <f>IF(ข้อมูลสูตร!$A172="","",ข้อมูลสูตร!K172)</f>
        <v>0</v>
      </c>
      <c r="K175" s="63">
        <f>IF(ข้อมูลสูตร!$A172="","",ข้อมูลสูตร!L172)</f>
        <v>0</v>
      </c>
      <c r="L175" s="63">
        <f>IF(ข้อมูลสูตร!$A172="","",ข้อมูลสูตร!M172)</f>
        <v>0</v>
      </c>
      <c r="M175" s="63">
        <f>IF(ข้อมูลสูตร!$A172="","",ข้อมูลสูตร!N172)</f>
        <v>0</v>
      </c>
      <c r="N175" s="63">
        <f>IF(ข้อมูลสูตร!$A172="","",ข้อมูลสูตร!O172)</f>
        <v>0</v>
      </c>
      <c r="O175" s="63">
        <f>IF(ข้อมูลสูตร!$A172="","",ข้อมูลสูตร!P172)</f>
        <v>15</v>
      </c>
      <c r="P175" s="63">
        <f>IF(ข้อมูลสูตร!$A172="","",ข้อมูลสูตร!Q172)</f>
        <v>0</v>
      </c>
      <c r="Q175" s="63">
        <f>IF(ข้อมูลสูตร!$A172="","",ข้อมูลสูตร!R172)</f>
        <v>0</v>
      </c>
      <c r="R175" s="63">
        <f>IF(ข้อมูลสูตร!$A172="","",ข้อมูลสูตร!S172)</f>
        <v>240</v>
      </c>
      <c r="S175" s="63">
        <f>IF(ข้อมูลสูตร!$A172="","",ข้อมูลสูตร!T172)</f>
        <v>0</v>
      </c>
      <c r="T175" s="63">
        <f>IF(ข้อมูลสูตร!$A172="","",ข้อมูลสูตร!U172)</f>
        <v>0</v>
      </c>
      <c r="U175" s="64">
        <f>IF(ข้อมูลสูตร!$A172="","",ข้อมูลสูตร!V172)</f>
        <v>180</v>
      </c>
      <c r="V175" s="8">
        <f>IF(ข้อมูลสูตร!$A172="","",ข้อมูลสูตร!W172)</f>
        <v>14.97</v>
      </c>
      <c r="W175" s="64">
        <f>IF(ข้อมูลสูตร!$A172="","",ข้อมูลสูตร!X172)</f>
        <v>40</v>
      </c>
      <c r="X175" s="23">
        <f>IF(ข้อมูลสูตร!$A172="","",ข้อมูลสูตร!Y172)</f>
        <v>0.62575000000000003</v>
      </c>
      <c r="Y175" s="48" t="str">
        <f>IF(ข้อมูลสูตร!$A172="","",ข้อมูลสูตร!Z172)</f>
        <v>เมนูใหม่ (ชาเขียว) — เรียบเรียงจากสูตรเว็บ/โซเชียล สเกลตามแพทเทิร์น Lemon Tea (ดูแหล่งที่มาใน comment B172)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75" s="48" t="str">
        <f>ข้อมูลสูตร!$A172</f>
        <v>Green Lemon Tea|16 oz|0%</v>
      </c>
    </row>
    <row r="176" spans="1:26" x14ac:dyDescent="0.25">
      <c r="A176" s="4" t="str">
        <f>IF(ข้อมูลสูตร!$A173="","",ข้อมูลสูตร!B173)</f>
        <v>Green Lemon Tea</v>
      </c>
      <c r="B176" s="4" t="str">
        <f>IF(ข้อมูลสูตร!$A173="","",ข้อมูลสูตร!C173)</f>
        <v>16 oz</v>
      </c>
      <c r="C176" s="4" t="str">
        <f>IF(ข้อมูลสูตร!$A173="","",ข้อมูลสูตร!D173)</f>
        <v>25%</v>
      </c>
      <c r="D176" s="63">
        <f>IF(ข้อมูลสูตร!$A173="","",ข้อมูลสูตร!E173)</f>
        <v>0</v>
      </c>
      <c r="E176" s="63">
        <f>IF(ข้อมูลสูตร!$A173="","",ข้อมูลสูตร!F173)</f>
        <v>146.30000000000001</v>
      </c>
      <c r="F176" s="63">
        <f>IF(ข้อมูลสูตร!$A173="","",ข้อมูลสูตร!G173)</f>
        <v>0</v>
      </c>
      <c r="G176" s="63">
        <f>IF(ข้อมูลสูตร!$A173="","",ข้อมูลสูตร!H173)</f>
        <v>0</v>
      </c>
      <c r="H176" s="63">
        <f>IF(ข้อมูลสูตร!$A173="","",ข้อมูลสูตร!I173)</f>
        <v>0</v>
      </c>
      <c r="I176" s="63">
        <f>IF(ข้อมูลสูตร!$A173="","",ข้อมูลสูตร!J173)</f>
        <v>26.7</v>
      </c>
      <c r="J176" s="63">
        <f>IF(ข้อมูลสูตร!$A173="","",ข้อมูลสูตร!K173)</f>
        <v>0</v>
      </c>
      <c r="K176" s="63">
        <f>IF(ข้อมูลสูตร!$A173="","",ข้อมูลสูตร!L173)</f>
        <v>0</v>
      </c>
      <c r="L176" s="63">
        <f>IF(ข้อมูลสูตร!$A173="","",ข้อมูลสูตร!M173)</f>
        <v>0</v>
      </c>
      <c r="M176" s="63">
        <f>IF(ข้อมูลสูตร!$A173="","",ข้อมูลสูตร!N173)</f>
        <v>0</v>
      </c>
      <c r="N176" s="63">
        <f>IF(ข้อมูลสูตร!$A173="","",ข้อมูลสูตร!O173)</f>
        <v>0</v>
      </c>
      <c r="O176" s="63">
        <f>IF(ข้อมูลสูตร!$A173="","",ข้อมูลสูตร!P173)</f>
        <v>15</v>
      </c>
      <c r="P176" s="63">
        <f>IF(ข้อมูลสูตร!$A173="","",ข้อมูลสูตร!Q173)</f>
        <v>0</v>
      </c>
      <c r="Q176" s="63">
        <f>IF(ข้อมูลสูตร!$A173="","",ข้อมูลสูตร!R173)</f>
        <v>0</v>
      </c>
      <c r="R176" s="63">
        <f>IF(ข้อมูลสูตร!$A173="","",ข้อมูลสูตร!S173)</f>
        <v>240</v>
      </c>
      <c r="S176" s="63">
        <f>IF(ข้อมูลสูตร!$A173="","",ข้อมูลสูตร!T173)</f>
        <v>0</v>
      </c>
      <c r="T176" s="63">
        <f>IF(ข้อมูลสูตร!$A173="","",ข้อมูลสูตร!U173)</f>
        <v>0</v>
      </c>
      <c r="U176" s="64">
        <f>IF(ข้อมูลสูตร!$A173="","",ข้อมูลสูตร!V173)</f>
        <v>188</v>
      </c>
      <c r="V176" s="8">
        <f>IF(ข้อมูลสูตร!$A173="","",ข้อมูลสูตร!W173)</f>
        <v>14.97</v>
      </c>
      <c r="W176" s="64">
        <f>IF(ข้อมูลสูตร!$A173="","",ข้อมูลสูตร!X173)</f>
        <v>40</v>
      </c>
      <c r="X176" s="23">
        <f>IF(ข้อมูลสูตร!$A173="","",ข้อมูลสูตร!Y173)</f>
        <v>0.62575000000000003</v>
      </c>
      <c r="Y176" s="48" t="str">
        <f>IF(ข้อมูลสูตร!$A173="","",ข้อมูลสูตร!Z173)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76" s="48" t="str">
        <f>ข้อมูลสูตร!$A173</f>
        <v>Green Lemon Tea|16 oz|25%</v>
      </c>
    </row>
    <row r="177" spans="1:26" x14ac:dyDescent="0.25">
      <c r="A177" s="4" t="str">
        <f>IF(ข้อมูลสูตร!$A174="","",ข้อมูลสูตร!B174)</f>
        <v>Green Lemon Tea</v>
      </c>
      <c r="B177" s="4" t="str">
        <f>IF(ข้อมูลสูตร!$A174="","",ข้อมูลสูตร!C174)</f>
        <v>16 oz</v>
      </c>
      <c r="C177" s="4" t="str">
        <f>IF(ข้อมูลสูตร!$A174="","",ข้อมูลสูตร!D174)</f>
        <v>50%</v>
      </c>
      <c r="D177" s="63">
        <f>IF(ข้อมูลสูตร!$A174="","",ข้อมูลสูตร!E174)</f>
        <v>0</v>
      </c>
      <c r="E177" s="63">
        <f>IF(ข้อมูลสูตร!$A174="","",ข้อมูลสูตร!F174)</f>
        <v>146.30000000000001</v>
      </c>
      <c r="F177" s="63">
        <f>IF(ข้อมูลสูตร!$A174="","",ข้อมูลสูตร!G174)</f>
        <v>0</v>
      </c>
      <c r="G177" s="63">
        <f>IF(ข้อมูลสูตร!$A174="","",ข้อมูลสูตร!H174)</f>
        <v>0</v>
      </c>
      <c r="H177" s="63">
        <f>IF(ข้อมูลสูตร!$A174="","",ข้อมูลสูตร!I174)</f>
        <v>0</v>
      </c>
      <c r="I177" s="63">
        <f>IF(ข้อมูลสูตร!$A174="","",ข้อมูลสูตร!J174)</f>
        <v>34.700000000000003</v>
      </c>
      <c r="J177" s="63">
        <f>IF(ข้อมูลสูตร!$A174="","",ข้อมูลสูตร!K174)</f>
        <v>0</v>
      </c>
      <c r="K177" s="63">
        <f>IF(ข้อมูลสูตร!$A174="","",ข้อมูลสูตร!L174)</f>
        <v>0</v>
      </c>
      <c r="L177" s="63">
        <f>IF(ข้อมูลสูตร!$A174="","",ข้อมูลสูตร!M174)</f>
        <v>0</v>
      </c>
      <c r="M177" s="63">
        <f>IF(ข้อมูลสูตร!$A174="","",ข้อมูลสูตร!N174)</f>
        <v>0</v>
      </c>
      <c r="N177" s="63">
        <f>IF(ข้อมูลสูตร!$A174="","",ข้อมูลสูตร!O174)</f>
        <v>0</v>
      </c>
      <c r="O177" s="63">
        <f>IF(ข้อมูลสูตร!$A174="","",ข้อมูลสูตร!P174)</f>
        <v>15</v>
      </c>
      <c r="P177" s="63">
        <f>IF(ข้อมูลสูตร!$A174="","",ข้อมูลสูตร!Q174)</f>
        <v>0</v>
      </c>
      <c r="Q177" s="63">
        <f>IF(ข้อมูลสูตร!$A174="","",ข้อมูลสูตร!R174)</f>
        <v>0</v>
      </c>
      <c r="R177" s="63">
        <f>IF(ข้อมูลสูตร!$A174="","",ข้อมูลสูตร!S174)</f>
        <v>240</v>
      </c>
      <c r="S177" s="63">
        <f>IF(ข้อมูลสูตร!$A174="","",ข้อมูลสูตร!T174)</f>
        <v>0</v>
      </c>
      <c r="T177" s="63">
        <f>IF(ข้อมูลสูตร!$A174="","",ข้อมูลสูตร!U174)</f>
        <v>0</v>
      </c>
      <c r="U177" s="64">
        <f>IF(ข้อมูลสูตร!$A174="","",ข้อมูลสูตร!V174)</f>
        <v>196</v>
      </c>
      <c r="V177" s="8">
        <f>IF(ข้อมูลสูตร!$A174="","",ข้อมูลสูตร!W174)</f>
        <v>15.1</v>
      </c>
      <c r="W177" s="64">
        <f>IF(ข้อมูลสูตร!$A174="","",ข้อมูลสูตร!X174)</f>
        <v>40</v>
      </c>
      <c r="X177" s="23">
        <f>IF(ข้อมูลสูตร!$A174="","",ข้อมูลสูตร!Y174)</f>
        <v>0.62249999999999994</v>
      </c>
      <c r="Y177" s="48" t="str">
        <f>IF(ข้อมูลสูตร!$A174="","",ข้อมูลสูตร!Z174)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77" s="48" t="str">
        <f>ข้อมูลสูตร!$A174</f>
        <v>Green Lemon Tea|16 oz|50%</v>
      </c>
    </row>
    <row r="178" spans="1:26" x14ac:dyDescent="0.25">
      <c r="A178" s="4" t="str">
        <f>IF(ข้อมูลสูตร!$A175="","",ข้อมูลสูตร!B175)</f>
        <v>Green Lemon Tea</v>
      </c>
      <c r="B178" s="4" t="str">
        <f>IF(ข้อมูลสูตร!$A175="","",ข้อมูลสูตร!C175)</f>
        <v>16 oz</v>
      </c>
      <c r="C178" s="4" t="str">
        <f>IF(ข้อมูลสูตร!$A175="","",ข้อมูลสูตร!D175)</f>
        <v>75%</v>
      </c>
      <c r="D178" s="63">
        <f>IF(ข้อมูลสูตร!$A175="","",ข้อมูลสูตร!E175)</f>
        <v>0</v>
      </c>
      <c r="E178" s="63">
        <f>IF(ข้อมูลสูตร!$A175="","",ข้อมูลสูตร!F175)</f>
        <v>146.30000000000001</v>
      </c>
      <c r="F178" s="63">
        <f>IF(ข้อมูลสูตร!$A175="","",ข้อมูลสูตร!G175)</f>
        <v>0</v>
      </c>
      <c r="G178" s="63">
        <f>IF(ข้อมูลสูตร!$A175="","",ข้อมูลสูตร!H175)</f>
        <v>0</v>
      </c>
      <c r="H178" s="63">
        <f>IF(ข้อมูลสูตร!$A175="","",ข้อมูลสูตร!I175)</f>
        <v>0</v>
      </c>
      <c r="I178" s="63">
        <f>IF(ข้อมูลสูตร!$A175="","",ข้อมูลสูตร!J175)</f>
        <v>42.7</v>
      </c>
      <c r="J178" s="63">
        <f>IF(ข้อมูลสูตร!$A175="","",ข้อมูลสูตร!K175)</f>
        <v>0</v>
      </c>
      <c r="K178" s="63">
        <f>IF(ข้อมูลสูตร!$A175="","",ข้อมูลสูตร!L175)</f>
        <v>0</v>
      </c>
      <c r="L178" s="63">
        <f>IF(ข้อมูลสูตร!$A175="","",ข้อมูลสูตร!M175)</f>
        <v>0</v>
      </c>
      <c r="M178" s="63">
        <f>IF(ข้อมูลสูตร!$A175="","",ข้อมูลสูตร!N175)</f>
        <v>0</v>
      </c>
      <c r="N178" s="63">
        <f>IF(ข้อมูลสูตร!$A175="","",ข้อมูลสูตร!O175)</f>
        <v>0</v>
      </c>
      <c r="O178" s="63">
        <f>IF(ข้อมูลสูตร!$A175="","",ข้อมูลสูตร!P175)</f>
        <v>15</v>
      </c>
      <c r="P178" s="63">
        <f>IF(ข้อมูลสูตร!$A175="","",ข้อมูลสูตร!Q175)</f>
        <v>0</v>
      </c>
      <c r="Q178" s="63">
        <f>IF(ข้อมูลสูตร!$A175="","",ข้อมูลสูตร!R175)</f>
        <v>0</v>
      </c>
      <c r="R178" s="63">
        <f>IF(ข้อมูลสูตร!$A175="","",ข้อมูลสูตร!S175)</f>
        <v>240</v>
      </c>
      <c r="S178" s="63">
        <f>IF(ข้อมูลสูตร!$A175="","",ข้อมูลสูตร!T175)</f>
        <v>0</v>
      </c>
      <c r="T178" s="63">
        <f>IF(ข้อมูลสูตร!$A175="","",ข้อมูลสูตร!U175)</f>
        <v>0</v>
      </c>
      <c r="U178" s="64">
        <f>IF(ข้อมูลสูตร!$A175="","",ข้อมูลสูตร!V175)</f>
        <v>204</v>
      </c>
      <c r="V178" s="8">
        <f>IF(ข้อมูลสูตร!$A175="","",ข้อมูลสูตร!W175)</f>
        <v>15.23</v>
      </c>
      <c r="W178" s="64">
        <f>IF(ข้อมูลสูตร!$A175="","",ข้อมูลสูตร!X175)</f>
        <v>40</v>
      </c>
      <c r="X178" s="23">
        <f>IF(ข้อมูลสูตร!$A175="","",ข้อมูลสูตร!Y175)</f>
        <v>0.61924999999999997</v>
      </c>
      <c r="Y178" s="48" t="str">
        <f>IF(ข้อมูลสูตร!$A175="","",ข้อมูลสูตร!Z175)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78" s="48" t="str">
        <f>ข้อมูลสูตร!$A175</f>
        <v>Green Lemon Tea|16 oz|75%</v>
      </c>
    </row>
    <row r="179" spans="1:26" x14ac:dyDescent="0.25">
      <c r="A179" s="4" t="str">
        <f>IF(ข้อมูลสูตร!$A176="","",ข้อมูลสูตร!B176)</f>
        <v>Green Lemon Tea</v>
      </c>
      <c r="B179" s="4" t="str">
        <f>IF(ข้อมูลสูตร!$A176="","",ข้อมูลสูตร!C176)</f>
        <v>16 oz</v>
      </c>
      <c r="C179" s="4" t="str">
        <f>IF(ข้อมูลสูตร!$A176="","",ข้อมูลสูตร!D176)</f>
        <v>100%</v>
      </c>
      <c r="D179" s="63">
        <f>IF(ข้อมูลสูตร!$A176="","",ข้อมูลสูตร!E176)</f>
        <v>0</v>
      </c>
      <c r="E179" s="63">
        <f>IF(ข้อมูลสูตร!$A176="","",ข้อมูลสูตร!F176)</f>
        <v>146.30000000000001</v>
      </c>
      <c r="F179" s="63">
        <f>IF(ข้อมูลสูตร!$A176="","",ข้อมูลสูตร!G176)</f>
        <v>0</v>
      </c>
      <c r="G179" s="63">
        <f>IF(ข้อมูลสูตร!$A176="","",ข้อมูลสูตร!H176)</f>
        <v>0</v>
      </c>
      <c r="H179" s="63">
        <f>IF(ข้อมูลสูตร!$A176="","",ข้อมูลสูตร!I176)</f>
        <v>0</v>
      </c>
      <c r="I179" s="63">
        <f>IF(ข้อมูลสูตร!$A176="","",ข้อมูลสูตร!J176)</f>
        <v>50.7</v>
      </c>
      <c r="J179" s="63">
        <f>IF(ข้อมูลสูตร!$A176="","",ข้อมูลสูตร!K176)</f>
        <v>0</v>
      </c>
      <c r="K179" s="63">
        <f>IF(ข้อมูลสูตร!$A176="","",ข้อมูลสูตร!L176)</f>
        <v>0</v>
      </c>
      <c r="L179" s="63">
        <f>IF(ข้อมูลสูตร!$A176="","",ข้อมูลสูตร!M176)</f>
        <v>0</v>
      </c>
      <c r="M179" s="63">
        <f>IF(ข้อมูลสูตร!$A176="","",ข้อมูลสูตร!N176)</f>
        <v>0</v>
      </c>
      <c r="N179" s="63">
        <f>IF(ข้อมูลสูตร!$A176="","",ข้อมูลสูตร!O176)</f>
        <v>0</v>
      </c>
      <c r="O179" s="63">
        <f>IF(ข้อมูลสูตร!$A176="","",ข้อมูลสูตร!P176)</f>
        <v>15</v>
      </c>
      <c r="P179" s="63">
        <f>IF(ข้อมูลสูตร!$A176="","",ข้อมูลสูตร!Q176)</f>
        <v>0</v>
      </c>
      <c r="Q179" s="63">
        <f>IF(ข้อมูลสูตร!$A176="","",ข้อมูลสูตร!R176)</f>
        <v>0</v>
      </c>
      <c r="R179" s="63">
        <f>IF(ข้อมูลสูตร!$A176="","",ข้อมูลสูตร!S176)</f>
        <v>240</v>
      </c>
      <c r="S179" s="63">
        <f>IF(ข้อมูลสูตร!$A176="","",ข้อมูลสูตร!T176)</f>
        <v>0</v>
      </c>
      <c r="T179" s="63">
        <f>IF(ข้อมูลสูตร!$A176="","",ข้อมูลสูตร!U176)</f>
        <v>0</v>
      </c>
      <c r="U179" s="64">
        <f>IF(ข้อมูลสูตร!$A176="","",ข้อมูลสูตร!V176)</f>
        <v>212</v>
      </c>
      <c r="V179" s="8">
        <f>IF(ข้อมูลสูตร!$A176="","",ข้อมูลสูตร!W176)</f>
        <v>15.37</v>
      </c>
      <c r="W179" s="64">
        <f>IF(ข้อมูลสูตร!$A176="","",ข้อมูลสูตร!X176)</f>
        <v>40</v>
      </c>
      <c r="X179" s="23">
        <f>IF(ข้อมูลสูตร!$A176="","",ข้อมูลสูตร!Y176)</f>
        <v>0.61575000000000002</v>
      </c>
      <c r="Y179" s="48" t="str">
        <f>IF(ข้อมูลสูตร!$A176="","",ข้อมูลสูตร!Z176)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79" s="48" t="str">
        <f>ข้อมูลสูตร!$A176</f>
        <v>Green Lemon Tea|16 oz|100%</v>
      </c>
    </row>
    <row r="180" spans="1:26" x14ac:dyDescent="0.25">
      <c r="A180" s="4" t="str">
        <f>IF(ข้อมูลสูตร!$A177="","",ข้อมูลสูตร!B177)</f>
        <v>Green Lemon Tea</v>
      </c>
      <c r="B180" s="4" t="str">
        <f>IF(ข้อมูลสูตร!$A177="","",ข้อมูลสูตร!C177)</f>
        <v>22 oz</v>
      </c>
      <c r="C180" s="4" t="str">
        <f>IF(ข้อมูลสูตร!$A177="","",ข้อมูลสูตร!D177)</f>
        <v>0%</v>
      </c>
      <c r="D180" s="63">
        <f>IF(ข้อมูลสูตร!$A177="","",ข้อมูลสูตร!E177)</f>
        <v>0</v>
      </c>
      <c r="E180" s="63">
        <f>IF(ข้อมูลสูตร!$A177="","",ข้อมูลสูตร!F177)</f>
        <v>227</v>
      </c>
      <c r="F180" s="63">
        <f>IF(ข้อมูลสูตร!$A177="","",ข้อมูลสูตร!G177)</f>
        <v>0</v>
      </c>
      <c r="G180" s="63">
        <f>IF(ข้อมูลสูตร!$A177="","",ข้อมูลสูตร!H177)</f>
        <v>0</v>
      </c>
      <c r="H180" s="63">
        <f>IF(ข้อมูลสูตร!$A177="","",ข้อมูลสูตร!I177)</f>
        <v>0</v>
      </c>
      <c r="I180" s="63">
        <f>IF(ข้อมูลสูตร!$A177="","",ข้อมูลสูตร!J177)</f>
        <v>0</v>
      </c>
      <c r="J180" s="63">
        <f>IF(ข้อมูลสูตร!$A177="","",ข้อมูลสูตร!K177)</f>
        <v>0</v>
      </c>
      <c r="K180" s="63">
        <f>IF(ข้อมูลสูตร!$A177="","",ข้อมูลสูตร!L177)</f>
        <v>0</v>
      </c>
      <c r="L180" s="63">
        <f>IF(ข้อมูลสูตร!$A177="","",ข้อมูลสูตร!M177)</f>
        <v>0</v>
      </c>
      <c r="M180" s="63">
        <f>IF(ข้อมูลสูตร!$A177="","",ข้อมูลสูตร!N177)</f>
        <v>0</v>
      </c>
      <c r="N180" s="63">
        <f>IF(ข้อมูลสูตร!$A177="","",ข้อมูลสูตร!O177)</f>
        <v>0</v>
      </c>
      <c r="O180" s="63">
        <f>IF(ข้อมูลสูตร!$A177="","",ข้อมูลสูตร!P177)</f>
        <v>20.5</v>
      </c>
      <c r="P180" s="63">
        <f>IF(ข้อมูลสูตร!$A177="","",ข้อมูลสูตร!Q177)</f>
        <v>0</v>
      </c>
      <c r="Q180" s="63">
        <f>IF(ข้อมูลสูตร!$A177="","",ข้อมูลสูตร!R177)</f>
        <v>0</v>
      </c>
      <c r="R180" s="63">
        <f>IF(ข้อมูลสูตร!$A177="","",ข้อมูลสูตร!S177)</f>
        <v>330</v>
      </c>
      <c r="S180" s="63">
        <f>IF(ข้อมูลสูตร!$A177="","",ข้อมูลสูตร!T177)</f>
        <v>0</v>
      </c>
      <c r="T180" s="63">
        <f>IF(ข้อมูลสูตร!$A177="","",ข้อมูลสูตร!U177)</f>
        <v>0</v>
      </c>
      <c r="U180" s="64">
        <f>IF(ข้อมูลสูตร!$A177="","",ข้อมูลสูตร!V177)</f>
        <v>247.5</v>
      </c>
      <c r="V180" s="8">
        <f>IF(ข้อมูลสูตร!$A177="","",ข้อมูลสูตร!W177)</f>
        <v>19.86</v>
      </c>
      <c r="W180" s="64">
        <f>IF(ข้อมูลสูตร!$A177="","",ข้อมูลสูตร!X177)</f>
        <v>55</v>
      </c>
      <c r="X180" s="23">
        <f>IF(ข้อมูลสูตร!$A177="","",ข้อมูลสูตร!Y177)</f>
        <v>0.63890909090909087</v>
      </c>
      <c r="Y180" s="48" t="str">
        <f>IF(ข้อมูลสูตร!$A177="","",ข้อมูลสูตร!Z177)</f>
        <v>เมนูใหม่ (ชาเขียว) — สเกลตามแพทเทิร์น Lemon Tea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80" s="48" t="str">
        <f>ข้อมูลสูตร!$A177</f>
        <v>Green Lemon Tea|22 oz|0%</v>
      </c>
    </row>
    <row r="181" spans="1:26" x14ac:dyDescent="0.25">
      <c r="A181" s="4" t="str">
        <f>IF(ข้อมูลสูตร!$A178="","",ข้อมูลสูตร!B178)</f>
        <v>Green Lemon Tea</v>
      </c>
      <c r="B181" s="4" t="str">
        <f>IF(ข้อมูลสูตร!$A178="","",ข้อมูลสูตร!C178)</f>
        <v>22 oz</v>
      </c>
      <c r="C181" s="4" t="str">
        <f>IF(ข้อมูลสูตร!$A178="","",ข้อมูลสูตร!D178)</f>
        <v>25%</v>
      </c>
      <c r="D181" s="63">
        <f>IF(ข้อมูลสูตร!$A178="","",ข้อมูลสูตร!E178)</f>
        <v>0</v>
      </c>
      <c r="E181" s="63">
        <f>IF(ข้อมูลสูตร!$A178="","",ข้อมูลสูตร!F178)</f>
        <v>201.2</v>
      </c>
      <c r="F181" s="63">
        <f>IF(ข้อมูลสูตร!$A178="","",ข้อมูลสูตร!G178)</f>
        <v>0</v>
      </c>
      <c r="G181" s="63">
        <f>IF(ข้อมูลสูตร!$A178="","",ข้อมูลสูตร!H178)</f>
        <v>0</v>
      </c>
      <c r="H181" s="63">
        <f>IF(ข้อมูลสูตร!$A178="","",ข้อมูลสูตร!I178)</f>
        <v>0</v>
      </c>
      <c r="I181" s="63">
        <f>IF(ข้อมูลสูตร!$A178="","",ข้อมูลสูตร!J178)</f>
        <v>36.799999999999997</v>
      </c>
      <c r="J181" s="63">
        <f>IF(ข้อมูลสูตร!$A178="","",ข้อมูลสูตร!K178)</f>
        <v>0</v>
      </c>
      <c r="K181" s="63">
        <f>IF(ข้อมูลสูตร!$A178="","",ข้อมูลสูตร!L178)</f>
        <v>0</v>
      </c>
      <c r="L181" s="63">
        <f>IF(ข้อมูลสูตร!$A178="","",ข้อมูลสูตร!M178)</f>
        <v>0</v>
      </c>
      <c r="M181" s="63">
        <f>IF(ข้อมูลสูตร!$A178="","",ข้อมูลสูตร!N178)</f>
        <v>0</v>
      </c>
      <c r="N181" s="63">
        <f>IF(ข้อมูลสูตร!$A178="","",ข้อมูลสูตร!O178)</f>
        <v>0</v>
      </c>
      <c r="O181" s="63">
        <f>IF(ข้อมูลสูตร!$A178="","",ข้อมูลสูตร!P178)</f>
        <v>20.5</v>
      </c>
      <c r="P181" s="63">
        <f>IF(ข้อมูลสูตร!$A178="","",ข้อมูลสูตร!Q178)</f>
        <v>0</v>
      </c>
      <c r="Q181" s="63">
        <f>IF(ข้อมูลสูตร!$A178="","",ข้อมูลสูตร!R178)</f>
        <v>0</v>
      </c>
      <c r="R181" s="63">
        <f>IF(ข้อมูลสูตร!$A178="","",ข้อมูลสูตร!S178)</f>
        <v>330</v>
      </c>
      <c r="S181" s="63">
        <f>IF(ข้อมูลสูตร!$A178="","",ข้อมูลสูตร!T178)</f>
        <v>0</v>
      </c>
      <c r="T181" s="63">
        <f>IF(ข้อมูลสูตร!$A178="","",ข้อมูลสูตร!U178)</f>
        <v>0</v>
      </c>
      <c r="U181" s="64">
        <f>IF(ข้อมูลสูตร!$A178="","",ข้อมูลสูตร!V178)</f>
        <v>258.5</v>
      </c>
      <c r="V181" s="8">
        <f>IF(ข้อมูลสูตร!$A178="","",ข้อมูลสูตร!W178)</f>
        <v>19.850000000000001</v>
      </c>
      <c r="W181" s="64">
        <f>IF(ข้อมูลสูตร!$A178="","",ข้อมูลสูตร!X178)</f>
        <v>55</v>
      </c>
      <c r="X181" s="23">
        <f>IF(ข้อมูลสูตร!$A178="","",ข้อมูลสูตร!Y178)</f>
        <v>0.63909090909090904</v>
      </c>
      <c r="Y181" s="48" t="str">
        <f>IF(ข้อมูลสูตร!$A178="","",ข้อมูลสูตร!Z178)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1" s="48" t="str">
        <f>ข้อมูลสูตร!$A178</f>
        <v>Green Lemon Tea|22 oz|25%</v>
      </c>
    </row>
    <row r="182" spans="1:26" x14ac:dyDescent="0.25">
      <c r="A182" s="4" t="str">
        <f>IF(ข้อมูลสูตร!$A179="","",ข้อมูลสูตร!B179)</f>
        <v>Green Lemon Tea</v>
      </c>
      <c r="B182" s="4" t="str">
        <f>IF(ข้อมูลสูตร!$A179="","",ข้อมูลสูตร!C179)</f>
        <v>22 oz</v>
      </c>
      <c r="C182" s="4" t="str">
        <f>IF(ข้อมูลสูตร!$A179="","",ข้อมูลสูตร!D179)</f>
        <v>50%</v>
      </c>
      <c r="D182" s="63">
        <f>IF(ข้อมูลสูตร!$A179="","",ข้อมูลสูตร!E179)</f>
        <v>0</v>
      </c>
      <c r="E182" s="63">
        <f>IF(ข้อมูลสูตร!$A179="","",ข้อมูลสูตร!F179)</f>
        <v>201.2</v>
      </c>
      <c r="F182" s="63">
        <f>IF(ข้อมูลสูตร!$A179="","",ข้อมูลสูตร!G179)</f>
        <v>0</v>
      </c>
      <c r="G182" s="63">
        <f>IF(ข้อมูลสูตร!$A179="","",ข้อมูลสูตร!H179)</f>
        <v>0</v>
      </c>
      <c r="H182" s="63">
        <f>IF(ข้อมูลสูตร!$A179="","",ข้อมูลสูตร!I179)</f>
        <v>0</v>
      </c>
      <c r="I182" s="63">
        <f>IF(ข้อมูลสูตร!$A179="","",ข้อมูลสูตร!J179)</f>
        <v>47.8</v>
      </c>
      <c r="J182" s="63">
        <f>IF(ข้อมูลสูตร!$A179="","",ข้อมูลสูตร!K179)</f>
        <v>0</v>
      </c>
      <c r="K182" s="63">
        <f>IF(ข้อมูลสูตร!$A179="","",ข้อมูลสูตร!L179)</f>
        <v>0</v>
      </c>
      <c r="L182" s="63">
        <f>IF(ข้อมูลสูตร!$A179="","",ข้อมูลสูตร!M179)</f>
        <v>0</v>
      </c>
      <c r="M182" s="63">
        <f>IF(ข้อมูลสูตร!$A179="","",ข้อมูลสูตร!N179)</f>
        <v>0</v>
      </c>
      <c r="N182" s="63">
        <f>IF(ข้อมูลสูตร!$A179="","",ข้อมูลสูตร!O179)</f>
        <v>0</v>
      </c>
      <c r="O182" s="63">
        <f>IF(ข้อมูลสูตร!$A179="","",ข้อมูลสูตร!P179)</f>
        <v>20.5</v>
      </c>
      <c r="P182" s="63">
        <f>IF(ข้อมูลสูตร!$A179="","",ข้อมูลสูตร!Q179)</f>
        <v>0</v>
      </c>
      <c r="Q182" s="63">
        <f>IF(ข้อมูลสูตร!$A179="","",ข้อมูลสูตร!R179)</f>
        <v>0</v>
      </c>
      <c r="R182" s="63">
        <f>IF(ข้อมูลสูตร!$A179="","",ข้อมูลสูตร!S179)</f>
        <v>330</v>
      </c>
      <c r="S182" s="63">
        <f>IF(ข้อมูลสูตร!$A179="","",ข้อมูลสูตร!T179)</f>
        <v>0</v>
      </c>
      <c r="T182" s="63">
        <f>IF(ข้อมูลสูตร!$A179="","",ข้อมูลสูตร!U179)</f>
        <v>0</v>
      </c>
      <c r="U182" s="64">
        <f>IF(ข้อมูลสูตร!$A179="","",ข้อมูลสูตร!V179)</f>
        <v>269.5</v>
      </c>
      <c r="V182" s="8">
        <f>IF(ข้อมูลสูตร!$A179="","",ข้อมูลสูตร!W179)</f>
        <v>20.04</v>
      </c>
      <c r="W182" s="64">
        <f>IF(ข้อมูลสูตร!$A179="","",ข้อมูลสูตร!X179)</f>
        <v>55</v>
      </c>
      <c r="X182" s="23">
        <f>IF(ข้อมูลสูตร!$A179="","",ข้อมูลสูตร!Y179)</f>
        <v>0.63563636363636367</v>
      </c>
      <c r="Y182" s="48" t="str">
        <f>IF(ข้อมูลสูตร!$A179="","",ข้อมูลสูตร!Z179)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2" s="48" t="str">
        <f>ข้อมูลสูตร!$A179</f>
        <v>Green Lemon Tea|22 oz|50%</v>
      </c>
    </row>
    <row r="183" spans="1:26" x14ac:dyDescent="0.25">
      <c r="A183" s="4" t="str">
        <f>IF(ข้อมูลสูตร!$A180="","",ข้อมูลสูตร!B180)</f>
        <v>Green Lemon Tea</v>
      </c>
      <c r="B183" s="4" t="str">
        <f>IF(ข้อมูลสูตร!$A180="","",ข้อมูลสูตร!C180)</f>
        <v>22 oz</v>
      </c>
      <c r="C183" s="4" t="str">
        <f>IF(ข้อมูลสูตร!$A180="","",ข้อมูลสูตร!D180)</f>
        <v>75%</v>
      </c>
      <c r="D183" s="63">
        <f>IF(ข้อมูลสูตร!$A180="","",ข้อมูลสูตร!E180)</f>
        <v>0</v>
      </c>
      <c r="E183" s="63">
        <f>IF(ข้อมูลสูตร!$A180="","",ข้อมูลสูตร!F180)</f>
        <v>201.2</v>
      </c>
      <c r="F183" s="63">
        <f>IF(ข้อมูลสูตร!$A180="","",ข้อมูลสูตร!G180)</f>
        <v>0</v>
      </c>
      <c r="G183" s="63">
        <f>IF(ข้อมูลสูตร!$A180="","",ข้อมูลสูตร!H180)</f>
        <v>0</v>
      </c>
      <c r="H183" s="63">
        <f>IF(ข้อมูลสูตร!$A180="","",ข้อมูลสูตร!I180)</f>
        <v>0</v>
      </c>
      <c r="I183" s="63">
        <f>IF(ข้อมูลสูตร!$A180="","",ข้อมูลสูตร!J180)</f>
        <v>58.8</v>
      </c>
      <c r="J183" s="63">
        <f>IF(ข้อมูลสูตร!$A180="","",ข้อมูลสูตร!K180)</f>
        <v>0</v>
      </c>
      <c r="K183" s="63">
        <f>IF(ข้อมูลสูตร!$A180="","",ข้อมูลสูตร!L180)</f>
        <v>0</v>
      </c>
      <c r="L183" s="63">
        <f>IF(ข้อมูลสูตร!$A180="","",ข้อมูลสูตร!M180)</f>
        <v>0</v>
      </c>
      <c r="M183" s="63">
        <f>IF(ข้อมูลสูตร!$A180="","",ข้อมูลสูตร!N180)</f>
        <v>0</v>
      </c>
      <c r="N183" s="63">
        <f>IF(ข้อมูลสูตร!$A180="","",ข้อมูลสูตร!O180)</f>
        <v>0</v>
      </c>
      <c r="O183" s="63">
        <f>IF(ข้อมูลสูตร!$A180="","",ข้อมูลสูตร!P180)</f>
        <v>20.5</v>
      </c>
      <c r="P183" s="63">
        <f>IF(ข้อมูลสูตร!$A180="","",ข้อมูลสูตร!Q180)</f>
        <v>0</v>
      </c>
      <c r="Q183" s="63">
        <f>IF(ข้อมูลสูตร!$A180="","",ข้อมูลสูตร!R180)</f>
        <v>0</v>
      </c>
      <c r="R183" s="63">
        <f>IF(ข้อมูลสูตร!$A180="","",ข้อมูลสูตร!S180)</f>
        <v>330</v>
      </c>
      <c r="S183" s="63">
        <f>IF(ข้อมูลสูตร!$A180="","",ข้อมูลสูตร!T180)</f>
        <v>0</v>
      </c>
      <c r="T183" s="63">
        <f>IF(ข้อมูลสูตร!$A180="","",ข้อมูลสูตร!U180)</f>
        <v>0</v>
      </c>
      <c r="U183" s="64">
        <f>IF(ข้อมูลสูตร!$A180="","",ข้อมูลสูตร!V180)</f>
        <v>280.5</v>
      </c>
      <c r="V183" s="8">
        <f>IF(ข้อมูลสูตร!$A180="","",ข้อมูลสูตร!W180)</f>
        <v>20.22</v>
      </c>
      <c r="W183" s="64">
        <f>IF(ข้อมูลสูตร!$A180="","",ข้อมูลสูตร!X180)</f>
        <v>55</v>
      </c>
      <c r="X183" s="23">
        <f>IF(ข้อมูลสูตร!$A180="","",ข้อมูลสูตร!Y180)</f>
        <v>0.63236363636363635</v>
      </c>
      <c r="Y183" s="48" t="str">
        <f>IF(ข้อมูลสูตร!$A180="","",ข้อมูลสูตร!Z180)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3" s="48" t="str">
        <f>ข้อมูลสูตร!$A180</f>
        <v>Green Lemon Tea|22 oz|75%</v>
      </c>
    </row>
    <row r="184" spans="1:26" x14ac:dyDescent="0.25">
      <c r="A184" s="4" t="str">
        <f>IF(ข้อมูลสูตร!$A181="","",ข้อมูลสูตร!B181)</f>
        <v>Green Lemon Tea</v>
      </c>
      <c r="B184" s="4" t="str">
        <f>IF(ข้อมูลสูตร!$A181="","",ข้อมูลสูตร!C181)</f>
        <v>22 oz</v>
      </c>
      <c r="C184" s="4" t="str">
        <f>IF(ข้อมูลสูตร!$A181="","",ข้อมูลสูตร!D181)</f>
        <v>100%</v>
      </c>
      <c r="D184" s="63">
        <f>IF(ข้อมูลสูตร!$A181="","",ข้อมูลสูตร!E181)</f>
        <v>0</v>
      </c>
      <c r="E184" s="63">
        <f>IF(ข้อมูลสูตร!$A181="","",ข้อมูลสูตร!F181)</f>
        <v>201.2</v>
      </c>
      <c r="F184" s="63">
        <f>IF(ข้อมูลสูตร!$A181="","",ข้อมูลสูตร!G181)</f>
        <v>0</v>
      </c>
      <c r="G184" s="63">
        <f>IF(ข้อมูลสูตร!$A181="","",ข้อมูลสูตร!H181)</f>
        <v>0</v>
      </c>
      <c r="H184" s="63">
        <f>IF(ข้อมูลสูตร!$A181="","",ข้อมูลสูตร!I181)</f>
        <v>0</v>
      </c>
      <c r="I184" s="63">
        <f>IF(ข้อมูลสูตร!$A181="","",ข้อมูลสูตร!J181)</f>
        <v>69.8</v>
      </c>
      <c r="J184" s="63">
        <f>IF(ข้อมูลสูตร!$A181="","",ข้อมูลสูตร!K181)</f>
        <v>0</v>
      </c>
      <c r="K184" s="63">
        <f>IF(ข้อมูลสูตร!$A181="","",ข้อมูลสูตร!L181)</f>
        <v>0</v>
      </c>
      <c r="L184" s="63">
        <f>IF(ข้อมูลสูตร!$A181="","",ข้อมูลสูตร!M181)</f>
        <v>0</v>
      </c>
      <c r="M184" s="63">
        <f>IF(ข้อมูลสูตร!$A181="","",ข้อมูลสูตร!N181)</f>
        <v>0</v>
      </c>
      <c r="N184" s="63">
        <f>IF(ข้อมูลสูตร!$A181="","",ข้อมูลสูตร!O181)</f>
        <v>0</v>
      </c>
      <c r="O184" s="63">
        <f>IF(ข้อมูลสูตร!$A181="","",ข้อมูลสูตร!P181)</f>
        <v>20.5</v>
      </c>
      <c r="P184" s="63">
        <f>IF(ข้อมูลสูตร!$A181="","",ข้อมูลสูตร!Q181)</f>
        <v>0</v>
      </c>
      <c r="Q184" s="63">
        <f>IF(ข้อมูลสูตร!$A181="","",ข้อมูลสูตร!R181)</f>
        <v>0</v>
      </c>
      <c r="R184" s="63">
        <f>IF(ข้อมูลสูตร!$A181="","",ข้อมูลสูตร!S181)</f>
        <v>330</v>
      </c>
      <c r="S184" s="63">
        <f>IF(ข้อมูลสูตร!$A181="","",ข้อมูลสูตร!T181)</f>
        <v>0</v>
      </c>
      <c r="T184" s="63">
        <f>IF(ข้อมูลสูตร!$A181="","",ข้อมูลสูตร!U181)</f>
        <v>0</v>
      </c>
      <c r="U184" s="64">
        <f>IF(ข้อมูลสูตร!$A181="","",ข้อมูลสูตร!V181)</f>
        <v>291.5</v>
      </c>
      <c r="V184" s="8">
        <f>IF(ข้อมูลสูตร!$A181="","",ข้อมูลสูตร!W181)</f>
        <v>20.399999999999999</v>
      </c>
      <c r="W184" s="64">
        <f>IF(ข้อมูลสูตร!$A181="","",ข้อมูลสูตร!X181)</f>
        <v>55</v>
      </c>
      <c r="X184" s="23">
        <f>IF(ข้อมูลสูตร!$A181="","",ข้อมูลสูตร!Y181)</f>
        <v>0.62909090909090915</v>
      </c>
      <c r="Y184" s="48" t="str">
        <f>IF(ข้อมูลสูตร!$A181="","",ข้อมูลสูตร!Z181)</f>
        <v>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4" s="48" t="str">
        <f>ข้อมูลสูตร!$A181</f>
        <v>Green Lemon Tea|22 oz|100%</v>
      </c>
    </row>
    <row r="185" spans="1:26" x14ac:dyDescent="0.25">
      <c r="A185" s="4" t="str">
        <f>IF(ข้อมูลสูตร!$A182="","",ข้อมูลสูตร!B182)</f>
        <v>Green Honey Lemon</v>
      </c>
      <c r="B185" s="4" t="str">
        <f>IF(ข้อมูลสูตร!$A182="","",ข้อมูลสูตร!C182)</f>
        <v>16 oz</v>
      </c>
      <c r="C185" s="4" t="str">
        <f>IF(ข้อมูลสูตร!$A182="","",ข้อมูลสูตร!D182)</f>
        <v>0%</v>
      </c>
      <c r="D185" s="63">
        <f>IF(ข้อมูลสูตร!$A182="","",ข้อมูลสูตร!E182)</f>
        <v>0</v>
      </c>
      <c r="E185" s="63">
        <f>IF(ข้อมูลสูตร!$A182="","",ข้อมูลสูตร!F182)</f>
        <v>165</v>
      </c>
      <c r="F185" s="63">
        <f>IF(ข้อมูลสูตร!$A182="","",ข้อมูลสูตร!G182)</f>
        <v>0</v>
      </c>
      <c r="G185" s="63">
        <f>IF(ข้อมูลสูตร!$A182="","",ข้อมูลสูตร!H182)</f>
        <v>0</v>
      </c>
      <c r="H185" s="63">
        <f>IF(ข้อมูลสูตร!$A182="","",ข้อมูลสูตร!I182)</f>
        <v>0</v>
      </c>
      <c r="I185" s="63">
        <f>IF(ข้อมูลสูตร!$A182="","",ข้อมูลสูตร!J182)</f>
        <v>0</v>
      </c>
      <c r="J185" s="63">
        <f>IF(ข้อมูลสูตร!$A182="","",ข้อมูลสูตร!K182)</f>
        <v>0</v>
      </c>
      <c r="K185" s="63">
        <f>IF(ข้อมูลสูตร!$A182="","",ข้อมูลสูตร!L182)</f>
        <v>0</v>
      </c>
      <c r="L185" s="63">
        <f>IF(ข้อมูลสูตร!$A182="","",ข้อมูลสูตร!M182)</f>
        <v>0</v>
      </c>
      <c r="M185" s="63">
        <f>IF(ข้อมูลสูตร!$A182="","",ข้อมูลสูตร!N182)</f>
        <v>0</v>
      </c>
      <c r="N185" s="63">
        <f>IF(ข้อมูลสูตร!$A182="","",ข้อมูลสูตร!O182)</f>
        <v>0</v>
      </c>
      <c r="O185" s="63">
        <f>IF(ข้อมูลสูตร!$A182="","",ข้อมูลสูตร!P182)</f>
        <v>15</v>
      </c>
      <c r="P185" s="63">
        <f>IF(ข้อมูลสูตร!$A182="","",ข้อมูลสูตร!Q182)</f>
        <v>0</v>
      </c>
      <c r="Q185" s="63">
        <f>IF(ข้อมูลสูตร!$A182="","",ข้อมูลสูตร!R182)</f>
        <v>0</v>
      </c>
      <c r="R185" s="63">
        <f>IF(ข้อมูลสูตร!$A182="","",ข้อมูลสูตร!S182)</f>
        <v>240</v>
      </c>
      <c r="S185" s="63">
        <f>IF(ข้อมูลสูตร!$A182="","",ข้อมูลสูตร!T182)</f>
        <v>0</v>
      </c>
      <c r="T185" s="63">
        <f>IF(ข้อมูลสูตร!$A182="","",ข้อมูลสูตร!U182)</f>
        <v>0</v>
      </c>
      <c r="U185" s="64">
        <f>IF(ข้อมูลสูตร!$A182="","",ข้อมูลสูตร!V182)</f>
        <v>180</v>
      </c>
      <c r="V185" s="8">
        <f>IF(ข้อมูลสูตร!$A182="","",ข้อมูลสูตร!W182)</f>
        <v>14.97</v>
      </c>
      <c r="W185" s="64">
        <f>IF(ข้อมูลสูตร!$A182="","",ข้อมูลสูตร!X182)</f>
        <v>50</v>
      </c>
      <c r="X185" s="23">
        <f>IF(ข้อมูลสูตร!$A182="","",ข้อมูลสูตร!Y182)</f>
        <v>0.7006</v>
      </c>
      <c r="Y185" s="48" t="str">
        <f>IF(ข้อมูลสูตร!$A182="","",ข้อมูลสูตร!Z182)</f>
        <v>เมนูใหม่ (ชาเขียว) — เรียบเรียงจากสูตรเว็บ/โซเชียล สเกลน้ำผึ้ง/น้ำเชื่อมตามแพทเทิร์น Honey Milk (ดูแหล่งที่มาใน comment B182)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85" s="48" t="str">
        <f>ข้อมูลสูตร!$A182</f>
        <v>Green Honey Lemon|16 oz|0%</v>
      </c>
    </row>
    <row r="186" spans="1:26" x14ac:dyDescent="0.25">
      <c r="A186" s="4" t="str">
        <f>IF(ข้อมูลสูตร!$A183="","",ข้อมูลสูตร!B183)</f>
        <v>Green Honey Lemon</v>
      </c>
      <c r="B186" s="4" t="str">
        <f>IF(ข้อมูลสูตร!$A183="","",ข้อมูลสูตร!C183)</f>
        <v>16 oz</v>
      </c>
      <c r="C186" s="4" t="str">
        <f>IF(ข้อมูลสูตร!$A183="","",ข้อมูลสูตร!D183)</f>
        <v>25%</v>
      </c>
      <c r="D186" s="63">
        <f>IF(ข้อมูลสูตร!$A183="","",ข้อมูลสูตร!E183)</f>
        <v>0</v>
      </c>
      <c r="E186" s="63">
        <f>IF(ข้อมูลสูตร!$A183="","",ข้อมูลสูตร!F183)</f>
        <v>146.30000000000001</v>
      </c>
      <c r="F186" s="63">
        <f>IF(ข้อมูลสูตร!$A183="","",ข้อมูลสูตร!G183)</f>
        <v>0</v>
      </c>
      <c r="G186" s="63">
        <f>IF(ข้อมูลสูตร!$A183="","",ข้อมูลสูตร!H183)</f>
        <v>0</v>
      </c>
      <c r="H186" s="63">
        <f>IF(ข้อมูลสูตร!$A183="","",ข้อมูลสูตร!I183)</f>
        <v>0</v>
      </c>
      <c r="I186" s="63">
        <f>IF(ข้อมูลสูตร!$A183="","",ข้อมูลสูตร!J183)</f>
        <v>21.7</v>
      </c>
      <c r="J186" s="63">
        <f>IF(ข้อมูลสูตร!$A183="","",ข้อมูลสูตร!K183)</f>
        <v>4</v>
      </c>
      <c r="K186" s="63">
        <f>IF(ข้อมูลสูตร!$A183="","",ข้อมูลสูตร!L183)</f>
        <v>0</v>
      </c>
      <c r="L186" s="63">
        <f>IF(ข้อมูลสูตร!$A183="","",ข้อมูลสูตร!M183)</f>
        <v>0</v>
      </c>
      <c r="M186" s="63">
        <f>IF(ข้อมูลสูตร!$A183="","",ข้อมูลสูตร!N183)</f>
        <v>0</v>
      </c>
      <c r="N186" s="63">
        <f>IF(ข้อมูลสูตร!$A183="","",ข้อมูลสูตร!O183)</f>
        <v>0</v>
      </c>
      <c r="O186" s="63">
        <f>IF(ข้อมูลสูตร!$A183="","",ข้อมูลสูตร!P183)</f>
        <v>15</v>
      </c>
      <c r="P186" s="63">
        <f>IF(ข้อมูลสูตร!$A183="","",ข้อมูลสูตร!Q183)</f>
        <v>0</v>
      </c>
      <c r="Q186" s="63">
        <f>IF(ข้อมูลสูตร!$A183="","",ข้อมูลสูตร!R183)</f>
        <v>0</v>
      </c>
      <c r="R186" s="63">
        <f>IF(ข้อมูลสูตร!$A183="","",ข้อมูลสูตร!S183)</f>
        <v>240</v>
      </c>
      <c r="S186" s="63">
        <f>IF(ข้อมูลสูตร!$A183="","",ข้อมูลสูตร!T183)</f>
        <v>0</v>
      </c>
      <c r="T186" s="63">
        <f>IF(ข้อมูลสูตร!$A183="","",ข้อมูลสูตร!U183)</f>
        <v>0</v>
      </c>
      <c r="U186" s="64">
        <f>IF(ข้อมูลสูตร!$A183="","",ข้อมูลสูตร!V183)</f>
        <v>187</v>
      </c>
      <c r="V186" s="8">
        <f>IF(ข้อมูลสูตร!$A183="","",ข้อมูลสูตร!W183)</f>
        <v>15.82</v>
      </c>
      <c r="W186" s="64">
        <f>IF(ข้อมูลสูตร!$A183="","",ข้อมูลสูตร!X183)</f>
        <v>50</v>
      </c>
      <c r="X186" s="23">
        <f>IF(ข้อมูลสูตร!$A183="","",ข้อมูลสูตร!Y183)</f>
        <v>0.68359999999999999</v>
      </c>
      <c r="Y186" s="48" t="str">
        <f>IF(ข้อมูลสูตร!$A183="","",ข้อมูลสูตร!Z183)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6" s="48" t="str">
        <f>ข้อมูลสูตร!$A183</f>
        <v>Green Honey Lemon|16 oz|25%</v>
      </c>
    </row>
    <row r="187" spans="1:26" x14ac:dyDescent="0.25">
      <c r="A187" s="4" t="str">
        <f>IF(ข้อมูลสูตร!$A184="","",ข้อมูลสูตร!B184)</f>
        <v>Green Honey Lemon</v>
      </c>
      <c r="B187" s="4" t="str">
        <f>IF(ข้อมูลสูตร!$A184="","",ข้อมูลสูตร!C184)</f>
        <v>16 oz</v>
      </c>
      <c r="C187" s="4" t="str">
        <f>IF(ข้อมูลสูตร!$A184="","",ข้อมูลสูตร!D184)</f>
        <v>50%</v>
      </c>
      <c r="D187" s="63">
        <f>IF(ข้อมูลสูตร!$A184="","",ข้อมูลสูตร!E184)</f>
        <v>0</v>
      </c>
      <c r="E187" s="63">
        <f>IF(ข้อมูลสูตร!$A184="","",ข้อมูลสูตร!F184)</f>
        <v>146.30000000000001</v>
      </c>
      <c r="F187" s="63">
        <f>IF(ข้อมูลสูตร!$A184="","",ข้อมูลสูตร!G184)</f>
        <v>0</v>
      </c>
      <c r="G187" s="63">
        <f>IF(ข้อมูลสูตร!$A184="","",ข้อมูลสูตร!H184)</f>
        <v>0</v>
      </c>
      <c r="H187" s="63">
        <f>IF(ข้อมูลสูตร!$A184="","",ข้อมูลสูตร!I184)</f>
        <v>0</v>
      </c>
      <c r="I187" s="63">
        <f>IF(ข้อมูลสูตร!$A184="","",ข้อมูลสูตร!J184)</f>
        <v>24.7</v>
      </c>
      <c r="J187" s="63">
        <f>IF(ข้อมูลสูตร!$A184="","",ข้อมูลสูตร!K184)</f>
        <v>8</v>
      </c>
      <c r="K187" s="63">
        <f>IF(ข้อมูลสูตร!$A184="","",ข้อมูลสูตร!L184)</f>
        <v>0</v>
      </c>
      <c r="L187" s="63">
        <f>IF(ข้อมูลสูตร!$A184="","",ข้อมูลสูตร!M184)</f>
        <v>0</v>
      </c>
      <c r="M187" s="63">
        <f>IF(ข้อมูลสูตร!$A184="","",ข้อมูลสูตร!N184)</f>
        <v>0</v>
      </c>
      <c r="N187" s="63">
        <f>IF(ข้อมูลสูตร!$A184="","",ข้อมูลสูตร!O184)</f>
        <v>0</v>
      </c>
      <c r="O187" s="63">
        <f>IF(ข้อมูลสูตร!$A184="","",ข้อมูลสูตร!P184)</f>
        <v>15</v>
      </c>
      <c r="P187" s="63">
        <f>IF(ข้อมูลสูตร!$A184="","",ข้อมูลสูตร!Q184)</f>
        <v>0</v>
      </c>
      <c r="Q187" s="63">
        <f>IF(ข้อมูลสูตร!$A184="","",ข้อมูลสูตร!R184)</f>
        <v>0</v>
      </c>
      <c r="R187" s="63">
        <f>IF(ข้อมูลสูตร!$A184="","",ข้อมูลสูตร!S184)</f>
        <v>240</v>
      </c>
      <c r="S187" s="63">
        <f>IF(ข้อมูลสูตร!$A184="","",ข้อมูลสูตร!T184)</f>
        <v>0</v>
      </c>
      <c r="T187" s="63">
        <f>IF(ข้อมูลสูตร!$A184="","",ข้อมูลสูตร!U184)</f>
        <v>0</v>
      </c>
      <c r="U187" s="64">
        <f>IF(ข้อมูลสูตร!$A184="","",ข้อมูลสูตร!V184)</f>
        <v>194</v>
      </c>
      <c r="V187" s="8">
        <f>IF(ข้อมูลสูตร!$A184="","",ข้อมูลสูตร!W184)</f>
        <v>16.8</v>
      </c>
      <c r="W187" s="64">
        <f>IF(ข้อมูลสูตร!$A184="","",ข้อมูลสูตร!X184)</f>
        <v>50</v>
      </c>
      <c r="X187" s="23">
        <f>IF(ข้อมูลสูตร!$A184="","",ข้อมูลสูตร!Y184)</f>
        <v>0.66400000000000003</v>
      </c>
      <c r="Y187" s="48" t="str">
        <f>IF(ข้อมูลสูตร!$A184="","",ข้อมูลสูตร!Z184)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7" s="48" t="str">
        <f>ข้อมูลสูตร!$A184</f>
        <v>Green Honey Lemon|16 oz|50%</v>
      </c>
    </row>
    <row r="188" spans="1:26" x14ac:dyDescent="0.25">
      <c r="A188" s="4" t="str">
        <f>IF(ข้อมูลสูตร!$A185="","",ข้อมูลสูตร!B185)</f>
        <v>Green Honey Lemon</v>
      </c>
      <c r="B188" s="4" t="str">
        <f>IF(ข้อมูลสูตร!$A185="","",ข้อมูลสูตร!C185)</f>
        <v>16 oz</v>
      </c>
      <c r="C188" s="4" t="str">
        <f>IF(ข้อมูลสูตร!$A185="","",ข้อมูลสูตร!D185)</f>
        <v>75%</v>
      </c>
      <c r="D188" s="63">
        <f>IF(ข้อมูลสูตร!$A185="","",ข้อมูลสูตร!E185)</f>
        <v>0</v>
      </c>
      <c r="E188" s="63">
        <f>IF(ข้อมูลสูตร!$A185="","",ข้อมูลสูตร!F185)</f>
        <v>146.30000000000001</v>
      </c>
      <c r="F188" s="63">
        <f>IF(ข้อมูลสูตร!$A185="","",ข้อมูลสูตร!G185)</f>
        <v>0</v>
      </c>
      <c r="G188" s="63">
        <f>IF(ข้อมูลสูตร!$A185="","",ข้อมูลสูตร!H185)</f>
        <v>0</v>
      </c>
      <c r="H188" s="63">
        <f>IF(ข้อมูลสูตร!$A185="","",ข้อมูลสูตร!I185)</f>
        <v>0</v>
      </c>
      <c r="I188" s="63">
        <f>IF(ข้อมูลสูตร!$A185="","",ข้อมูลสูตร!J185)</f>
        <v>27.7</v>
      </c>
      <c r="J188" s="63">
        <f>IF(ข้อมูลสูตร!$A185="","",ข้อมูลสูตร!K185)</f>
        <v>12</v>
      </c>
      <c r="K188" s="63">
        <f>IF(ข้อมูลสูตร!$A185="","",ข้อมูลสูตร!L185)</f>
        <v>0</v>
      </c>
      <c r="L188" s="63">
        <f>IF(ข้อมูลสูตร!$A185="","",ข้อมูลสูตร!M185)</f>
        <v>0</v>
      </c>
      <c r="M188" s="63">
        <f>IF(ข้อมูลสูตร!$A185="","",ข้อมูลสูตร!N185)</f>
        <v>0</v>
      </c>
      <c r="N188" s="63">
        <f>IF(ข้อมูลสูตร!$A185="","",ข้อมูลสูตร!O185)</f>
        <v>0</v>
      </c>
      <c r="O188" s="63">
        <f>IF(ข้อมูลสูตร!$A185="","",ข้อมูลสูตร!P185)</f>
        <v>15</v>
      </c>
      <c r="P188" s="63">
        <f>IF(ข้อมูลสูตร!$A185="","",ข้อมูลสูตร!Q185)</f>
        <v>0</v>
      </c>
      <c r="Q188" s="63">
        <f>IF(ข้อมูลสูตร!$A185="","",ข้อมูลสูตร!R185)</f>
        <v>0</v>
      </c>
      <c r="R188" s="63">
        <f>IF(ข้อมูลสูตร!$A185="","",ข้อมูลสูตร!S185)</f>
        <v>240</v>
      </c>
      <c r="S188" s="63">
        <f>IF(ข้อมูลสูตร!$A185="","",ข้อมูลสูตร!T185)</f>
        <v>0</v>
      </c>
      <c r="T188" s="63">
        <f>IF(ข้อมูลสูตร!$A185="","",ข้อมูลสูตร!U185)</f>
        <v>0</v>
      </c>
      <c r="U188" s="64">
        <f>IF(ข้อมูลสูตร!$A185="","",ข้อมูลสูตร!V185)</f>
        <v>201</v>
      </c>
      <c r="V188" s="8">
        <f>IF(ข้อมูลสูตร!$A185="","",ข้อมูลสูตร!W185)</f>
        <v>17.79</v>
      </c>
      <c r="W188" s="64">
        <f>IF(ข้อมูลสูตร!$A185="","",ข้อมูลสูตร!X185)</f>
        <v>50</v>
      </c>
      <c r="X188" s="23">
        <f>IF(ข้อมูลสูตร!$A185="","",ข้อมูลสูตร!Y185)</f>
        <v>0.64419999999999999</v>
      </c>
      <c r="Y188" s="48" t="str">
        <f>IF(ข้อมูลสูตร!$A185="","",ข้อมูลสูตร!Z185)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8" s="48" t="str">
        <f>ข้อมูลสูตร!$A185</f>
        <v>Green Honey Lemon|16 oz|75%</v>
      </c>
    </row>
    <row r="189" spans="1:26" x14ac:dyDescent="0.25">
      <c r="A189" s="4" t="str">
        <f>IF(ข้อมูลสูตร!$A186="","",ข้อมูลสูตร!B186)</f>
        <v>Green Honey Lemon</v>
      </c>
      <c r="B189" s="4" t="str">
        <f>IF(ข้อมูลสูตร!$A186="","",ข้อมูลสูตร!C186)</f>
        <v>16 oz</v>
      </c>
      <c r="C189" s="4" t="str">
        <f>IF(ข้อมูลสูตร!$A186="","",ข้อมูลสูตร!D186)</f>
        <v>100%</v>
      </c>
      <c r="D189" s="63">
        <f>IF(ข้อมูลสูตร!$A186="","",ข้อมูลสูตร!E186)</f>
        <v>0</v>
      </c>
      <c r="E189" s="63">
        <f>IF(ข้อมูลสูตร!$A186="","",ข้อมูลสูตร!F186)</f>
        <v>146.30000000000001</v>
      </c>
      <c r="F189" s="63">
        <f>IF(ข้อมูลสูตร!$A186="","",ข้อมูลสูตร!G186)</f>
        <v>0</v>
      </c>
      <c r="G189" s="63">
        <f>IF(ข้อมูลสูตร!$A186="","",ข้อมูลสูตร!H186)</f>
        <v>0</v>
      </c>
      <c r="H189" s="63">
        <f>IF(ข้อมูลสูตร!$A186="","",ข้อมูลสูตร!I186)</f>
        <v>0</v>
      </c>
      <c r="I189" s="63">
        <f>IF(ข้อมูลสูตร!$A186="","",ข้อมูลสูตร!J186)</f>
        <v>30.7</v>
      </c>
      <c r="J189" s="63">
        <f>IF(ข้อมูลสูตร!$A186="","",ข้อมูลสูตร!K186)</f>
        <v>16</v>
      </c>
      <c r="K189" s="63">
        <f>IF(ข้อมูลสูตร!$A186="","",ข้อมูลสูตร!L186)</f>
        <v>0</v>
      </c>
      <c r="L189" s="63">
        <f>IF(ข้อมูลสูตร!$A186="","",ข้อมูลสูตร!M186)</f>
        <v>0</v>
      </c>
      <c r="M189" s="63">
        <f>IF(ข้อมูลสูตร!$A186="","",ข้อมูลสูตร!N186)</f>
        <v>0</v>
      </c>
      <c r="N189" s="63">
        <f>IF(ข้อมูลสูตร!$A186="","",ข้อมูลสูตร!O186)</f>
        <v>0</v>
      </c>
      <c r="O189" s="63">
        <f>IF(ข้อมูลสูตร!$A186="","",ข้อมูลสูตร!P186)</f>
        <v>15</v>
      </c>
      <c r="P189" s="63">
        <f>IF(ข้อมูลสูตร!$A186="","",ข้อมูลสูตร!Q186)</f>
        <v>0</v>
      </c>
      <c r="Q189" s="63">
        <f>IF(ข้อมูลสูตร!$A186="","",ข้อมูลสูตร!R186)</f>
        <v>0</v>
      </c>
      <c r="R189" s="63">
        <f>IF(ข้อมูลสูตร!$A186="","",ข้อมูลสูตร!S186)</f>
        <v>240</v>
      </c>
      <c r="S189" s="63">
        <f>IF(ข้อมูลสูตร!$A186="","",ข้อมูลสูตร!T186)</f>
        <v>0</v>
      </c>
      <c r="T189" s="63">
        <f>IF(ข้อมูลสูตร!$A186="","",ข้อมูลสูตร!U186)</f>
        <v>0</v>
      </c>
      <c r="U189" s="64">
        <f>IF(ข้อมูลสูตร!$A186="","",ข้อมูลสูตร!V186)</f>
        <v>208</v>
      </c>
      <c r="V189" s="8">
        <f>IF(ข้อมูลสูตร!$A186="","",ข้อมูลสูตร!W186)</f>
        <v>18.77</v>
      </c>
      <c r="W189" s="64">
        <f>IF(ข้อมูลสูตร!$A186="","",ข้อมูลสูตร!X186)</f>
        <v>50</v>
      </c>
      <c r="X189" s="23">
        <f>IF(ข้อมูลสูตร!$A186="","",ข้อมูลสูตร!Y186)</f>
        <v>0.62460000000000004</v>
      </c>
      <c r="Y189" s="48" t="str">
        <f>IF(ข้อมูลสูตร!$A186="","",ข้อมูลสูตร!Z186)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89" s="48" t="str">
        <f>ข้อมูลสูตร!$A186</f>
        <v>Green Honey Lemon|16 oz|100%</v>
      </c>
    </row>
    <row r="190" spans="1:26" x14ac:dyDescent="0.25">
      <c r="A190" s="4" t="str">
        <f>IF(ข้อมูลสูตร!$A187="","",ข้อมูลสูตร!B187)</f>
        <v>Green Honey Lemon</v>
      </c>
      <c r="B190" s="4" t="str">
        <f>IF(ข้อมูลสูตร!$A187="","",ข้อมูลสูตร!C187)</f>
        <v>22 oz</v>
      </c>
      <c r="C190" s="4" t="str">
        <f>IF(ข้อมูลสูตร!$A187="","",ข้อมูลสูตร!D187)</f>
        <v>0%</v>
      </c>
      <c r="D190" s="63">
        <f>IF(ข้อมูลสูตร!$A187="","",ข้อมูลสูตร!E187)</f>
        <v>0</v>
      </c>
      <c r="E190" s="63">
        <f>IF(ข้อมูลสูตร!$A187="","",ข้อมูลสูตร!F187)</f>
        <v>227</v>
      </c>
      <c r="F190" s="63">
        <f>IF(ข้อมูลสูตร!$A187="","",ข้อมูลสูตร!G187)</f>
        <v>0</v>
      </c>
      <c r="G190" s="63">
        <f>IF(ข้อมูลสูตร!$A187="","",ข้อมูลสูตร!H187)</f>
        <v>0</v>
      </c>
      <c r="H190" s="63">
        <f>IF(ข้อมูลสูตร!$A187="","",ข้อมูลสูตร!I187)</f>
        <v>0</v>
      </c>
      <c r="I190" s="63">
        <f>IF(ข้อมูลสูตร!$A187="","",ข้อมูลสูตร!J187)</f>
        <v>0</v>
      </c>
      <c r="J190" s="63">
        <f>IF(ข้อมูลสูตร!$A187="","",ข้อมูลสูตร!K187)</f>
        <v>0</v>
      </c>
      <c r="K190" s="63">
        <f>IF(ข้อมูลสูตร!$A187="","",ข้อมูลสูตร!L187)</f>
        <v>0</v>
      </c>
      <c r="L190" s="63">
        <f>IF(ข้อมูลสูตร!$A187="","",ข้อมูลสูตร!M187)</f>
        <v>0</v>
      </c>
      <c r="M190" s="63">
        <f>IF(ข้อมูลสูตร!$A187="","",ข้อมูลสูตร!N187)</f>
        <v>0</v>
      </c>
      <c r="N190" s="63">
        <f>IF(ข้อมูลสูตร!$A187="","",ข้อมูลสูตร!O187)</f>
        <v>0</v>
      </c>
      <c r="O190" s="63">
        <f>IF(ข้อมูลสูตร!$A187="","",ข้อมูลสูตร!P187)</f>
        <v>20.5</v>
      </c>
      <c r="P190" s="63">
        <f>IF(ข้อมูลสูตร!$A187="","",ข้อมูลสูตร!Q187)</f>
        <v>0</v>
      </c>
      <c r="Q190" s="63">
        <f>IF(ข้อมูลสูตร!$A187="","",ข้อมูลสูตร!R187)</f>
        <v>0</v>
      </c>
      <c r="R190" s="63">
        <f>IF(ข้อมูลสูตร!$A187="","",ข้อมูลสูตร!S187)</f>
        <v>330</v>
      </c>
      <c r="S190" s="63">
        <f>IF(ข้อมูลสูตร!$A187="","",ข้อมูลสูตร!T187)</f>
        <v>0</v>
      </c>
      <c r="T190" s="63">
        <f>IF(ข้อมูลสูตร!$A187="","",ข้อมูลสูตร!U187)</f>
        <v>0</v>
      </c>
      <c r="U190" s="64">
        <f>IF(ข้อมูลสูตร!$A187="","",ข้อมูลสูตร!V187)</f>
        <v>247.5</v>
      </c>
      <c r="V190" s="8">
        <f>IF(ข้อมูลสูตร!$A187="","",ข้อมูลสูตร!W187)</f>
        <v>19.86</v>
      </c>
      <c r="W190" s="64">
        <f>IF(ข้อมูลสูตร!$A187="","",ข้อมูลสูตร!X187)</f>
        <v>65</v>
      </c>
      <c r="X190" s="23">
        <f>IF(ข้อมูลสูตร!$A187="","",ข้อมูลสูตร!Y187)</f>
        <v>0.69446153846153846</v>
      </c>
      <c r="Y190" s="48" t="str">
        <f>IF(ข้อมูลสูตร!$A187="","",ข้อมูลสูตร!Z187)</f>
        <v>เมนูใหม่ (ชาเขียว) — สเกลตามแพทเทิร์น Honey Milk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90" s="48" t="str">
        <f>ข้อมูลสูตร!$A187</f>
        <v>Green Honey Lemon|22 oz|0%</v>
      </c>
    </row>
    <row r="191" spans="1:26" x14ac:dyDescent="0.25">
      <c r="A191" s="4" t="str">
        <f>IF(ข้อมูลสูตร!$A188="","",ข้อมูลสูตร!B188)</f>
        <v>Green Honey Lemon</v>
      </c>
      <c r="B191" s="4" t="str">
        <f>IF(ข้อมูลสูตร!$A188="","",ข้อมูลสูตร!C188)</f>
        <v>22 oz</v>
      </c>
      <c r="C191" s="4" t="str">
        <f>IF(ข้อมูลสูตร!$A188="","",ข้อมูลสูตร!D188)</f>
        <v>25%</v>
      </c>
      <c r="D191" s="63">
        <f>IF(ข้อมูลสูตร!$A188="","",ข้อมูลสูตร!E188)</f>
        <v>0</v>
      </c>
      <c r="E191" s="63">
        <f>IF(ข้อมูลสูตร!$A188="","",ข้อมูลสูตร!F188)</f>
        <v>201.2</v>
      </c>
      <c r="F191" s="63">
        <f>IF(ข้อมูลสูตร!$A188="","",ข้อมูลสูตร!G188)</f>
        <v>0</v>
      </c>
      <c r="G191" s="63">
        <f>IF(ข้อมูลสูตร!$A188="","",ข้อมูลสูตร!H188)</f>
        <v>0</v>
      </c>
      <c r="H191" s="63">
        <f>IF(ข้อมูลสูตร!$A188="","",ข้อมูลสูตร!I188)</f>
        <v>0</v>
      </c>
      <c r="I191" s="63">
        <f>IF(ข้อมูลสูตร!$A188="","",ข้อมูลสูตร!J188)</f>
        <v>29.8</v>
      </c>
      <c r="J191" s="63">
        <f>IF(ข้อมูลสูตร!$A188="","",ข้อมูลสูตร!K188)</f>
        <v>5.5</v>
      </c>
      <c r="K191" s="63">
        <f>IF(ข้อมูลสูตร!$A188="","",ข้อมูลสูตร!L188)</f>
        <v>0</v>
      </c>
      <c r="L191" s="63">
        <f>IF(ข้อมูลสูตร!$A188="","",ข้อมูลสูตร!M188)</f>
        <v>0</v>
      </c>
      <c r="M191" s="63">
        <f>IF(ข้อมูลสูตร!$A188="","",ข้อมูลสูตร!N188)</f>
        <v>0</v>
      </c>
      <c r="N191" s="63">
        <f>IF(ข้อมูลสูตร!$A188="","",ข้อมูลสูตร!O188)</f>
        <v>0</v>
      </c>
      <c r="O191" s="63">
        <f>IF(ข้อมูลสูตร!$A188="","",ข้อมูลสูตร!P188)</f>
        <v>20.5</v>
      </c>
      <c r="P191" s="63">
        <f>IF(ข้อมูลสูตร!$A188="","",ข้อมูลสูตร!Q188)</f>
        <v>0</v>
      </c>
      <c r="Q191" s="63">
        <f>IF(ข้อมูลสูตร!$A188="","",ข้อมูลสูตร!R188)</f>
        <v>0</v>
      </c>
      <c r="R191" s="63">
        <f>IF(ข้อมูลสูตร!$A188="","",ข้อมูลสูตร!S188)</f>
        <v>330</v>
      </c>
      <c r="S191" s="63">
        <f>IF(ข้อมูลสูตร!$A188="","",ข้อมูลสูตร!T188)</f>
        <v>0</v>
      </c>
      <c r="T191" s="63">
        <f>IF(ข้อมูลสูตร!$A188="","",ข้อมูลสูตร!U188)</f>
        <v>0</v>
      </c>
      <c r="U191" s="64">
        <f>IF(ข้อมูลสูตร!$A188="","",ข้อมูลสูตร!V188)</f>
        <v>257</v>
      </c>
      <c r="V191" s="8">
        <f>IF(ข้อมูลสูตร!$A188="","",ข้อมูลสูตร!W188)</f>
        <v>21.02</v>
      </c>
      <c r="W191" s="64">
        <f>IF(ข้อมูลสูตร!$A188="","",ข้อมูลสูตร!X188)</f>
        <v>65</v>
      </c>
      <c r="X191" s="23">
        <f>IF(ข้อมูลสูตร!$A188="","",ข้อมูลสูตร!Y188)</f>
        <v>0.67661538461538473</v>
      </c>
      <c r="Y191" s="48" t="str">
        <f>IF(ข้อมูลสูตร!$A188="","",ข้อมูลสูตร!Z188)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91" s="48" t="str">
        <f>ข้อมูลสูตร!$A188</f>
        <v>Green Honey Lemon|22 oz|25%</v>
      </c>
    </row>
    <row r="192" spans="1:26" x14ac:dyDescent="0.25">
      <c r="A192" s="4" t="str">
        <f>IF(ข้อมูลสูตร!$A189="","",ข้อมูลสูตร!B189)</f>
        <v>Green Honey Lemon</v>
      </c>
      <c r="B192" s="4" t="str">
        <f>IF(ข้อมูลสูตร!$A189="","",ข้อมูลสูตร!C189)</f>
        <v>22 oz</v>
      </c>
      <c r="C192" s="4" t="str">
        <f>IF(ข้อมูลสูตร!$A189="","",ข้อมูลสูตร!D189)</f>
        <v>50%</v>
      </c>
      <c r="D192" s="63">
        <f>IF(ข้อมูลสูตร!$A189="","",ข้อมูลสูตร!E189)</f>
        <v>0</v>
      </c>
      <c r="E192" s="63">
        <f>IF(ข้อมูลสูตร!$A189="","",ข้อมูลสูตร!F189)</f>
        <v>201.2</v>
      </c>
      <c r="F192" s="63">
        <f>IF(ข้อมูลสูตร!$A189="","",ข้อมูลสูตร!G189)</f>
        <v>0</v>
      </c>
      <c r="G192" s="63">
        <f>IF(ข้อมูลสูตร!$A189="","",ข้อมูลสูตร!H189)</f>
        <v>0</v>
      </c>
      <c r="H192" s="63">
        <f>IF(ข้อมูลสูตร!$A189="","",ข้อมูลสูตร!I189)</f>
        <v>0</v>
      </c>
      <c r="I192" s="63">
        <f>IF(ข้อมูลสูตร!$A189="","",ข้อมูลสูตร!J189)</f>
        <v>33.799999999999997</v>
      </c>
      <c r="J192" s="63">
        <f>IF(ข้อมูลสูตร!$A189="","",ข้อมูลสูตร!K189)</f>
        <v>11</v>
      </c>
      <c r="K192" s="63">
        <f>IF(ข้อมูลสูตร!$A189="","",ข้อมูลสูตร!L189)</f>
        <v>0</v>
      </c>
      <c r="L192" s="63">
        <f>IF(ข้อมูลสูตร!$A189="","",ข้อมูลสูตร!M189)</f>
        <v>0</v>
      </c>
      <c r="M192" s="63">
        <f>IF(ข้อมูลสูตร!$A189="","",ข้อมูลสูตร!N189)</f>
        <v>0</v>
      </c>
      <c r="N192" s="63">
        <f>IF(ข้อมูลสูตร!$A189="","",ข้อมูลสูตร!O189)</f>
        <v>0</v>
      </c>
      <c r="O192" s="63">
        <f>IF(ข้อมูลสูตร!$A189="","",ข้อมูลสูตร!P189)</f>
        <v>20.5</v>
      </c>
      <c r="P192" s="63">
        <f>IF(ข้อมูลสูตร!$A189="","",ข้อมูลสูตร!Q189)</f>
        <v>0</v>
      </c>
      <c r="Q192" s="63">
        <f>IF(ข้อมูลสูตร!$A189="","",ข้อมูลสูตร!R189)</f>
        <v>0</v>
      </c>
      <c r="R192" s="63">
        <f>IF(ข้อมูลสูตร!$A189="","",ข้อมูลสูตร!S189)</f>
        <v>330</v>
      </c>
      <c r="S192" s="63">
        <f>IF(ข้อมูลสูตร!$A189="","",ข้อมูลสูตร!T189)</f>
        <v>0</v>
      </c>
      <c r="T192" s="63">
        <f>IF(ข้อมูลสูตร!$A189="","",ข้อมูลสูตร!U189)</f>
        <v>0</v>
      </c>
      <c r="U192" s="64">
        <f>IF(ข้อมูลสูตร!$A189="","",ข้อมูลสูตร!V189)</f>
        <v>266.5</v>
      </c>
      <c r="V192" s="8">
        <f>IF(ข้อมูลสูตร!$A189="","",ข้อมูลสูตร!W189)</f>
        <v>22.37</v>
      </c>
      <c r="W192" s="64">
        <f>IF(ข้อมูลสูตร!$A189="","",ข้อมูลสูตร!X189)</f>
        <v>65</v>
      </c>
      <c r="X192" s="23">
        <f>IF(ข้อมูลสูตร!$A189="","",ข้อมูลสูตร!Y189)</f>
        <v>0.65584615384615375</v>
      </c>
      <c r="Y192" s="48" t="str">
        <f>IF(ข้อมูลสูตร!$A189="","",ข้อมูลสูตร!Z189)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92" s="48" t="str">
        <f>ข้อมูลสูตร!$A189</f>
        <v>Green Honey Lemon|22 oz|50%</v>
      </c>
    </row>
    <row r="193" spans="1:26" x14ac:dyDescent="0.25">
      <c r="A193" s="4" t="str">
        <f>IF(ข้อมูลสูตร!$A190="","",ข้อมูลสูตร!B190)</f>
        <v>Green Honey Lemon</v>
      </c>
      <c r="B193" s="4" t="str">
        <f>IF(ข้อมูลสูตร!$A190="","",ข้อมูลสูตร!C190)</f>
        <v>22 oz</v>
      </c>
      <c r="C193" s="4" t="str">
        <f>IF(ข้อมูลสูตร!$A190="","",ข้อมูลสูตร!D190)</f>
        <v>75%</v>
      </c>
      <c r="D193" s="63">
        <f>IF(ข้อมูลสูตร!$A190="","",ข้อมูลสูตร!E190)</f>
        <v>0</v>
      </c>
      <c r="E193" s="63">
        <f>IF(ข้อมูลสูตร!$A190="","",ข้อมูลสูตร!F190)</f>
        <v>201.2</v>
      </c>
      <c r="F193" s="63">
        <f>IF(ข้อมูลสูตร!$A190="","",ข้อมูลสูตร!G190)</f>
        <v>0</v>
      </c>
      <c r="G193" s="63">
        <f>IF(ข้อมูลสูตร!$A190="","",ข้อมูลสูตร!H190)</f>
        <v>0</v>
      </c>
      <c r="H193" s="63">
        <f>IF(ข้อมูลสูตร!$A190="","",ข้อมูลสูตร!I190)</f>
        <v>0</v>
      </c>
      <c r="I193" s="63">
        <f>IF(ข้อมูลสูตร!$A190="","",ข้อมูลสูตร!J190)</f>
        <v>38.299999999999997</v>
      </c>
      <c r="J193" s="63">
        <f>IF(ข้อมูลสูตร!$A190="","",ข้อมูลสูตร!K190)</f>
        <v>16.5</v>
      </c>
      <c r="K193" s="63">
        <f>IF(ข้อมูลสูตร!$A190="","",ข้อมูลสูตร!L190)</f>
        <v>0</v>
      </c>
      <c r="L193" s="63">
        <f>IF(ข้อมูลสูตร!$A190="","",ข้อมูลสูตร!M190)</f>
        <v>0</v>
      </c>
      <c r="M193" s="63">
        <f>IF(ข้อมูลสูตร!$A190="","",ข้อมูลสูตร!N190)</f>
        <v>0</v>
      </c>
      <c r="N193" s="63">
        <f>IF(ข้อมูลสูตร!$A190="","",ข้อมูลสูตร!O190)</f>
        <v>0</v>
      </c>
      <c r="O193" s="63">
        <f>IF(ข้อมูลสูตร!$A190="","",ข้อมูลสูตร!P190)</f>
        <v>20.5</v>
      </c>
      <c r="P193" s="63">
        <f>IF(ข้อมูลสูตร!$A190="","",ข้อมูลสูตร!Q190)</f>
        <v>0</v>
      </c>
      <c r="Q193" s="63">
        <f>IF(ข้อมูลสูตร!$A190="","",ข้อมูลสูตร!R190)</f>
        <v>0</v>
      </c>
      <c r="R193" s="63">
        <f>IF(ข้อมูลสูตร!$A190="","",ข้อมูลสูตร!S190)</f>
        <v>330</v>
      </c>
      <c r="S193" s="63">
        <f>IF(ข้อมูลสูตร!$A190="","",ข้อมูลสูตร!T190)</f>
        <v>0</v>
      </c>
      <c r="T193" s="63">
        <f>IF(ข้อมูลสูตร!$A190="","",ข้อมูลสูตร!U190)</f>
        <v>0</v>
      </c>
      <c r="U193" s="64">
        <f>IF(ข้อมูลสูตร!$A190="","",ข้อมูลสูตร!V190)</f>
        <v>276.5</v>
      </c>
      <c r="V193" s="8">
        <f>IF(ข้อมูลสูตร!$A190="","",ข้อมูลสูตร!W190)</f>
        <v>23.73</v>
      </c>
      <c r="W193" s="64">
        <f>IF(ข้อมูลสูตร!$A190="","",ข้อมูลสูตร!X190)</f>
        <v>65</v>
      </c>
      <c r="X193" s="23">
        <f>IF(ข้อมูลสูตร!$A190="","",ข้อมูลสูตร!Y190)</f>
        <v>0.63492307692307681</v>
      </c>
      <c r="Y193" s="48" t="str">
        <f>IF(ข้อมูลสูตร!$A190="","",ข้อมูลสูตร!Z190)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93" s="48" t="str">
        <f>ข้อมูลสูตร!$A190</f>
        <v>Green Honey Lemon|22 oz|75%</v>
      </c>
    </row>
    <row r="194" spans="1:26" x14ac:dyDescent="0.25">
      <c r="A194" s="4" t="str">
        <f>IF(ข้อมูลสูตร!$A191="","",ข้อมูลสูตร!B191)</f>
        <v>Green Honey Lemon</v>
      </c>
      <c r="B194" s="4" t="str">
        <f>IF(ข้อมูลสูตร!$A191="","",ข้อมูลสูตร!C191)</f>
        <v>22 oz</v>
      </c>
      <c r="C194" s="4" t="str">
        <f>IF(ข้อมูลสูตร!$A191="","",ข้อมูลสูตร!D191)</f>
        <v>100%</v>
      </c>
      <c r="D194" s="63">
        <f>IF(ข้อมูลสูตร!$A191="","",ข้อมูลสูตร!E191)</f>
        <v>0</v>
      </c>
      <c r="E194" s="63">
        <f>IF(ข้อมูลสูตร!$A191="","",ข้อมูลสูตร!F191)</f>
        <v>201.2</v>
      </c>
      <c r="F194" s="63">
        <f>IF(ข้อมูลสูตร!$A191="","",ข้อมูลสูตร!G191)</f>
        <v>0</v>
      </c>
      <c r="G194" s="63">
        <f>IF(ข้อมูลสูตร!$A191="","",ข้อมูลสูตร!H191)</f>
        <v>0</v>
      </c>
      <c r="H194" s="63">
        <f>IF(ข้อมูลสูตร!$A191="","",ข้อมูลสูตร!I191)</f>
        <v>0</v>
      </c>
      <c r="I194" s="63">
        <f>IF(ข้อมูลสูตร!$A191="","",ข้อมูลสูตร!J191)</f>
        <v>42.3</v>
      </c>
      <c r="J194" s="63">
        <f>IF(ข้อมูลสูตร!$A191="","",ข้อมูลสูตร!K191)</f>
        <v>22</v>
      </c>
      <c r="K194" s="63">
        <f>IF(ข้อมูลสูตร!$A191="","",ข้อมูลสูตร!L191)</f>
        <v>0</v>
      </c>
      <c r="L194" s="63">
        <f>IF(ข้อมูลสูตร!$A191="","",ข้อมูลสูตร!M191)</f>
        <v>0</v>
      </c>
      <c r="M194" s="63">
        <f>IF(ข้อมูลสูตร!$A191="","",ข้อมูลสูตร!N191)</f>
        <v>0</v>
      </c>
      <c r="N194" s="63">
        <f>IF(ข้อมูลสูตร!$A191="","",ข้อมูลสูตร!O191)</f>
        <v>0</v>
      </c>
      <c r="O194" s="63">
        <f>IF(ข้อมูลสูตร!$A191="","",ข้อมูลสูตร!P191)</f>
        <v>20.5</v>
      </c>
      <c r="P194" s="63">
        <f>IF(ข้อมูลสูตร!$A191="","",ข้อมูลสูตร!Q191)</f>
        <v>0</v>
      </c>
      <c r="Q194" s="63">
        <f>IF(ข้อมูลสูตร!$A191="","",ข้อมูลสูตร!R191)</f>
        <v>0</v>
      </c>
      <c r="R194" s="63">
        <f>IF(ข้อมูลสูตร!$A191="","",ข้อมูลสูตร!S191)</f>
        <v>330</v>
      </c>
      <c r="S194" s="63">
        <f>IF(ข้อมูลสูตร!$A191="","",ข้อมูลสูตร!T191)</f>
        <v>0</v>
      </c>
      <c r="T194" s="63">
        <f>IF(ข้อมูลสูตร!$A191="","",ข้อมูลสูตร!U191)</f>
        <v>0</v>
      </c>
      <c r="U194" s="64">
        <f>IF(ข้อมูลสูตร!$A191="","",ข้อมูลสูตร!V191)</f>
        <v>286</v>
      </c>
      <c r="V194" s="8">
        <f>IF(ข้อมูลสูตร!$A191="","",ข้อมูลสูตร!W191)</f>
        <v>25.08</v>
      </c>
      <c r="W194" s="64">
        <f>IF(ข้อมูลสูตร!$A191="","",ข้อมูลสูตร!X191)</f>
        <v>65</v>
      </c>
      <c r="X194" s="23">
        <f>IF(ข้อมูลสูตร!$A191="","",ข้อมูลสูตร!Y191)</f>
        <v>0.61415384615384616</v>
      </c>
      <c r="Y194" s="48" t="str">
        <f>IF(ข้อมูลสูตร!$A191="","",ข้อมูลสูตร!Z191)</f>
        <v>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194" s="48" t="str">
        <f>ข้อมูลสูตร!$A191</f>
        <v>Green Honey Lemon|22 oz|100%</v>
      </c>
    </row>
    <row r="195" spans="1:26" x14ac:dyDescent="0.25">
      <c r="A195" s="4" t="str">
        <f>IF(ข้อมูลสูตร!$A192="","",ข้อมูลสูตร!B192)</f>
        <v>Green Cream Cheese</v>
      </c>
      <c r="B195" s="4" t="str">
        <f>IF(ข้อมูลสูตร!$A192="","",ข้อมูลสูตร!C192)</f>
        <v>16 oz</v>
      </c>
      <c r="C195" s="4" t="str">
        <f>IF(ข้อมูลสูตร!$A192="","",ข้อมูลสูตร!D192)</f>
        <v>0%</v>
      </c>
      <c r="D195" s="63">
        <f>IF(ข้อมูลสูตร!$A192="","",ข้อมูลสูตร!E192)</f>
        <v>0</v>
      </c>
      <c r="E195" s="63">
        <f>IF(ข้อมูลสูตร!$A192="","",ข้อมูลสูตร!F192)</f>
        <v>120</v>
      </c>
      <c r="F195" s="63">
        <f>IF(ข้อมูลสูตร!$A192="","",ข้อมูลสูตร!G192)</f>
        <v>0</v>
      </c>
      <c r="G195" s="63">
        <f>IF(ข้อมูลสูตร!$A192="","",ข้อมูลสูตร!H192)</f>
        <v>30</v>
      </c>
      <c r="H195" s="63">
        <f>IF(ข้อมูลสูตร!$A192="","",ข้อมูลสูตร!I192)</f>
        <v>0</v>
      </c>
      <c r="I195" s="63">
        <f>IF(ข้อมูลสูตร!$A192="","",ข้อมูลสูตร!J192)</f>
        <v>0</v>
      </c>
      <c r="J195" s="63">
        <f>IF(ข้อมูลสูตร!$A192="","",ข้อมูลสูตร!K192)</f>
        <v>0</v>
      </c>
      <c r="K195" s="63">
        <f>IF(ข้อมูลสูตร!$A192="","",ข้อมูลสูตร!L192)</f>
        <v>0</v>
      </c>
      <c r="L195" s="63">
        <f>IF(ข้อมูลสูตร!$A192="","",ข้อมูลสูตร!M192)</f>
        <v>0</v>
      </c>
      <c r="M195" s="63">
        <f>IF(ข้อมูลสูตร!$A192="","",ข้อมูลสูตร!N192)</f>
        <v>0</v>
      </c>
      <c r="N195" s="63">
        <f>IF(ข้อมูลสูตร!$A192="","",ข้อมูลสูตร!O192)</f>
        <v>0</v>
      </c>
      <c r="O195" s="63">
        <f>IF(ข้อมูลสูตร!$A192="","",ข้อมูลสูตร!P192)</f>
        <v>0</v>
      </c>
      <c r="P195" s="63">
        <f>IF(ข้อมูลสูตร!$A192="","",ข้อมูลสูตร!Q192)</f>
        <v>0</v>
      </c>
      <c r="Q195" s="63">
        <f>IF(ข้อมูลสูตร!$A192="","",ข้อมูลสูตร!R192)</f>
        <v>60</v>
      </c>
      <c r="R195" s="63">
        <f>IF(ข้อมูลสูตร!$A192="","",ข้อมูลสูตร!S192)</f>
        <v>200</v>
      </c>
      <c r="S195" s="63">
        <f>IF(ข้อมูลสูตร!$A192="","",ข้อมูลสูตร!T192)</f>
        <v>0</v>
      </c>
      <c r="T195" s="63">
        <f>IF(ข้อมูลสูตร!$A192="","",ข้อมูลสูตร!U192)</f>
        <v>0</v>
      </c>
      <c r="U195" s="64">
        <f>IF(ข้อมูลสูตร!$A192="","",ข้อมูลสูตร!V192)</f>
        <v>150</v>
      </c>
      <c r="V195" s="8">
        <f>IF(ข้อมูลสูตร!$A192="","",ข้อมูลสูตร!W192)</f>
        <v>21.45</v>
      </c>
      <c r="W195" s="64">
        <f>IF(ข้อมูลสูตร!$A192="","",ข้อมูลสูตร!X192)</f>
        <v>65</v>
      </c>
      <c r="X195" s="23">
        <f>IF(ข้อมูลสูตร!$A192="","",ข้อมูลสูตร!Y192)</f>
        <v>0.66999999999999993</v>
      </c>
      <c r="Y195" s="48" t="str">
        <f>IF(ข้อมูลสูตร!$A192="","",ข้อมูลสูตร!Z192)</f>
        <v>เมนูใหม่ (ชาเขียว) — เรียบเรียงจากสูตรเว็บ/โซเชียล โครงเดียวกับ Cream Cheese ของชาไทย โฟมชีสไม่นับเป็นของเหลว (ดูแหล่งที่มาใน comment B192)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195" s="48" t="str">
        <f>ข้อมูลสูตร!$A192</f>
        <v>Green Cream Cheese|16 oz|0%</v>
      </c>
    </row>
    <row r="196" spans="1:26" x14ac:dyDescent="0.25">
      <c r="A196" s="4" t="str">
        <f>IF(ข้อมูลสูตร!$A193="","",ข้อมูลสูตร!B193)</f>
        <v>Green Cream Cheese</v>
      </c>
      <c r="B196" s="4" t="str">
        <f>IF(ข้อมูลสูตร!$A193="","",ข้อมูลสูตร!C193)</f>
        <v>16 oz</v>
      </c>
      <c r="C196" s="4" t="str">
        <f>IF(ข้อมูลสูตร!$A193="","",ข้อมูลสูตร!D193)</f>
        <v>25%</v>
      </c>
      <c r="D196" s="63">
        <f>IF(ข้อมูลสูตร!$A193="","",ข้อมูลสูตร!E193)</f>
        <v>0</v>
      </c>
      <c r="E196" s="63">
        <f>IF(ข้อมูลสูตร!$A193="","",ข้อมูลสูตร!F193)</f>
        <v>120</v>
      </c>
      <c r="F196" s="63">
        <f>IF(ข้อมูลสูตร!$A193="","",ข้อมูลสูตร!G193)</f>
        <v>0</v>
      </c>
      <c r="G196" s="63">
        <f>IF(ข้อมูลสูตร!$A193="","",ข้อมูลสูตร!H193)</f>
        <v>30</v>
      </c>
      <c r="H196" s="63">
        <f>IF(ข้อมูลสูตร!$A193="","",ข้อมูลสูตร!I193)</f>
        <v>7</v>
      </c>
      <c r="I196" s="63">
        <f>IF(ข้อมูลสูตร!$A193="","",ข้อมูลสูตร!J193)</f>
        <v>15.4</v>
      </c>
      <c r="J196" s="63">
        <f>IF(ข้อมูลสูตร!$A193="","",ข้อมูลสูตร!K193)</f>
        <v>0</v>
      </c>
      <c r="K196" s="63">
        <f>IF(ข้อมูลสูตร!$A193="","",ข้อมูลสูตร!L193)</f>
        <v>0</v>
      </c>
      <c r="L196" s="63">
        <f>IF(ข้อมูลสูตร!$A193="","",ข้อมูลสูตร!M193)</f>
        <v>0</v>
      </c>
      <c r="M196" s="63">
        <f>IF(ข้อมูลสูตร!$A193="","",ข้อมูลสูตร!N193)</f>
        <v>0</v>
      </c>
      <c r="N196" s="63">
        <f>IF(ข้อมูลสูตร!$A193="","",ข้อมูลสูตร!O193)</f>
        <v>0</v>
      </c>
      <c r="O196" s="63">
        <f>IF(ข้อมูลสูตร!$A193="","",ข้อมูลสูตร!P193)</f>
        <v>0</v>
      </c>
      <c r="P196" s="63">
        <f>IF(ข้อมูลสูตร!$A193="","",ข้อมูลสูตร!Q193)</f>
        <v>0</v>
      </c>
      <c r="Q196" s="63">
        <f>IF(ข้อมูลสูตร!$A193="","",ข้อมูลสูตร!R193)</f>
        <v>60</v>
      </c>
      <c r="R196" s="63">
        <f>IF(ข้อมูลสูตร!$A193="","",ข้อมูลสูตร!S193)</f>
        <v>200</v>
      </c>
      <c r="S196" s="63">
        <f>IF(ข้อมูลสูตร!$A193="","",ข้อมูลสูตร!T193)</f>
        <v>0</v>
      </c>
      <c r="T196" s="63">
        <f>IF(ข้อมูลสูตร!$A193="","",ข้อมูลสูตร!U193)</f>
        <v>0</v>
      </c>
      <c r="U196" s="64">
        <f>IF(ข้อมูลสูตร!$A193="","",ข้อมูลสูตร!V193)</f>
        <v>172.4</v>
      </c>
      <c r="V196" s="8">
        <f>IF(ข้อมูลสูตร!$A193="","",ข้อมูลสูตร!W193)</f>
        <v>22.19</v>
      </c>
      <c r="W196" s="64">
        <f>IF(ข้อมูลสูตร!$A193="","",ข้อมูลสูตร!X193)</f>
        <v>65</v>
      </c>
      <c r="X196" s="23">
        <f>IF(ข้อมูลสูตร!$A193="","",ข้อมูลสูตร!Y193)</f>
        <v>0.6586153846153846</v>
      </c>
      <c r="Y196" s="48" t="str">
        <f>IF(ข้อมูลสูตร!$A193="","",ข้อมูลสูตร!Z193)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196" s="48" t="str">
        <f>ข้อมูลสูตร!$A193</f>
        <v>Green Cream Cheese|16 oz|25%</v>
      </c>
    </row>
    <row r="197" spans="1:26" x14ac:dyDescent="0.25">
      <c r="A197" s="4" t="str">
        <f>IF(ข้อมูลสูตร!$A194="","",ข้อมูลสูตร!B194)</f>
        <v>Green Cream Cheese</v>
      </c>
      <c r="B197" s="4" t="str">
        <f>IF(ข้อมูลสูตร!$A194="","",ข้อมูลสูตร!C194)</f>
        <v>16 oz</v>
      </c>
      <c r="C197" s="4" t="str">
        <f>IF(ข้อมูลสูตร!$A194="","",ข้อมูลสูตร!D194)</f>
        <v>50%</v>
      </c>
      <c r="D197" s="63">
        <f>IF(ข้อมูลสูตร!$A194="","",ข้อมูลสูตร!E194)</f>
        <v>0</v>
      </c>
      <c r="E197" s="63">
        <f>IF(ข้อมูลสูตร!$A194="","",ข้อมูลสูตร!F194)</f>
        <v>120</v>
      </c>
      <c r="F197" s="63">
        <f>IF(ข้อมูลสูตร!$A194="","",ข้อมูลสูตร!G194)</f>
        <v>0</v>
      </c>
      <c r="G197" s="63">
        <f>IF(ข้อมูลสูตร!$A194="","",ข้อมูลสูตร!H194)</f>
        <v>30</v>
      </c>
      <c r="H197" s="63">
        <f>IF(ข้อมูลสูตร!$A194="","",ข้อมูลสูตร!I194)</f>
        <v>14</v>
      </c>
      <c r="I197" s="63">
        <f>IF(ข้อมูลสูตร!$A194="","",ข้อมูลสูตร!J194)</f>
        <v>15.4</v>
      </c>
      <c r="J197" s="63">
        <f>IF(ข้อมูลสูตร!$A194="","",ข้อมูลสูตร!K194)</f>
        <v>0</v>
      </c>
      <c r="K197" s="63">
        <f>IF(ข้อมูลสูตร!$A194="","",ข้อมูลสูตร!L194)</f>
        <v>0</v>
      </c>
      <c r="L197" s="63">
        <f>IF(ข้อมูลสูตร!$A194="","",ข้อมูลสูตร!M194)</f>
        <v>0</v>
      </c>
      <c r="M197" s="63">
        <f>IF(ข้อมูลสูตร!$A194="","",ข้อมูลสูตร!N194)</f>
        <v>0</v>
      </c>
      <c r="N197" s="63">
        <f>IF(ข้อมูลสูตร!$A194="","",ข้อมูลสูตร!O194)</f>
        <v>0</v>
      </c>
      <c r="O197" s="63">
        <f>IF(ข้อมูลสูตร!$A194="","",ข้อมูลสูตร!P194)</f>
        <v>0</v>
      </c>
      <c r="P197" s="63">
        <f>IF(ข้อมูลสูตร!$A194="","",ข้อมูลสูตร!Q194)</f>
        <v>0</v>
      </c>
      <c r="Q197" s="63">
        <f>IF(ข้อมูลสูตร!$A194="","",ข้อมูลสูตร!R194)</f>
        <v>60</v>
      </c>
      <c r="R197" s="63">
        <f>IF(ข้อมูลสูตร!$A194="","",ข้อมูลสูตร!S194)</f>
        <v>200</v>
      </c>
      <c r="S197" s="63">
        <f>IF(ข้อมูลสูตร!$A194="","",ข้อมูลสูตร!T194)</f>
        <v>0</v>
      </c>
      <c r="T197" s="63">
        <f>IF(ข้อมูลสูตร!$A194="","",ข้อมูลสูตร!U194)</f>
        <v>0</v>
      </c>
      <c r="U197" s="64">
        <f>IF(ข้อมูลสูตร!$A194="","",ข้อมูลสูตร!V194)</f>
        <v>179.4</v>
      </c>
      <c r="V197" s="8">
        <f>IF(ข้อมูลสูตร!$A194="","",ข้อมูลสูตร!W194)</f>
        <v>22.67</v>
      </c>
      <c r="W197" s="64">
        <f>IF(ข้อมูลสูตร!$A194="","",ข้อมูลสูตร!X194)</f>
        <v>65</v>
      </c>
      <c r="X197" s="23">
        <f>IF(ข้อมูลสูตร!$A194="","",ข้อมูลสูตร!Y194)</f>
        <v>0.65123076923076917</v>
      </c>
      <c r="Y197" s="48" t="str">
        <f>IF(ข้อมูลสูตร!$A194="","",ข้อมูลสูตร!Z194)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197" s="48" t="str">
        <f>ข้อมูลสูตร!$A194</f>
        <v>Green Cream Cheese|16 oz|50%</v>
      </c>
    </row>
    <row r="198" spans="1:26" x14ac:dyDescent="0.25">
      <c r="A198" s="4" t="str">
        <f>IF(ข้อมูลสูตร!$A195="","",ข้อมูลสูตร!B195)</f>
        <v>Green Cream Cheese</v>
      </c>
      <c r="B198" s="4" t="str">
        <f>IF(ข้อมูลสูตร!$A195="","",ข้อมูลสูตร!C195)</f>
        <v>16 oz</v>
      </c>
      <c r="C198" s="4" t="str">
        <f>IF(ข้อมูลสูตร!$A195="","",ข้อมูลสูตร!D195)</f>
        <v>75%</v>
      </c>
      <c r="D198" s="63">
        <f>IF(ข้อมูลสูตร!$A195="","",ข้อมูลสูตร!E195)</f>
        <v>0</v>
      </c>
      <c r="E198" s="63">
        <f>IF(ข้อมูลสูตร!$A195="","",ข้อมูลสูตร!F195)</f>
        <v>120</v>
      </c>
      <c r="F198" s="63">
        <f>IF(ข้อมูลสูตร!$A195="","",ข้อมูลสูตร!G195)</f>
        <v>0</v>
      </c>
      <c r="G198" s="63">
        <f>IF(ข้อมูลสูตร!$A195="","",ข้อมูลสูตร!H195)</f>
        <v>30</v>
      </c>
      <c r="H198" s="63">
        <f>IF(ข้อมูลสูตร!$A195="","",ข้อมูลสูตร!I195)</f>
        <v>21</v>
      </c>
      <c r="I198" s="63">
        <f>IF(ข้อมูลสูตร!$A195="","",ข้อมูลสูตร!J195)</f>
        <v>15.4</v>
      </c>
      <c r="J198" s="63">
        <f>IF(ข้อมูลสูตร!$A195="","",ข้อมูลสูตร!K195)</f>
        <v>0</v>
      </c>
      <c r="K198" s="63">
        <f>IF(ข้อมูลสูตร!$A195="","",ข้อมูลสูตร!L195)</f>
        <v>0</v>
      </c>
      <c r="L198" s="63">
        <f>IF(ข้อมูลสูตร!$A195="","",ข้อมูลสูตร!M195)</f>
        <v>0</v>
      </c>
      <c r="M198" s="63">
        <f>IF(ข้อมูลสูตร!$A195="","",ข้อมูลสูตร!N195)</f>
        <v>0</v>
      </c>
      <c r="N198" s="63">
        <f>IF(ข้อมูลสูตร!$A195="","",ข้อมูลสูตร!O195)</f>
        <v>0</v>
      </c>
      <c r="O198" s="63">
        <f>IF(ข้อมูลสูตร!$A195="","",ข้อมูลสูตร!P195)</f>
        <v>0</v>
      </c>
      <c r="P198" s="63">
        <f>IF(ข้อมูลสูตร!$A195="","",ข้อมูลสูตร!Q195)</f>
        <v>0</v>
      </c>
      <c r="Q198" s="63">
        <f>IF(ข้อมูลสูตร!$A195="","",ข้อมูลสูตร!R195)</f>
        <v>60</v>
      </c>
      <c r="R198" s="63">
        <f>IF(ข้อมูลสูตร!$A195="","",ข้อมูลสูตร!S195)</f>
        <v>200</v>
      </c>
      <c r="S198" s="63">
        <f>IF(ข้อมูลสูตร!$A195="","",ข้อมูลสูตร!T195)</f>
        <v>0</v>
      </c>
      <c r="T198" s="63">
        <f>IF(ข้อมูลสูตร!$A195="","",ข้อมูลสูตร!U195)</f>
        <v>0</v>
      </c>
      <c r="U198" s="64">
        <f>IF(ข้อมูลสูตร!$A195="","",ข้อมูลสูตร!V195)</f>
        <v>186.4</v>
      </c>
      <c r="V198" s="8">
        <f>IF(ข้อมูลสูตร!$A195="","",ข้อมูลสูตร!W195)</f>
        <v>23.16</v>
      </c>
      <c r="W198" s="64">
        <f>IF(ข้อมูลสูตร!$A195="","",ข้อมูลสูตร!X195)</f>
        <v>65</v>
      </c>
      <c r="X198" s="23">
        <f>IF(ข้อมูลสูตร!$A195="","",ข้อมูลสูตร!Y195)</f>
        <v>0.64369230769230779</v>
      </c>
      <c r="Y198" s="48" t="str">
        <f>IF(ข้อมูลสูตร!$A195="","",ข้อมูลสูตร!Z195)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198" s="48" t="str">
        <f>ข้อมูลสูตร!$A195</f>
        <v>Green Cream Cheese|16 oz|75%</v>
      </c>
    </row>
    <row r="199" spans="1:26" x14ac:dyDescent="0.25">
      <c r="A199" s="4" t="str">
        <f>IF(ข้อมูลสูตร!$A196="","",ข้อมูลสูตร!B196)</f>
        <v>Green Cream Cheese</v>
      </c>
      <c r="B199" s="4" t="str">
        <f>IF(ข้อมูลสูตร!$A196="","",ข้อมูลสูตร!C196)</f>
        <v>16 oz</v>
      </c>
      <c r="C199" s="4" t="str">
        <f>IF(ข้อมูลสูตร!$A196="","",ข้อมูลสูตร!D196)</f>
        <v>100%</v>
      </c>
      <c r="D199" s="63">
        <f>IF(ข้อมูลสูตร!$A196="","",ข้อมูลสูตร!E196)</f>
        <v>0</v>
      </c>
      <c r="E199" s="63">
        <f>IF(ข้อมูลสูตร!$A196="","",ข้อมูลสูตร!F196)</f>
        <v>120</v>
      </c>
      <c r="F199" s="63">
        <f>IF(ข้อมูลสูตร!$A196="","",ข้อมูลสูตร!G196)</f>
        <v>0</v>
      </c>
      <c r="G199" s="63">
        <f>IF(ข้อมูลสูตร!$A196="","",ข้อมูลสูตร!H196)</f>
        <v>30</v>
      </c>
      <c r="H199" s="63">
        <f>IF(ข้อมูลสูตร!$A196="","",ข้อมูลสูตร!I196)</f>
        <v>28</v>
      </c>
      <c r="I199" s="63">
        <f>IF(ข้อมูลสูตร!$A196="","",ข้อมูลสูตร!J196)</f>
        <v>15.4</v>
      </c>
      <c r="J199" s="63">
        <f>IF(ข้อมูลสูตร!$A196="","",ข้อมูลสูตร!K196)</f>
        <v>0</v>
      </c>
      <c r="K199" s="63">
        <f>IF(ข้อมูลสูตร!$A196="","",ข้อมูลสูตร!L196)</f>
        <v>0</v>
      </c>
      <c r="L199" s="63">
        <f>IF(ข้อมูลสูตร!$A196="","",ข้อมูลสูตร!M196)</f>
        <v>0</v>
      </c>
      <c r="M199" s="63">
        <f>IF(ข้อมูลสูตร!$A196="","",ข้อมูลสูตร!N196)</f>
        <v>0</v>
      </c>
      <c r="N199" s="63">
        <f>IF(ข้อมูลสูตร!$A196="","",ข้อมูลสูตร!O196)</f>
        <v>0</v>
      </c>
      <c r="O199" s="63">
        <f>IF(ข้อมูลสูตร!$A196="","",ข้อมูลสูตร!P196)</f>
        <v>0</v>
      </c>
      <c r="P199" s="63">
        <f>IF(ข้อมูลสูตร!$A196="","",ข้อมูลสูตร!Q196)</f>
        <v>0</v>
      </c>
      <c r="Q199" s="63">
        <f>IF(ข้อมูลสูตร!$A196="","",ข้อมูลสูตร!R196)</f>
        <v>60</v>
      </c>
      <c r="R199" s="63">
        <f>IF(ข้อมูลสูตร!$A196="","",ข้อมูลสูตร!S196)</f>
        <v>200</v>
      </c>
      <c r="S199" s="63">
        <f>IF(ข้อมูลสูตร!$A196="","",ข้อมูลสูตร!T196)</f>
        <v>0</v>
      </c>
      <c r="T199" s="63">
        <f>IF(ข้อมูลสูตร!$A196="","",ข้อมูลสูตร!U196)</f>
        <v>0</v>
      </c>
      <c r="U199" s="64">
        <f>IF(ข้อมูลสูตร!$A196="","",ข้อมูลสูตร!V196)</f>
        <v>193.4</v>
      </c>
      <c r="V199" s="8">
        <f>IF(ข้อมูลสูตร!$A196="","",ข้อมูลสูตร!W196)</f>
        <v>23.64</v>
      </c>
      <c r="W199" s="64">
        <f>IF(ข้อมูลสูตร!$A196="","",ข้อมูลสูตร!X196)</f>
        <v>65</v>
      </c>
      <c r="X199" s="23">
        <f>IF(ข้อมูลสูตร!$A196="","",ข้อมูลสูตร!Y196)</f>
        <v>0.63630769230769235</v>
      </c>
      <c r="Y199" s="48" t="str">
        <f>IF(ข้อมูลสูตร!$A196="","",ข้อมูลสูตร!Z196)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199" s="48" t="str">
        <f>ข้อมูลสูตร!$A196</f>
        <v>Green Cream Cheese|16 oz|100%</v>
      </c>
    </row>
    <row r="200" spans="1:26" x14ac:dyDescent="0.25">
      <c r="A200" s="4" t="str">
        <f>IF(ข้อมูลสูตร!$A197="","",ข้อมูลสูตร!B197)</f>
        <v>Green Cream Cheese</v>
      </c>
      <c r="B200" s="4" t="str">
        <f>IF(ข้อมูลสูตร!$A197="","",ข้อมูลสูตร!C197)</f>
        <v>22 oz</v>
      </c>
      <c r="C200" s="4" t="str">
        <f>IF(ข้อมูลสูตร!$A197="","",ข้อมูลสูตร!D197)</f>
        <v>0%</v>
      </c>
      <c r="D200" s="63">
        <f>IF(ข้อมูลสูตร!$A197="","",ข้อมูลสูตร!E197)</f>
        <v>0</v>
      </c>
      <c r="E200" s="63">
        <f>IF(ข้อมูลสูตร!$A197="","",ข้อมูลสูตร!F197)</f>
        <v>165</v>
      </c>
      <c r="F200" s="63">
        <f>IF(ข้อมูลสูตร!$A197="","",ข้อมูลสูตร!G197)</f>
        <v>0</v>
      </c>
      <c r="G200" s="63">
        <f>IF(ข้อมูลสูตร!$A197="","",ข้อมูลสูตร!H197)</f>
        <v>41</v>
      </c>
      <c r="H200" s="63">
        <f>IF(ข้อมูลสูตร!$A197="","",ข้อมูลสูตร!I197)</f>
        <v>0</v>
      </c>
      <c r="I200" s="63">
        <f>IF(ข้อมูลสูตร!$A197="","",ข้อมูลสูตร!J197)</f>
        <v>0</v>
      </c>
      <c r="J200" s="63">
        <f>IF(ข้อมูลสูตร!$A197="","",ข้อมูลสูตร!K197)</f>
        <v>0</v>
      </c>
      <c r="K200" s="63">
        <f>IF(ข้อมูลสูตร!$A197="","",ข้อมูลสูตร!L197)</f>
        <v>0</v>
      </c>
      <c r="L200" s="63">
        <f>IF(ข้อมูลสูตร!$A197="","",ข้อมูลสูตร!M197)</f>
        <v>0</v>
      </c>
      <c r="M200" s="63">
        <f>IF(ข้อมูลสูตร!$A197="","",ข้อมูลสูตร!N197)</f>
        <v>0</v>
      </c>
      <c r="N200" s="63">
        <f>IF(ข้อมูลสูตร!$A197="","",ข้อมูลสูตร!O197)</f>
        <v>0</v>
      </c>
      <c r="O200" s="63">
        <f>IF(ข้อมูลสูตร!$A197="","",ข้อมูลสูตร!P197)</f>
        <v>0</v>
      </c>
      <c r="P200" s="63">
        <f>IF(ข้อมูลสูตร!$A197="","",ข้อมูลสูตร!Q197)</f>
        <v>0</v>
      </c>
      <c r="Q200" s="63">
        <f>IF(ข้อมูลสูตร!$A197="","",ข้อมูลสูตร!R197)</f>
        <v>82.5</v>
      </c>
      <c r="R200" s="63">
        <f>IF(ข้อมูลสูตร!$A197="","",ข้อมูลสูตร!S197)</f>
        <v>270</v>
      </c>
      <c r="S200" s="63">
        <f>IF(ข้อมูลสูตร!$A197="","",ข้อมูลสูตร!T197)</f>
        <v>0</v>
      </c>
      <c r="T200" s="63">
        <f>IF(ข้อมูลสูตร!$A197="","",ข้อมูลสูตร!U197)</f>
        <v>0</v>
      </c>
      <c r="U200" s="64">
        <f>IF(ข้อมูลสูตร!$A197="","",ข้อมูลสูตร!V197)</f>
        <v>206</v>
      </c>
      <c r="V200" s="8">
        <f>IF(ข้อมูลสูตร!$A197="","",ข้อมูลสูตร!W197)</f>
        <v>28.7</v>
      </c>
      <c r="W200" s="64">
        <f>IF(ข้อมูลสูตร!$A197="","",ข้อมูลสูตร!X197)</f>
        <v>85</v>
      </c>
      <c r="X200" s="23">
        <f>IF(ข้อมูลสูตร!$A197="","",ข้อมูลสูตร!Y197)</f>
        <v>0.66235294117647059</v>
      </c>
      <c r="Y200" s="48" t="str">
        <f>IF(ข้อมูลสูตร!$A197="","",ข้อมูลสูตร!Z197)</f>
        <v>เมนูใหม่ (ชาเขียว) — สเกลตามแพทเทิร์น Cream Cheese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200" s="48" t="str">
        <f>ข้อมูลสูตร!$A197</f>
        <v>Green Cream Cheese|22 oz|0%</v>
      </c>
    </row>
    <row r="201" spans="1:26" x14ac:dyDescent="0.25">
      <c r="A201" s="4" t="str">
        <f>IF(ข้อมูลสูตร!$A198="","",ข้อมูลสูตร!B198)</f>
        <v>Green Cream Cheese</v>
      </c>
      <c r="B201" s="4" t="str">
        <f>IF(ข้อมูลสูตร!$A198="","",ข้อมูลสูตร!C198)</f>
        <v>22 oz</v>
      </c>
      <c r="C201" s="4" t="str">
        <f>IF(ข้อมูลสูตร!$A198="","",ข้อมูลสูตร!D198)</f>
        <v>25%</v>
      </c>
      <c r="D201" s="63">
        <f>IF(ข้อมูลสูตร!$A198="","",ข้อมูลสูตร!E198)</f>
        <v>0</v>
      </c>
      <c r="E201" s="63">
        <f>IF(ข้อมูลสูตร!$A198="","",ข้อมูลสูตร!F198)</f>
        <v>165</v>
      </c>
      <c r="F201" s="63">
        <f>IF(ข้อมูลสูตร!$A198="","",ข้อมูลสูตร!G198)</f>
        <v>0</v>
      </c>
      <c r="G201" s="63">
        <f>IF(ข้อมูลสูตร!$A198="","",ข้อมูลสูตร!H198)</f>
        <v>41</v>
      </c>
      <c r="H201" s="63">
        <f>IF(ข้อมูลสูตร!$A198="","",ข้อมูลสูตร!I198)</f>
        <v>9.5</v>
      </c>
      <c r="I201" s="63">
        <f>IF(ข้อมูลสูตร!$A198="","",ข้อมูลสูตร!J198)</f>
        <v>21.1</v>
      </c>
      <c r="J201" s="63">
        <f>IF(ข้อมูลสูตร!$A198="","",ข้อมูลสูตร!K198)</f>
        <v>0</v>
      </c>
      <c r="K201" s="63">
        <f>IF(ข้อมูลสูตร!$A198="","",ข้อมูลสูตร!L198)</f>
        <v>0</v>
      </c>
      <c r="L201" s="63">
        <f>IF(ข้อมูลสูตร!$A198="","",ข้อมูลสูตร!M198)</f>
        <v>0</v>
      </c>
      <c r="M201" s="63">
        <f>IF(ข้อมูลสูตร!$A198="","",ข้อมูลสูตร!N198)</f>
        <v>0</v>
      </c>
      <c r="N201" s="63">
        <f>IF(ข้อมูลสูตร!$A198="","",ข้อมูลสูตร!O198)</f>
        <v>0</v>
      </c>
      <c r="O201" s="63">
        <f>IF(ข้อมูลสูตร!$A198="","",ข้อมูลสูตร!P198)</f>
        <v>0</v>
      </c>
      <c r="P201" s="63">
        <f>IF(ข้อมูลสูตร!$A198="","",ข้อมูลสูตร!Q198)</f>
        <v>0</v>
      </c>
      <c r="Q201" s="63">
        <f>IF(ข้อมูลสูตร!$A198="","",ข้อมูลสูตร!R198)</f>
        <v>82.5</v>
      </c>
      <c r="R201" s="63">
        <f>IF(ข้อมูลสูตร!$A198="","",ข้อมูลสูตร!S198)</f>
        <v>270</v>
      </c>
      <c r="S201" s="63">
        <f>IF(ข้อมูลสูตร!$A198="","",ข้อมูลสูตร!T198)</f>
        <v>0</v>
      </c>
      <c r="T201" s="63">
        <f>IF(ข้อมูลสูตร!$A198="","",ข้อมูลสูตร!U198)</f>
        <v>0</v>
      </c>
      <c r="U201" s="64">
        <f>IF(ข้อมูลสูตร!$A198="","",ข้อมูลสูตร!V198)</f>
        <v>236.6</v>
      </c>
      <c r="V201" s="8">
        <f>IF(ข้อมูลสูตร!$A198="","",ข้อมูลสูตร!W198)</f>
        <v>29.71</v>
      </c>
      <c r="W201" s="64">
        <f>IF(ข้อมูลสูตร!$A198="","",ข้อมูลสูตร!X198)</f>
        <v>85</v>
      </c>
      <c r="X201" s="23">
        <f>IF(ข้อมูลสูตร!$A198="","",ข้อมูลสูตร!Y198)</f>
        <v>0.65047058823529413</v>
      </c>
      <c r="Y201" s="48" t="str">
        <f>IF(ข้อมูลสูตร!$A198="","",ข้อมูลสูตร!Z198)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201" s="48" t="str">
        <f>ข้อมูลสูตร!$A198</f>
        <v>Green Cream Cheese|22 oz|25%</v>
      </c>
    </row>
    <row r="202" spans="1:26" x14ac:dyDescent="0.25">
      <c r="A202" s="4" t="str">
        <f>IF(ข้อมูลสูตร!$A199="","",ข้อมูลสูตร!B199)</f>
        <v>Green Cream Cheese</v>
      </c>
      <c r="B202" s="4" t="str">
        <f>IF(ข้อมูลสูตร!$A199="","",ข้อมูลสูตร!C199)</f>
        <v>22 oz</v>
      </c>
      <c r="C202" s="4" t="str">
        <f>IF(ข้อมูลสูตร!$A199="","",ข้อมูลสูตร!D199)</f>
        <v>50%</v>
      </c>
      <c r="D202" s="63">
        <f>IF(ข้อมูลสูตร!$A199="","",ข้อมูลสูตร!E199)</f>
        <v>0</v>
      </c>
      <c r="E202" s="63">
        <f>IF(ข้อมูลสูตร!$A199="","",ข้อมูลสูตร!F199)</f>
        <v>165</v>
      </c>
      <c r="F202" s="63">
        <f>IF(ข้อมูลสูตร!$A199="","",ข้อมูลสูตร!G199)</f>
        <v>0</v>
      </c>
      <c r="G202" s="63">
        <f>IF(ข้อมูลสูตร!$A199="","",ข้อมูลสูตร!H199)</f>
        <v>41</v>
      </c>
      <c r="H202" s="63">
        <f>IF(ข้อมูลสูตร!$A199="","",ข้อมูลสูตร!I199)</f>
        <v>19</v>
      </c>
      <c r="I202" s="63">
        <f>IF(ข้อมูลสูตร!$A199="","",ข้อมูลสูตร!J199)</f>
        <v>21.1</v>
      </c>
      <c r="J202" s="63">
        <f>IF(ข้อมูลสูตร!$A199="","",ข้อมูลสูตร!K199)</f>
        <v>0</v>
      </c>
      <c r="K202" s="63">
        <f>IF(ข้อมูลสูตร!$A199="","",ข้อมูลสูตร!L199)</f>
        <v>0</v>
      </c>
      <c r="L202" s="63">
        <f>IF(ข้อมูลสูตร!$A199="","",ข้อมูลสูตร!M199)</f>
        <v>0</v>
      </c>
      <c r="M202" s="63">
        <f>IF(ข้อมูลสูตร!$A199="","",ข้อมูลสูตร!N199)</f>
        <v>0</v>
      </c>
      <c r="N202" s="63">
        <f>IF(ข้อมูลสูตร!$A199="","",ข้อมูลสูตร!O199)</f>
        <v>0</v>
      </c>
      <c r="O202" s="63">
        <f>IF(ข้อมูลสูตร!$A199="","",ข้อมูลสูตร!P199)</f>
        <v>0</v>
      </c>
      <c r="P202" s="63">
        <f>IF(ข้อมูลสูตร!$A199="","",ข้อมูลสูตร!Q199)</f>
        <v>0</v>
      </c>
      <c r="Q202" s="63">
        <f>IF(ข้อมูลสูตร!$A199="","",ข้อมูลสูตร!R199)</f>
        <v>82.5</v>
      </c>
      <c r="R202" s="63">
        <f>IF(ข้อมูลสูตร!$A199="","",ข้อมูลสูตร!S199)</f>
        <v>270</v>
      </c>
      <c r="S202" s="63">
        <f>IF(ข้อมูลสูตร!$A199="","",ข้อมูลสูตร!T199)</f>
        <v>0</v>
      </c>
      <c r="T202" s="63">
        <f>IF(ข้อมูลสูตร!$A199="","",ข้อมูลสูตร!U199)</f>
        <v>0</v>
      </c>
      <c r="U202" s="64">
        <f>IF(ข้อมูลสูตร!$A199="","",ข้อมูลสูตร!V199)</f>
        <v>246.1</v>
      </c>
      <c r="V202" s="8">
        <f>IF(ข้อมูลสูตร!$A199="","",ข้อมูลสูตร!W199)</f>
        <v>30.37</v>
      </c>
      <c r="W202" s="64">
        <f>IF(ข้อมูลสูตร!$A199="","",ข้อมูลสูตร!X199)</f>
        <v>85</v>
      </c>
      <c r="X202" s="23">
        <f>IF(ข้อมูลสูตร!$A199="","",ข้อมูลสูตร!Y199)</f>
        <v>0.64270588235294113</v>
      </c>
      <c r="Y202" s="48" t="str">
        <f>IF(ข้อมูลสูตร!$A199="","",ข้อมูลสูตร!Z199)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202" s="48" t="str">
        <f>ข้อมูลสูตร!$A199</f>
        <v>Green Cream Cheese|22 oz|50%</v>
      </c>
    </row>
    <row r="203" spans="1:26" x14ac:dyDescent="0.25">
      <c r="A203" s="4" t="str">
        <f>IF(ข้อมูลสูตร!$A200="","",ข้อมูลสูตร!B200)</f>
        <v>Green Cream Cheese</v>
      </c>
      <c r="B203" s="4" t="str">
        <f>IF(ข้อมูลสูตร!$A200="","",ข้อมูลสูตร!C200)</f>
        <v>22 oz</v>
      </c>
      <c r="C203" s="4" t="str">
        <f>IF(ข้อมูลสูตร!$A200="","",ข้อมูลสูตร!D200)</f>
        <v>75%</v>
      </c>
      <c r="D203" s="63">
        <f>IF(ข้อมูลสูตร!$A200="","",ข้อมูลสูตร!E200)</f>
        <v>0</v>
      </c>
      <c r="E203" s="63">
        <f>IF(ข้อมูลสูตร!$A200="","",ข้อมูลสูตร!F200)</f>
        <v>165</v>
      </c>
      <c r="F203" s="63">
        <f>IF(ข้อมูลสูตร!$A200="","",ข้อมูลสูตร!G200)</f>
        <v>0</v>
      </c>
      <c r="G203" s="63">
        <f>IF(ข้อมูลสูตร!$A200="","",ข้อมูลสูตร!H200)</f>
        <v>41</v>
      </c>
      <c r="H203" s="63">
        <f>IF(ข้อมูลสูตร!$A200="","",ข้อมูลสูตร!I200)</f>
        <v>29</v>
      </c>
      <c r="I203" s="63">
        <f>IF(ข้อมูลสูตร!$A200="","",ข้อมูลสูตร!J200)</f>
        <v>21.1</v>
      </c>
      <c r="J203" s="63">
        <f>IF(ข้อมูลสูตร!$A200="","",ข้อมูลสูตร!K200)</f>
        <v>0</v>
      </c>
      <c r="K203" s="63">
        <f>IF(ข้อมูลสูตร!$A200="","",ข้อมูลสูตร!L200)</f>
        <v>0</v>
      </c>
      <c r="L203" s="63">
        <f>IF(ข้อมูลสูตร!$A200="","",ข้อมูลสูตร!M200)</f>
        <v>0</v>
      </c>
      <c r="M203" s="63">
        <f>IF(ข้อมูลสูตร!$A200="","",ข้อมูลสูตร!N200)</f>
        <v>0</v>
      </c>
      <c r="N203" s="63">
        <f>IF(ข้อมูลสูตร!$A200="","",ข้อมูลสูตร!O200)</f>
        <v>0</v>
      </c>
      <c r="O203" s="63">
        <f>IF(ข้อมูลสูตร!$A200="","",ข้อมูลสูตร!P200)</f>
        <v>0</v>
      </c>
      <c r="P203" s="63">
        <f>IF(ข้อมูลสูตร!$A200="","",ข้อมูลสูตร!Q200)</f>
        <v>0</v>
      </c>
      <c r="Q203" s="63">
        <f>IF(ข้อมูลสูตร!$A200="","",ข้อมูลสูตร!R200)</f>
        <v>82.5</v>
      </c>
      <c r="R203" s="63">
        <f>IF(ข้อมูลสูตร!$A200="","",ข้อมูลสูตร!S200)</f>
        <v>270</v>
      </c>
      <c r="S203" s="63">
        <f>IF(ข้อมูลสูตร!$A200="","",ข้อมูลสูตร!T200)</f>
        <v>0</v>
      </c>
      <c r="T203" s="63">
        <f>IF(ข้อมูลสูตร!$A200="","",ข้อมูลสูตร!U200)</f>
        <v>0</v>
      </c>
      <c r="U203" s="64">
        <f>IF(ข้อมูลสูตร!$A200="","",ข้อมูลสูตร!V200)</f>
        <v>256.10000000000002</v>
      </c>
      <c r="V203" s="8">
        <f>IF(ข้อมูลสูตร!$A200="","",ข้อมูลสูตร!W200)</f>
        <v>31.06</v>
      </c>
      <c r="W203" s="64">
        <f>IF(ข้อมูลสูตร!$A200="","",ข้อมูลสูตร!X200)</f>
        <v>85</v>
      </c>
      <c r="X203" s="23">
        <f>IF(ข้อมูลสูตร!$A200="","",ข้อมูลสูตร!Y200)</f>
        <v>0.63458823529411768</v>
      </c>
      <c r="Y203" s="48" t="str">
        <f>IF(ข้อมูลสูตร!$A200="","",ข้อมูลสูตร!Z200)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203" s="48" t="str">
        <f>ข้อมูลสูตร!$A200</f>
        <v>Green Cream Cheese|22 oz|75%</v>
      </c>
    </row>
    <row r="204" spans="1:26" x14ac:dyDescent="0.25">
      <c r="A204" s="4" t="str">
        <f>IF(ข้อมูลสูตร!$A201="","",ข้อมูลสูตร!B201)</f>
        <v>Green Cream Cheese</v>
      </c>
      <c r="B204" s="4" t="str">
        <f>IF(ข้อมูลสูตร!$A201="","",ข้อมูลสูตร!C201)</f>
        <v>22 oz</v>
      </c>
      <c r="C204" s="4" t="str">
        <f>IF(ข้อมูลสูตร!$A201="","",ข้อมูลสูตร!D201)</f>
        <v>100%</v>
      </c>
      <c r="D204" s="63">
        <f>IF(ข้อมูลสูตร!$A201="","",ข้อมูลสูตร!E201)</f>
        <v>0</v>
      </c>
      <c r="E204" s="63">
        <f>IF(ข้อมูลสูตร!$A201="","",ข้อมูลสูตร!F201)</f>
        <v>165</v>
      </c>
      <c r="F204" s="63">
        <f>IF(ข้อมูลสูตร!$A201="","",ข้อมูลสูตร!G201)</f>
        <v>0</v>
      </c>
      <c r="G204" s="63">
        <f>IF(ข้อมูลสูตร!$A201="","",ข้อมูลสูตร!H201)</f>
        <v>41</v>
      </c>
      <c r="H204" s="63">
        <f>IF(ข้อมูลสูตร!$A201="","",ข้อมูลสูตร!I201)</f>
        <v>38.5</v>
      </c>
      <c r="I204" s="63">
        <f>IF(ข้อมูลสูตร!$A201="","",ข้อมูลสูตร!J201)</f>
        <v>21.1</v>
      </c>
      <c r="J204" s="63">
        <f>IF(ข้อมูลสูตร!$A201="","",ข้อมูลสูตร!K201)</f>
        <v>0</v>
      </c>
      <c r="K204" s="63">
        <f>IF(ข้อมูลสูตร!$A201="","",ข้อมูลสูตร!L201)</f>
        <v>0</v>
      </c>
      <c r="L204" s="63">
        <f>IF(ข้อมูลสูตร!$A201="","",ข้อมูลสูตร!M201)</f>
        <v>0</v>
      </c>
      <c r="M204" s="63">
        <f>IF(ข้อมูลสูตร!$A201="","",ข้อมูลสูตร!N201)</f>
        <v>0</v>
      </c>
      <c r="N204" s="63">
        <f>IF(ข้อมูลสูตร!$A201="","",ข้อมูลสูตร!O201)</f>
        <v>0</v>
      </c>
      <c r="O204" s="63">
        <f>IF(ข้อมูลสูตร!$A201="","",ข้อมูลสูตร!P201)</f>
        <v>0</v>
      </c>
      <c r="P204" s="63">
        <f>IF(ข้อมูลสูตร!$A201="","",ข้อมูลสูตร!Q201)</f>
        <v>0</v>
      </c>
      <c r="Q204" s="63">
        <f>IF(ข้อมูลสูตร!$A201="","",ข้อมูลสูตร!R201)</f>
        <v>82.5</v>
      </c>
      <c r="R204" s="63">
        <f>IF(ข้อมูลสูตร!$A201="","",ข้อมูลสูตร!S201)</f>
        <v>270</v>
      </c>
      <c r="S204" s="63">
        <f>IF(ข้อมูลสูตร!$A201="","",ข้อมูลสูตร!T201)</f>
        <v>0</v>
      </c>
      <c r="T204" s="63">
        <f>IF(ข้อมูลสูตร!$A201="","",ข้อมูลสูตร!U201)</f>
        <v>0</v>
      </c>
      <c r="U204" s="64">
        <f>IF(ข้อมูลสูตร!$A201="","",ข้อมูลสูตร!V201)</f>
        <v>265.60000000000002</v>
      </c>
      <c r="V204" s="8">
        <f>IF(ข้อมูลสูตร!$A201="","",ข้อมูลสูตร!W201)</f>
        <v>31.72</v>
      </c>
      <c r="W204" s="64">
        <f>IF(ข้อมูลสูตร!$A201="","",ข้อมูลสูตร!X201)</f>
        <v>85</v>
      </c>
      <c r="X204" s="23">
        <f>IF(ข้อมูลสูตร!$A201="","",ข้อมูลสูตร!Y201)</f>
        <v>0.62682352941176467</v>
      </c>
      <c r="Y204" s="48" t="str">
        <f>IF(ข้อมูลสูตร!$A201="","",ข้อมูลสูตร!Z201)</f>
        <v>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204" s="48" t="str">
        <f>ข้อมูลสูตร!$A201</f>
        <v>Green Cream Cheese|22 oz|100%</v>
      </c>
    </row>
    <row r="205" spans="1:26" x14ac:dyDescent="0.25">
      <c r="A205" s="4" t="str">
        <f>IF(ข้อมูลสูตร!$A202="","",ข้อมูลสูตร!B202)</f>
        <v>Pure Matcha Premium</v>
      </c>
      <c r="B205" s="4" t="str">
        <f>IF(ข้อมูลสูตร!$A202="","",ข้อมูลสูตร!C202)</f>
        <v>16 oz</v>
      </c>
      <c r="C205" s="4" t="str">
        <f>IF(ข้อมูลสูตร!$A202="","",ข้อมูลสูตร!D202)</f>
        <v>0%</v>
      </c>
      <c r="D205" s="63">
        <f>IF(ข้อมูลสูตร!$A202="","",ข้อมูลสูตร!E202)</f>
        <v>0</v>
      </c>
      <c r="E205" s="63">
        <f>IF(ข้อมูลสูตร!$A202="","",ข้อมูลสูตร!F202)</f>
        <v>0</v>
      </c>
      <c r="F205" s="63">
        <f>IF(ข้อมูลสูตร!$A202="","",ข้อมูลสูตร!G202)</f>
        <v>0</v>
      </c>
      <c r="G205" s="63">
        <f>IF(ข้อมูลสูตร!$A202="","",ข้อมูลสูตร!H202)</f>
        <v>0</v>
      </c>
      <c r="H205" s="63">
        <f>IF(ข้อมูลสูตร!$A202="","",ข้อมูลสูตร!I202)</f>
        <v>0</v>
      </c>
      <c r="I205" s="63">
        <f>IF(ข้อมูลสูตร!$A202="","",ข้อมูลสูตร!J202)</f>
        <v>0</v>
      </c>
      <c r="J205" s="63">
        <f>IF(ข้อมูลสูตร!$A202="","",ข้อมูลสูตร!K202)</f>
        <v>0</v>
      </c>
      <c r="K205" s="63">
        <f>IF(ข้อมูลสูตร!$A202="","",ข้อมูลสูตร!L202)</f>
        <v>0</v>
      </c>
      <c r="L205" s="63">
        <f>IF(ข้อมูลสูตร!$A202="","",ข้อมูลสูตร!M202)</f>
        <v>0</v>
      </c>
      <c r="M205" s="63">
        <f>IF(ข้อมูลสูตร!$A202="","",ข้อมูลสูตร!N202)</f>
        <v>0</v>
      </c>
      <c r="N205" s="63">
        <f>IF(ข้อมูลสูตร!$A202="","",ข้อมูลสูตร!O202)</f>
        <v>0</v>
      </c>
      <c r="O205" s="63">
        <f>IF(ข้อมูลสูตร!$A202="","",ข้อมูลสูตร!P202)</f>
        <v>0</v>
      </c>
      <c r="P205" s="63">
        <f>IF(ข้อมูลสูตร!$A202="","",ข้อมูลสูตร!Q202)</f>
        <v>0</v>
      </c>
      <c r="Q205" s="63">
        <f>IF(ข้อมูลสูตร!$A202="","",ข้อมูลสูตร!R202)</f>
        <v>0</v>
      </c>
      <c r="R205" s="63">
        <f>IF(ข้อมูลสูตร!$A202="","",ข้อมูลสูตร!S202)</f>
        <v>240</v>
      </c>
      <c r="S205" s="63">
        <f>IF(ข้อมูลสูตร!$A202="","",ข้อมูลสูตร!T202)</f>
        <v>40</v>
      </c>
      <c r="T205" s="63">
        <f>IF(ข้อมูลสูตร!$A202="","",ข้อมูลสูตร!U202)</f>
        <v>150</v>
      </c>
      <c r="U205" s="64">
        <f>IF(ข้อมูลสูตร!$A202="","",ข้อมูลสูตร!V202)</f>
        <v>190</v>
      </c>
      <c r="V205" s="8">
        <f>IF(ข้อมูลสูตร!$A202="","",ข้อมูลสูตร!W202)</f>
        <v>45.93</v>
      </c>
      <c r="W205" s="64">
        <f>IF(ข้อมูลสูตร!$A202="","",ข้อมูลสูตร!X202)</f>
        <v>75</v>
      </c>
      <c r="X205" s="23">
        <f>IF(ข้อมูลสูตร!$A202="","",ข้อมูลสูตร!Y202)</f>
        <v>0.3876</v>
      </c>
      <c r="Y205" s="48" t="str">
        <f>IF(ข้อมูลสูตร!$A202="","",ข้อมูลสูตร!Z202)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05" s="48" t="str">
        <f>ข้อมูลสูตร!$A202</f>
        <v>Pure Matcha Premium|16 oz|0%</v>
      </c>
    </row>
    <row r="206" spans="1:26" x14ac:dyDescent="0.25">
      <c r="A206" s="4" t="str">
        <f>IF(ข้อมูลสูตร!$A203="","",ข้อมูลสูตร!B203)</f>
        <v>Pure Matcha Premium</v>
      </c>
      <c r="B206" s="4" t="str">
        <f>IF(ข้อมูลสูตร!$A203="","",ข้อมูลสูตร!C203)</f>
        <v>16 oz</v>
      </c>
      <c r="C206" s="4" t="str">
        <f>IF(ข้อมูลสูตร!$A203="","",ข้อมูลสูตร!D203)</f>
        <v>25%</v>
      </c>
      <c r="D206" s="63">
        <f>IF(ข้อมูลสูตร!$A203="","",ข้อมูลสูตร!E203)</f>
        <v>0</v>
      </c>
      <c r="E206" s="63">
        <f>IF(ข้อมูลสูตร!$A203="","",ข้อมูลสูตร!F203)</f>
        <v>0</v>
      </c>
      <c r="F206" s="63">
        <f>IF(ข้อมูลสูตร!$A203="","",ข้อมูลสูตร!G203)</f>
        <v>0</v>
      </c>
      <c r="G206" s="63">
        <f>IF(ข้อมูลสูตร!$A203="","",ข้อมูลสูตร!H203)</f>
        <v>0</v>
      </c>
      <c r="H206" s="63">
        <f>IF(ข้อมูลสูตร!$A203="","",ข้อมูลสูตร!I203)</f>
        <v>0</v>
      </c>
      <c r="I206" s="63">
        <f>IF(ข้อมูลสูตร!$A203="","",ข้อมูลสูตร!J203)</f>
        <v>6</v>
      </c>
      <c r="J206" s="63">
        <f>IF(ข้อมูลสูตร!$A203="","",ข้อมูลสูตร!K203)</f>
        <v>0</v>
      </c>
      <c r="K206" s="63">
        <f>IF(ข้อมูลสูตร!$A203="","",ข้อมูลสูตร!L203)</f>
        <v>0</v>
      </c>
      <c r="L206" s="63">
        <f>IF(ข้อมูลสูตร!$A203="","",ข้อมูลสูตร!M203)</f>
        <v>0</v>
      </c>
      <c r="M206" s="63">
        <f>IF(ข้อมูลสูตร!$A203="","",ข้อมูลสูตร!N203)</f>
        <v>0</v>
      </c>
      <c r="N206" s="63">
        <f>IF(ข้อมูลสูตร!$A203="","",ข้อมูลสูตร!O203)</f>
        <v>0</v>
      </c>
      <c r="O206" s="63">
        <f>IF(ข้อมูลสูตร!$A203="","",ข้อมูลสูตร!P203)</f>
        <v>0</v>
      </c>
      <c r="P206" s="63">
        <f>IF(ข้อมูลสูตร!$A203="","",ข้อมูลสูตร!Q203)</f>
        <v>0</v>
      </c>
      <c r="Q206" s="63">
        <f>IF(ข้อมูลสูตร!$A203="","",ข้อมูลสูตร!R203)</f>
        <v>0</v>
      </c>
      <c r="R206" s="63">
        <f>IF(ข้อมูลสูตร!$A203="","",ข้อมูลสูตร!S203)</f>
        <v>240</v>
      </c>
      <c r="S206" s="63">
        <f>IF(ข้อมูลสูตร!$A203="","",ข้อมูลสูตร!T203)</f>
        <v>40</v>
      </c>
      <c r="T206" s="63">
        <f>IF(ข้อมูลสูตร!$A203="","",ข้อมูลสูตร!U203)</f>
        <v>150</v>
      </c>
      <c r="U206" s="64">
        <f>IF(ข้อมูลสูตร!$A203="","",ข้อมูลสูตร!V203)</f>
        <v>196</v>
      </c>
      <c r="V206" s="8">
        <f>IF(ข้อมูลสูตร!$A203="","",ข้อมูลสูตร!W203)</f>
        <v>46.03</v>
      </c>
      <c r="W206" s="64">
        <f>IF(ข้อมูลสูตร!$A203="","",ข้อมูลสูตร!X203)</f>
        <v>75</v>
      </c>
      <c r="X206" s="23">
        <f>IF(ข้อมูลสูตร!$A203="","",ข้อมูลสูตร!Y203)</f>
        <v>0.38626666666666665</v>
      </c>
      <c r="Y206" s="48" t="str">
        <f>IF(ข้อมูลสูตร!$A203="","",ข้อมูลสูตร!Z203)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06" s="48" t="str">
        <f>ข้อมูลสูตร!$A203</f>
        <v>Pure Matcha Premium|16 oz|25%</v>
      </c>
    </row>
    <row r="207" spans="1:26" x14ac:dyDescent="0.25">
      <c r="A207" s="4" t="str">
        <f>IF(ข้อมูลสูตร!$A204="","",ข้อมูลสูตร!B204)</f>
        <v>Pure Matcha Premium</v>
      </c>
      <c r="B207" s="4" t="str">
        <f>IF(ข้อมูลสูตร!$A204="","",ข้อมูลสูตร!C204)</f>
        <v>16 oz</v>
      </c>
      <c r="C207" s="4" t="str">
        <f>IF(ข้อมูลสูตร!$A204="","",ข้อมูลสูตร!D204)</f>
        <v>50%</v>
      </c>
      <c r="D207" s="63">
        <f>IF(ข้อมูลสูตร!$A204="","",ข้อมูลสูตร!E204)</f>
        <v>0</v>
      </c>
      <c r="E207" s="63">
        <f>IF(ข้อมูลสูตร!$A204="","",ข้อมูลสูตร!F204)</f>
        <v>0</v>
      </c>
      <c r="F207" s="63">
        <f>IF(ข้อมูลสูตร!$A204="","",ข้อมูลสูตร!G204)</f>
        <v>0</v>
      </c>
      <c r="G207" s="63">
        <f>IF(ข้อมูลสูตร!$A204="","",ข้อมูลสูตร!H204)</f>
        <v>0</v>
      </c>
      <c r="H207" s="63">
        <f>IF(ข้อมูลสูตร!$A204="","",ข้อมูลสูตร!I204)</f>
        <v>0</v>
      </c>
      <c r="I207" s="63">
        <f>IF(ข้อมูลสูตร!$A204="","",ข้อมูลสูตร!J204)</f>
        <v>12</v>
      </c>
      <c r="J207" s="63">
        <f>IF(ข้อมูลสูตร!$A204="","",ข้อมูลสูตร!K204)</f>
        <v>0</v>
      </c>
      <c r="K207" s="63">
        <f>IF(ข้อมูลสูตร!$A204="","",ข้อมูลสูตร!L204)</f>
        <v>0</v>
      </c>
      <c r="L207" s="63">
        <f>IF(ข้อมูลสูตร!$A204="","",ข้อมูลสูตร!M204)</f>
        <v>0</v>
      </c>
      <c r="M207" s="63">
        <f>IF(ข้อมูลสูตร!$A204="","",ข้อมูลสูตร!N204)</f>
        <v>0</v>
      </c>
      <c r="N207" s="63">
        <f>IF(ข้อมูลสูตร!$A204="","",ข้อมูลสูตร!O204)</f>
        <v>0</v>
      </c>
      <c r="O207" s="63">
        <f>IF(ข้อมูลสูตร!$A204="","",ข้อมูลสูตร!P204)</f>
        <v>0</v>
      </c>
      <c r="P207" s="63">
        <f>IF(ข้อมูลสูตร!$A204="","",ข้อมูลสูตร!Q204)</f>
        <v>0</v>
      </c>
      <c r="Q207" s="63">
        <f>IF(ข้อมูลสูตร!$A204="","",ข้อมูลสูตร!R204)</f>
        <v>0</v>
      </c>
      <c r="R207" s="63">
        <f>IF(ข้อมูลสูตร!$A204="","",ข้อมูลสูตร!S204)</f>
        <v>240</v>
      </c>
      <c r="S207" s="63">
        <f>IF(ข้อมูลสูตร!$A204="","",ข้อมูลสูตร!T204)</f>
        <v>40</v>
      </c>
      <c r="T207" s="63">
        <f>IF(ข้อมูลสูตร!$A204="","",ข้อมูลสูตร!U204)</f>
        <v>150</v>
      </c>
      <c r="U207" s="64">
        <f>IF(ข้อมูลสูตร!$A204="","",ข้อมูลสูตร!V204)</f>
        <v>202</v>
      </c>
      <c r="V207" s="8">
        <f>IF(ข้อมูลสูตร!$A204="","",ข้อมูลสูตร!W204)</f>
        <v>46.13</v>
      </c>
      <c r="W207" s="64">
        <f>IF(ข้อมูลสูตร!$A204="","",ข้อมูลสูตร!X204)</f>
        <v>75</v>
      </c>
      <c r="X207" s="23">
        <f>IF(ข้อมูลสูตร!$A204="","",ข้อมูลสูตร!Y204)</f>
        <v>0.38493333333333329</v>
      </c>
      <c r="Y207" s="48" t="str">
        <f>IF(ข้อมูลสูตร!$A204="","",ข้อมูลสูตร!Z204)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07" s="48" t="str">
        <f>ข้อมูลสูตร!$A204</f>
        <v>Pure Matcha Premium|16 oz|50%</v>
      </c>
    </row>
    <row r="208" spans="1:26" x14ac:dyDescent="0.25">
      <c r="A208" s="4" t="str">
        <f>IF(ข้อมูลสูตร!$A205="","",ข้อมูลสูตร!B205)</f>
        <v>Pure Matcha Premium</v>
      </c>
      <c r="B208" s="4" t="str">
        <f>IF(ข้อมูลสูตร!$A205="","",ข้อมูลสูตร!C205)</f>
        <v>16 oz</v>
      </c>
      <c r="C208" s="4" t="str">
        <f>IF(ข้อมูลสูตร!$A205="","",ข้อมูลสูตร!D205)</f>
        <v>75%</v>
      </c>
      <c r="D208" s="63">
        <f>IF(ข้อมูลสูตร!$A205="","",ข้อมูลสูตร!E205)</f>
        <v>0</v>
      </c>
      <c r="E208" s="63">
        <f>IF(ข้อมูลสูตร!$A205="","",ข้อมูลสูตร!F205)</f>
        <v>0</v>
      </c>
      <c r="F208" s="63">
        <f>IF(ข้อมูลสูตร!$A205="","",ข้อมูลสูตร!G205)</f>
        <v>0</v>
      </c>
      <c r="G208" s="63">
        <f>IF(ข้อมูลสูตร!$A205="","",ข้อมูลสูตร!H205)</f>
        <v>0</v>
      </c>
      <c r="H208" s="63">
        <f>IF(ข้อมูลสูตร!$A205="","",ข้อมูลสูตร!I205)</f>
        <v>0</v>
      </c>
      <c r="I208" s="63">
        <f>IF(ข้อมูลสูตร!$A205="","",ข้อมูลสูตร!J205)</f>
        <v>18</v>
      </c>
      <c r="J208" s="63">
        <f>IF(ข้อมูลสูตร!$A205="","",ข้อมูลสูตร!K205)</f>
        <v>0</v>
      </c>
      <c r="K208" s="63">
        <f>IF(ข้อมูลสูตร!$A205="","",ข้อมูลสูตร!L205)</f>
        <v>0</v>
      </c>
      <c r="L208" s="63">
        <f>IF(ข้อมูลสูตร!$A205="","",ข้อมูลสูตร!M205)</f>
        <v>0</v>
      </c>
      <c r="M208" s="63">
        <f>IF(ข้อมูลสูตร!$A205="","",ข้อมูลสูตร!N205)</f>
        <v>0</v>
      </c>
      <c r="N208" s="63">
        <f>IF(ข้อมูลสูตร!$A205="","",ข้อมูลสูตร!O205)</f>
        <v>0</v>
      </c>
      <c r="O208" s="63">
        <f>IF(ข้อมูลสูตร!$A205="","",ข้อมูลสูตร!P205)</f>
        <v>0</v>
      </c>
      <c r="P208" s="63">
        <f>IF(ข้อมูลสูตร!$A205="","",ข้อมูลสูตร!Q205)</f>
        <v>0</v>
      </c>
      <c r="Q208" s="63">
        <f>IF(ข้อมูลสูตร!$A205="","",ข้อมูลสูตร!R205)</f>
        <v>0</v>
      </c>
      <c r="R208" s="63">
        <f>IF(ข้อมูลสูตร!$A205="","",ข้อมูลสูตร!S205)</f>
        <v>240</v>
      </c>
      <c r="S208" s="63">
        <f>IF(ข้อมูลสูตร!$A205="","",ข้อมูลสูตร!T205)</f>
        <v>40</v>
      </c>
      <c r="T208" s="63">
        <f>IF(ข้อมูลสูตร!$A205="","",ข้อมูลสูตร!U205)</f>
        <v>150</v>
      </c>
      <c r="U208" s="64">
        <f>IF(ข้อมูลสูตร!$A205="","",ข้อมูลสูตร!V205)</f>
        <v>208</v>
      </c>
      <c r="V208" s="8">
        <f>IF(ข้อมูลสูตร!$A205="","",ข้อมูลสูตร!W205)</f>
        <v>46.23</v>
      </c>
      <c r="W208" s="64">
        <f>IF(ข้อมูลสูตร!$A205="","",ข้อมูลสูตร!X205)</f>
        <v>75</v>
      </c>
      <c r="X208" s="23">
        <f>IF(ข้อมูลสูตร!$A205="","",ข้อมูลสูตร!Y205)</f>
        <v>0.38360000000000005</v>
      </c>
      <c r="Y208" s="48" t="str">
        <f>IF(ข้อมูลสูตร!$A205="","",ข้อมูลสูตร!Z205)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08" s="48" t="str">
        <f>ข้อมูลสูตร!$A205</f>
        <v>Pure Matcha Premium|16 oz|75%</v>
      </c>
    </row>
    <row r="209" spans="1:26" x14ac:dyDescent="0.25">
      <c r="A209" s="4" t="str">
        <f>IF(ข้อมูลสูตร!$A206="","",ข้อมูลสูตร!B206)</f>
        <v>Pure Matcha Premium</v>
      </c>
      <c r="B209" s="4" t="str">
        <f>IF(ข้อมูลสูตร!$A206="","",ข้อมูลสูตร!C206)</f>
        <v>16 oz</v>
      </c>
      <c r="C209" s="4" t="str">
        <f>IF(ข้อมูลสูตร!$A206="","",ข้อมูลสูตร!D206)</f>
        <v>100%</v>
      </c>
      <c r="D209" s="63">
        <f>IF(ข้อมูลสูตร!$A206="","",ข้อมูลสูตร!E206)</f>
        <v>0</v>
      </c>
      <c r="E209" s="63">
        <f>IF(ข้อมูลสูตร!$A206="","",ข้อมูลสูตร!F206)</f>
        <v>0</v>
      </c>
      <c r="F209" s="63">
        <f>IF(ข้อมูลสูตร!$A206="","",ข้อมูลสูตร!G206)</f>
        <v>0</v>
      </c>
      <c r="G209" s="63">
        <f>IF(ข้อมูลสูตร!$A206="","",ข้อมูลสูตร!H206)</f>
        <v>0</v>
      </c>
      <c r="H209" s="63">
        <f>IF(ข้อมูลสูตร!$A206="","",ข้อมูลสูตร!I206)</f>
        <v>0</v>
      </c>
      <c r="I209" s="63">
        <f>IF(ข้อมูลสูตร!$A206="","",ข้อมูลสูตร!J206)</f>
        <v>24</v>
      </c>
      <c r="J209" s="63">
        <f>IF(ข้อมูลสูตร!$A206="","",ข้อมูลสูตร!K206)</f>
        <v>0</v>
      </c>
      <c r="K209" s="63">
        <f>IF(ข้อมูลสูตร!$A206="","",ข้อมูลสูตร!L206)</f>
        <v>0</v>
      </c>
      <c r="L209" s="63">
        <f>IF(ข้อมูลสูตร!$A206="","",ข้อมูลสูตร!M206)</f>
        <v>0</v>
      </c>
      <c r="M209" s="63">
        <f>IF(ข้อมูลสูตร!$A206="","",ข้อมูลสูตร!N206)</f>
        <v>0</v>
      </c>
      <c r="N209" s="63">
        <f>IF(ข้อมูลสูตร!$A206="","",ข้อมูลสูตร!O206)</f>
        <v>0</v>
      </c>
      <c r="O209" s="63">
        <f>IF(ข้อมูลสูตร!$A206="","",ข้อมูลสูตร!P206)</f>
        <v>0</v>
      </c>
      <c r="P209" s="63">
        <f>IF(ข้อมูลสูตร!$A206="","",ข้อมูลสูตร!Q206)</f>
        <v>0</v>
      </c>
      <c r="Q209" s="63">
        <f>IF(ข้อมูลสูตร!$A206="","",ข้อมูลสูตร!R206)</f>
        <v>0</v>
      </c>
      <c r="R209" s="63">
        <f>IF(ข้อมูลสูตร!$A206="","",ข้อมูลสูตร!S206)</f>
        <v>240</v>
      </c>
      <c r="S209" s="63">
        <f>IF(ข้อมูลสูตร!$A206="","",ข้อมูลสูตร!T206)</f>
        <v>40</v>
      </c>
      <c r="T209" s="63">
        <f>IF(ข้อมูลสูตร!$A206="","",ข้อมูลสูตร!U206)</f>
        <v>150</v>
      </c>
      <c r="U209" s="64">
        <f>IF(ข้อมูลสูตร!$A206="","",ข้อมูลสูตร!V206)</f>
        <v>214</v>
      </c>
      <c r="V209" s="8">
        <f>IF(ข้อมูลสูตร!$A206="","",ข้อมูลสูตร!W206)</f>
        <v>46.33</v>
      </c>
      <c r="W209" s="64">
        <f>IF(ข้อมูลสูตร!$A206="","",ข้อมูลสูตร!X206)</f>
        <v>75</v>
      </c>
      <c r="X209" s="23">
        <f>IF(ข้อมูลสูตร!$A206="","",ข้อมูลสูตร!Y206)</f>
        <v>0.3822666666666667</v>
      </c>
      <c r="Y209" s="48" t="str">
        <f>IF(ข้อมูลสูตร!$A206="","",ข้อมูลสูตร!Z206)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09" s="48" t="str">
        <f>ข้อมูลสูตร!$A206</f>
        <v>Pure Matcha Premium|16 oz|100%</v>
      </c>
    </row>
    <row r="210" spans="1:26" x14ac:dyDescent="0.25">
      <c r="A210" s="4" t="str">
        <f>IF(ข้อมูลสูตร!$A207="","",ข้อมูลสูตร!B207)</f>
        <v>Pure Matcha Premium</v>
      </c>
      <c r="B210" s="4" t="str">
        <f>IF(ข้อมูลสูตร!$A207="","",ข้อมูลสูตร!C207)</f>
        <v>22 oz</v>
      </c>
      <c r="C210" s="4" t="str">
        <f>IF(ข้อมูลสูตร!$A207="","",ข้อมูลสูตร!D207)</f>
        <v>0%</v>
      </c>
      <c r="D210" s="63">
        <f>IF(ข้อมูลสูตร!$A207="","",ข้อมูลสูตร!E207)</f>
        <v>0</v>
      </c>
      <c r="E210" s="63">
        <f>IF(ข้อมูลสูตร!$A207="","",ข้อมูลสูตร!F207)</f>
        <v>0</v>
      </c>
      <c r="F210" s="63">
        <f>IF(ข้อมูลสูตร!$A207="","",ข้อมูลสูตร!G207)</f>
        <v>0</v>
      </c>
      <c r="G210" s="63">
        <f>IF(ข้อมูลสูตร!$A207="","",ข้อมูลสูตร!H207)</f>
        <v>0</v>
      </c>
      <c r="H210" s="63">
        <f>IF(ข้อมูลสูตร!$A207="","",ข้อมูลสูตร!I207)</f>
        <v>0</v>
      </c>
      <c r="I210" s="63">
        <f>IF(ข้อมูลสูตร!$A207="","",ข้อมูลสูตร!J207)</f>
        <v>0</v>
      </c>
      <c r="J210" s="63">
        <f>IF(ข้อมูลสูตร!$A207="","",ข้อมูลสูตร!K207)</f>
        <v>0</v>
      </c>
      <c r="K210" s="63">
        <f>IF(ข้อมูลสูตร!$A207="","",ข้อมูลสูตร!L207)</f>
        <v>0</v>
      </c>
      <c r="L210" s="63">
        <f>IF(ข้อมูลสูตร!$A207="","",ข้อมูลสูตร!M207)</f>
        <v>0</v>
      </c>
      <c r="M210" s="63">
        <f>IF(ข้อมูลสูตร!$A207="","",ข้อมูลสูตร!N207)</f>
        <v>0</v>
      </c>
      <c r="N210" s="63">
        <f>IF(ข้อมูลสูตร!$A207="","",ข้อมูลสูตร!O207)</f>
        <v>0</v>
      </c>
      <c r="O210" s="63">
        <f>IF(ข้อมูลสูตร!$A207="","",ข้อมูลสูตร!P207)</f>
        <v>0</v>
      </c>
      <c r="P210" s="63">
        <f>IF(ข้อมูลสูตร!$A207="","",ข้อมูลสูตร!Q207)</f>
        <v>0</v>
      </c>
      <c r="Q210" s="63">
        <f>IF(ข้อมูลสูตร!$A207="","",ข้อมูลสูตร!R207)</f>
        <v>0</v>
      </c>
      <c r="R210" s="63">
        <f>IF(ข้อมูลสูตร!$A207="","",ข้อมูลสูตร!S207)</f>
        <v>330</v>
      </c>
      <c r="S210" s="63">
        <f>IF(ข้อมูลสูตร!$A207="","",ข้อมูลสูตร!T207)</f>
        <v>50</v>
      </c>
      <c r="T210" s="63">
        <f>IF(ข้อมูลสูตร!$A207="","",ข้อมูลสูตร!U207)</f>
        <v>210</v>
      </c>
      <c r="U210" s="64">
        <f>IF(ข้อมูลสูตร!$A207="","",ข้อมูลสูตร!V207)</f>
        <v>260</v>
      </c>
      <c r="V210" s="8">
        <f>IF(ข้อมูลสูตร!$A207="","",ข้อมูลสูตร!W207)</f>
        <v>57.67</v>
      </c>
      <c r="W210" s="64">
        <f>IF(ข้อมูลสูตร!$A207="","",ข้อมูลสูตร!X207)</f>
        <v>90</v>
      </c>
      <c r="X210" s="23">
        <f>IF(ข้อมูลสูตร!$A207="","",ข้อมูลสูตร!Y207)</f>
        <v>0.35922222222222222</v>
      </c>
      <c r="Y210" s="48" t="str">
        <f>IF(ข้อมูลสูตร!$A207="","",ข้อมูลสูตร!Z207)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10" s="48" t="str">
        <f>ข้อมูลสูตร!$A207</f>
        <v>Pure Matcha Premium|22 oz|0%</v>
      </c>
    </row>
    <row r="211" spans="1:26" x14ac:dyDescent="0.25">
      <c r="A211" s="4" t="str">
        <f>IF(ข้อมูลสูตร!$A208="","",ข้อมูลสูตร!B208)</f>
        <v>Pure Matcha Premium</v>
      </c>
      <c r="B211" s="4" t="str">
        <f>IF(ข้อมูลสูตร!$A208="","",ข้อมูลสูตร!C208)</f>
        <v>22 oz</v>
      </c>
      <c r="C211" s="4" t="str">
        <f>IF(ข้อมูลสูตร!$A208="","",ข้อมูลสูตร!D208)</f>
        <v>25%</v>
      </c>
      <c r="D211" s="63">
        <f>IF(ข้อมูลสูตร!$A208="","",ข้อมูลสูตร!E208)</f>
        <v>0</v>
      </c>
      <c r="E211" s="63">
        <f>IF(ข้อมูลสูตร!$A208="","",ข้อมูลสูตร!F208)</f>
        <v>0</v>
      </c>
      <c r="F211" s="63">
        <f>IF(ข้อมูลสูตร!$A208="","",ข้อมูลสูตร!G208)</f>
        <v>0</v>
      </c>
      <c r="G211" s="63">
        <f>IF(ข้อมูลสูตร!$A208="","",ข้อมูลสูตร!H208)</f>
        <v>0</v>
      </c>
      <c r="H211" s="63">
        <f>IF(ข้อมูลสูตร!$A208="","",ข้อมูลสูตร!I208)</f>
        <v>0</v>
      </c>
      <c r="I211" s="63">
        <f>IF(ข้อมูลสูตร!$A208="","",ข้อมูลสูตร!J208)</f>
        <v>8</v>
      </c>
      <c r="J211" s="63">
        <f>IF(ข้อมูลสูตร!$A208="","",ข้อมูลสูตร!K208)</f>
        <v>0</v>
      </c>
      <c r="K211" s="63">
        <f>IF(ข้อมูลสูตร!$A208="","",ข้อมูลสูตร!L208)</f>
        <v>0</v>
      </c>
      <c r="L211" s="63">
        <f>IF(ข้อมูลสูตร!$A208="","",ข้อมูลสูตร!M208)</f>
        <v>0</v>
      </c>
      <c r="M211" s="63">
        <f>IF(ข้อมูลสูตร!$A208="","",ข้อมูลสูตร!N208)</f>
        <v>0</v>
      </c>
      <c r="N211" s="63">
        <f>IF(ข้อมูลสูตร!$A208="","",ข้อมูลสูตร!O208)</f>
        <v>0</v>
      </c>
      <c r="O211" s="63">
        <f>IF(ข้อมูลสูตร!$A208="","",ข้อมูลสูตร!P208)</f>
        <v>0</v>
      </c>
      <c r="P211" s="63">
        <f>IF(ข้อมูลสูตร!$A208="","",ข้อมูลสูตร!Q208)</f>
        <v>0</v>
      </c>
      <c r="Q211" s="63">
        <f>IF(ข้อมูลสูตร!$A208="","",ข้อมูลสูตร!R208)</f>
        <v>0</v>
      </c>
      <c r="R211" s="63">
        <f>IF(ข้อมูลสูตร!$A208="","",ข้อมูลสูตร!S208)</f>
        <v>330</v>
      </c>
      <c r="S211" s="63">
        <f>IF(ข้อมูลสูตร!$A208="","",ข้อมูลสูตร!T208)</f>
        <v>50</v>
      </c>
      <c r="T211" s="63">
        <f>IF(ข้อมูลสูตร!$A208="","",ข้อมูลสูตร!U208)</f>
        <v>210</v>
      </c>
      <c r="U211" s="64">
        <f>IF(ข้อมูลสูตร!$A208="","",ข้อมูลสูตร!V208)</f>
        <v>268</v>
      </c>
      <c r="V211" s="8">
        <f>IF(ข้อมูลสูตร!$A208="","",ข้อมูลสูตร!W208)</f>
        <v>57.81</v>
      </c>
      <c r="W211" s="64">
        <f>IF(ข้อมูลสูตร!$A208="","",ข้อมูลสูตร!X208)</f>
        <v>90</v>
      </c>
      <c r="X211" s="23">
        <f>IF(ข้อมูลสูตร!$A208="","",ข้อมูลสูตร!Y208)</f>
        <v>0.35766666666666663</v>
      </c>
      <c r="Y211" s="48" t="str">
        <f>IF(ข้อมูลสูตร!$A208="","",ข้อมูลสูตร!Z208)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11" s="48" t="str">
        <f>ข้อมูลสูตร!$A208</f>
        <v>Pure Matcha Premium|22 oz|25%</v>
      </c>
    </row>
    <row r="212" spans="1:26" x14ac:dyDescent="0.25">
      <c r="A212" s="4" t="str">
        <f>IF(ข้อมูลสูตร!$A209="","",ข้อมูลสูตร!B209)</f>
        <v>Pure Matcha Premium</v>
      </c>
      <c r="B212" s="4" t="str">
        <f>IF(ข้อมูลสูตร!$A209="","",ข้อมูลสูตร!C209)</f>
        <v>22 oz</v>
      </c>
      <c r="C212" s="4" t="str">
        <f>IF(ข้อมูลสูตร!$A209="","",ข้อมูลสูตร!D209)</f>
        <v>50%</v>
      </c>
      <c r="D212" s="63">
        <f>IF(ข้อมูลสูตร!$A209="","",ข้อมูลสูตร!E209)</f>
        <v>0</v>
      </c>
      <c r="E212" s="63">
        <f>IF(ข้อมูลสูตร!$A209="","",ข้อมูลสูตร!F209)</f>
        <v>0</v>
      </c>
      <c r="F212" s="63">
        <f>IF(ข้อมูลสูตร!$A209="","",ข้อมูลสูตร!G209)</f>
        <v>0</v>
      </c>
      <c r="G212" s="63">
        <f>IF(ข้อมูลสูตร!$A209="","",ข้อมูลสูตร!H209)</f>
        <v>0</v>
      </c>
      <c r="H212" s="63">
        <f>IF(ข้อมูลสูตร!$A209="","",ข้อมูลสูตร!I209)</f>
        <v>0</v>
      </c>
      <c r="I212" s="63">
        <f>IF(ข้อมูลสูตร!$A209="","",ข้อมูลสูตร!J209)</f>
        <v>16</v>
      </c>
      <c r="J212" s="63">
        <f>IF(ข้อมูลสูตร!$A209="","",ข้อมูลสูตร!K209)</f>
        <v>0</v>
      </c>
      <c r="K212" s="63">
        <f>IF(ข้อมูลสูตร!$A209="","",ข้อมูลสูตร!L209)</f>
        <v>0</v>
      </c>
      <c r="L212" s="63">
        <f>IF(ข้อมูลสูตร!$A209="","",ข้อมูลสูตร!M209)</f>
        <v>0</v>
      </c>
      <c r="M212" s="63">
        <f>IF(ข้อมูลสูตร!$A209="","",ข้อมูลสูตร!N209)</f>
        <v>0</v>
      </c>
      <c r="N212" s="63">
        <f>IF(ข้อมูลสูตร!$A209="","",ข้อมูลสูตร!O209)</f>
        <v>0</v>
      </c>
      <c r="O212" s="63">
        <f>IF(ข้อมูลสูตร!$A209="","",ข้อมูลสูตร!P209)</f>
        <v>0</v>
      </c>
      <c r="P212" s="63">
        <f>IF(ข้อมูลสูตร!$A209="","",ข้อมูลสูตร!Q209)</f>
        <v>0</v>
      </c>
      <c r="Q212" s="63">
        <f>IF(ข้อมูลสูตร!$A209="","",ข้อมูลสูตร!R209)</f>
        <v>0</v>
      </c>
      <c r="R212" s="63">
        <f>IF(ข้อมูลสูตร!$A209="","",ข้อมูลสูตร!S209)</f>
        <v>330</v>
      </c>
      <c r="S212" s="63">
        <f>IF(ข้อมูลสูตร!$A209="","",ข้อมูลสูตร!T209)</f>
        <v>50</v>
      </c>
      <c r="T212" s="63">
        <f>IF(ข้อมูลสูตร!$A209="","",ข้อมูลสูตร!U209)</f>
        <v>210</v>
      </c>
      <c r="U212" s="64">
        <f>IF(ข้อมูลสูตร!$A209="","",ข้อมูลสูตร!V209)</f>
        <v>276</v>
      </c>
      <c r="V212" s="8">
        <f>IF(ข้อมูลสูตร!$A209="","",ข้อมูลสูตร!W209)</f>
        <v>57.94</v>
      </c>
      <c r="W212" s="64">
        <f>IF(ข้อมูลสูตร!$A209="","",ข้อมูลสูตร!X209)</f>
        <v>90</v>
      </c>
      <c r="X212" s="23">
        <f>IF(ข้อมูลสูตร!$A209="","",ข้อมูลสูตร!Y209)</f>
        <v>0.35622222222222227</v>
      </c>
      <c r="Y212" s="48" t="str">
        <f>IF(ข้อมูลสูตร!$A209="","",ข้อมูลสูตร!Z209)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12" s="48" t="str">
        <f>ข้อมูลสูตร!$A209</f>
        <v>Pure Matcha Premium|22 oz|50%</v>
      </c>
    </row>
    <row r="213" spans="1:26" x14ac:dyDescent="0.25">
      <c r="A213" s="4" t="str">
        <f>IF(ข้อมูลสูตร!$A210="","",ข้อมูลสูตร!B210)</f>
        <v>Pure Matcha Premium</v>
      </c>
      <c r="B213" s="4" t="str">
        <f>IF(ข้อมูลสูตร!$A210="","",ข้อมูลสูตร!C210)</f>
        <v>22 oz</v>
      </c>
      <c r="C213" s="4" t="str">
        <f>IF(ข้อมูลสูตร!$A210="","",ข้อมูลสูตร!D210)</f>
        <v>75%</v>
      </c>
      <c r="D213" s="63">
        <f>IF(ข้อมูลสูตร!$A210="","",ข้อมูลสูตร!E210)</f>
        <v>0</v>
      </c>
      <c r="E213" s="63">
        <f>IF(ข้อมูลสูตร!$A210="","",ข้อมูลสูตร!F210)</f>
        <v>0</v>
      </c>
      <c r="F213" s="63">
        <f>IF(ข้อมูลสูตร!$A210="","",ข้อมูลสูตร!G210)</f>
        <v>0</v>
      </c>
      <c r="G213" s="63">
        <f>IF(ข้อมูลสูตร!$A210="","",ข้อมูลสูตร!H210)</f>
        <v>0</v>
      </c>
      <c r="H213" s="63">
        <f>IF(ข้อมูลสูตร!$A210="","",ข้อมูลสูตร!I210)</f>
        <v>0</v>
      </c>
      <c r="I213" s="63">
        <f>IF(ข้อมูลสูตร!$A210="","",ข้อมูลสูตร!J210)</f>
        <v>25</v>
      </c>
      <c r="J213" s="63">
        <f>IF(ข้อมูลสูตร!$A210="","",ข้อมูลสูตร!K210)</f>
        <v>0</v>
      </c>
      <c r="K213" s="63">
        <f>IF(ข้อมูลสูตร!$A210="","",ข้อมูลสูตร!L210)</f>
        <v>0</v>
      </c>
      <c r="L213" s="63">
        <f>IF(ข้อมูลสูตร!$A210="","",ข้อมูลสูตร!M210)</f>
        <v>0</v>
      </c>
      <c r="M213" s="63">
        <f>IF(ข้อมูลสูตร!$A210="","",ข้อมูลสูตร!N210)</f>
        <v>0</v>
      </c>
      <c r="N213" s="63">
        <f>IF(ข้อมูลสูตร!$A210="","",ข้อมูลสูตร!O210)</f>
        <v>0</v>
      </c>
      <c r="O213" s="63">
        <f>IF(ข้อมูลสูตร!$A210="","",ข้อมูลสูตร!P210)</f>
        <v>0</v>
      </c>
      <c r="P213" s="63">
        <f>IF(ข้อมูลสูตร!$A210="","",ข้อมูลสูตร!Q210)</f>
        <v>0</v>
      </c>
      <c r="Q213" s="63">
        <f>IF(ข้อมูลสูตร!$A210="","",ข้อมูลสูตร!R210)</f>
        <v>0</v>
      </c>
      <c r="R213" s="63">
        <f>IF(ข้อมูลสูตร!$A210="","",ข้อมูลสูตร!S210)</f>
        <v>330</v>
      </c>
      <c r="S213" s="63">
        <f>IF(ข้อมูลสูตร!$A210="","",ข้อมูลสูตร!T210)</f>
        <v>50</v>
      </c>
      <c r="T213" s="63">
        <f>IF(ข้อมูลสูตร!$A210="","",ข้อมูลสูตร!U210)</f>
        <v>210</v>
      </c>
      <c r="U213" s="64">
        <f>IF(ข้อมูลสูตร!$A210="","",ข้อมูลสูตร!V210)</f>
        <v>285</v>
      </c>
      <c r="V213" s="8">
        <f>IF(ข้อมูลสูตร!$A210="","",ข้อมูลสูตร!W210)</f>
        <v>58.09</v>
      </c>
      <c r="W213" s="64">
        <f>IF(ข้อมูลสูตร!$A210="","",ข้อมูลสูตร!X210)</f>
        <v>90</v>
      </c>
      <c r="X213" s="23">
        <f>IF(ข้อมูลสูตร!$A210="","",ข้อมูลสูตร!Y210)</f>
        <v>0.35455555555555551</v>
      </c>
      <c r="Y213" s="48" t="str">
        <f>IF(ข้อมูลสูตร!$A210="","",ข้อมูลสูตร!Z210)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13" s="48" t="str">
        <f>ข้อมูลสูตร!$A210</f>
        <v>Pure Matcha Premium|22 oz|75%</v>
      </c>
    </row>
    <row r="214" spans="1:26" x14ac:dyDescent="0.25">
      <c r="A214" s="4" t="str">
        <f>IF(ข้อมูลสูตร!$A211="","",ข้อมูลสูตร!B211)</f>
        <v>Pure Matcha Premium</v>
      </c>
      <c r="B214" s="4" t="str">
        <f>IF(ข้อมูลสูตร!$A211="","",ข้อมูลสูตร!C211)</f>
        <v>22 oz</v>
      </c>
      <c r="C214" s="4" t="str">
        <f>IF(ข้อมูลสูตร!$A211="","",ข้อมูลสูตร!D211)</f>
        <v>100%</v>
      </c>
      <c r="D214" s="63">
        <f>IF(ข้อมูลสูตร!$A211="","",ข้อมูลสูตร!E211)</f>
        <v>0</v>
      </c>
      <c r="E214" s="63">
        <f>IF(ข้อมูลสูตร!$A211="","",ข้อมูลสูตร!F211)</f>
        <v>0</v>
      </c>
      <c r="F214" s="63">
        <f>IF(ข้อมูลสูตร!$A211="","",ข้อมูลสูตร!G211)</f>
        <v>0</v>
      </c>
      <c r="G214" s="63">
        <f>IF(ข้อมูลสูตร!$A211="","",ข้อมูลสูตร!H211)</f>
        <v>0</v>
      </c>
      <c r="H214" s="63">
        <f>IF(ข้อมูลสูตร!$A211="","",ข้อมูลสูตร!I211)</f>
        <v>0</v>
      </c>
      <c r="I214" s="63">
        <f>IF(ข้อมูลสูตร!$A211="","",ข้อมูลสูตร!J211)</f>
        <v>33</v>
      </c>
      <c r="J214" s="63">
        <f>IF(ข้อมูลสูตร!$A211="","",ข้อมูลสูตร!K211)</f>
        <v>0</v>
      </c>
      <c r="K214" s="63">
        <f>IF(ข้อมูลสูตร!$A211="","",ข้อมูลสูตร!L211)</f>
        <v>0</v>
      </c>
      <c r="L214" s="63">
        <f>IF(ข้อมูลสูตร!$A211="","",ข้อมูลสูตร!M211)</f>
        <v>0</v>
      </c>
      <c r="M214" s="63">
        <f>IF(ข้อมูลสูตร!$A211="","",ข้อมูลสูตร!N211)</f>
        <v>0</v>
      </c>
      <c r="N214" s="63">
        <f>IF(ข้อมูลสูตร!$A211="","",ข้อมูลสูตร!O211)</f>
        <v>0</v>
      </c>
      <c r="O214" s="63">
        <f>IF(ข้อมูลสูตร!$A211="","",ข้อมูลสูตร!P211)</f>
        <v>0</v>
      </c>
      <c r="P214" s="63">
        <f>IF(ข้อมูลสูตร!$A211="","",ข้อมูลสูตร!Q211)</f>
        <v>0</v>
      </c>
      <c r="Q214" s="63">
        <f>IF(ข้อมูลสูตร!$A211="","",ข้อมูลสูตร!R211)</f>
        <v>0</v>
      </c>
      <c r="R214" s="63">
        <f>IF(ข้อมูลสูตร!$A211="","",ข้อมูลสูตร!S211)</f>
        <v>330</v>
      </c>
      <c r="S214" s="63">
        <f>IF(ข้อมูลสูตร!$A211="","",ข้อมูลสูตร!T211)</f>
        <v>50</v>
      </c>
      <c r="T214" s="63">
        <f>IF(ข้อมูลสูตร!$A211="","",ข้อมูลสูตร!U211)</f>
        <v>210</v>
      </c>
      <c r="U214" s="64">
        <f>IF(ข้อมูลสูตร!$A211="","",ข้อมูลสูตร!V211)</f>
        <v>293</v>
      </c>
      <c r="V214" s="8">
        <f>IF(ข้อมูลสูตร!$A211="","",ข้อมูลสูตร!W211)</f>
        <v>58.23</v>
      </c>
      <c r="W214" s="64">
        <f>IF(ข้อมูลสูตร!$A211="","",ข้อมูลสูตร!X211)</f>
        <v>90</v>
      </c>
      <c r="X214" s="23">
        <f>IF(ข้อมูลสูตร!$A211="","",ข้อมูลสูตร!Y211)</f>
        <v>0.35300000000000004</v>
      </c>
      <c r="Y214" s="48" t="str">
        <f>IF(ข้อมูลสูตร!$A211="","",ข้อมูลสูตร!Z211)</f>
        <v>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214" s="48" t="str">
        <f>ข้อมูลสูตร!$A211</f>
        <v>Pure Matcha Premium|22 oz|100%</v>
      </c>
    </row>
    <row r="215" spans="1:26" x14ac:dyDescent="0.25">
      <c r="A215" s="4" t="str">
        <f>IF(ข้อมูลสูตร!$A212="","",ข้อมูลสูตร!B212)</f>
        <v>Matcha Latte Premium</v>
      </c>
      <c r="B215" s="4" t="str">
        <f>IF(ข้อมูลสูตร!$A212="","",ข้อมูลสูตร!C212)</f>
        <v>16 oz</v>
      </c>
      <c r="C215" s="4" t="str">
        <f>IF(ข้อมูลสูตร!$A212="","",ข้อมูลสูตร!D212)</f>
        <v>0%</v>
      </c>
      <c r="D215" s="63">
        <f>IF(ข้อมูลสูตร!$A212="","",ข้อมูลสูตร!E212)</f>
        <v>0</v>
      </c>
      <c r="E215" s="63">
        <f>IF(ข้อมูลสูตร!$A212="","",ข้อมูลสูตร!F212)</f>
        <v>0</v>
      </c>
      <c r="F215" s="63">
        <f>IF(ข้อมูลสูตร!$A212="","",ข้อมูลสูตร!G212)</f>
        <v>120</v>
      </c>
      <c r="G215" s="63">
        <f>IF(ข้อมูลสูตร!$A212="","",ข้อมูลสูตร!H212)</f>
        <v>20</v>
      </c>
      <c r="H215" s="63">
        <f>IF(ข้อมูลสูตร!$A212="","",ข้อมูลสูตร!I212)</f>
        <v>0</v>
      </c>
      <c r="I215" s="63">
        <f>IF(ข้อมูลสูตร!$A212="","",ข้อมูลสูตร!J212)</f>
        <v>0</v>
      </c>
      <c r="J215" s="63">
        <f>IF(ข้อมูลสูตร!$A212="","",ข้อมูลสูตร!K212)</f>
        <v>0</v>
      </c>
      <c r="K215" s="63">
        <f>IF(ข้อมูลสูตร!$A212="","",ข้อมูลสูตร!L212)</f>
        <v>0</v>
      </c>
      <c r="L215" s="63">
        <f>IF(ข้อมูลสูตร!$A212="","",ข้อมูลสูตร!M212)</f>
        <v>0</v>
      </c>
      <c r="M215" s="63">
        <f>IF(ข้อมูลสูตร!$A212="","",ข้อมูลสูตร!N212)</f>
        <v>0</v>
      </c>
      <c r="N215" s="63">
        <f>IF(ข้อมูลสูตร!$A212="","",ข้อมูลสูตร!O212)</f>
        <v>0</v>
      </c>
      <c r="O215" s="63">
        <f>IF(ข้อมูลสูตร!$A212="","",ข้อมูลสูตร!P212)</f>
        <v>0</v>
      </c>
      <c r="P215" s="63">
        <f>IF(ข้อมูลสูตร!$A212="","",ข้อมูลสูตร!Q212)</f>
        <v>0</v>
      </c>
      <c r="Q215" s="63">
        <f>IF(ข้อมูลสูตร!$A212="","",ข้อมูลสูตร!R212)</f>
        <v>0</v>
      </c>
      <c r="R215" s="63">
        <f>IF(ข้อมูลสูตร!$A212="","",ข้อมูลสูตร!S212)</f>
        <v>240</v>
      </c>
      <c r="S215" s="63">
        <f>IF(ข้อมูลสูตร!$A212="","",ข้อมูลสูตร!T212)</f>
        <v>40</v>
      </c>
      <c r="T215" s="63">
        <f>IF(ข้อมูลสูตร!$A212="","",ข้อมูลสูตร!U212)</f>
        <v>0</v>
      </c>
      <c r="U215" s="64">
        <f>IF(ข้อมูลสูตร!$A212="","",ข้อมูลสูตร!V212)</f>
        <v>180</v>
      </c>
      <c r="V215" s="8">
        <f>IF(ข้อมูลสูตร!$A212="","",ข้อมูลสูตร!W212)</f>
        <v>52.87</v>
      </c>
      <c r="W215" s="64">
        <f>IF(ข้อมูลสูตร!$A212="","",ข้อมูลสูตร!X212)</f>
        <v>85</v>
      </c>
      <c r="X215" s="23">
        <f>IF(ข้อมูลสูตร!$A212="","",ข้อมูลสูตร!Y212)</f>
        <v>0.378</v>
      </c>
      <c r="Y215" s="48" t="str">
        <f>IF(ข้อมูลสูตร!$A212="","",ข้อมูลสูตร!Z212)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15" s="48" t="str">
        <f>ข้อมูลสูตร!$A212</f>
        <v>Matcha Latte Premium|16 oz|0%</v>
      </c>
    </row>
    <row r="216" spans="1:26" x14ac:dyDescent="0.25">
      <c r="A216" s="4" t="str">
        <f>IF(ข้อมูลสูตร!$A213="","",ข้อมูลสูตร!B213)</f>
        <v>Matcha Latte Premium</v>
      </c>
      <c r="B216" s="4" t="str">
        <f>IF(ข้อมูลสูตร!$A213="","",ข้อมูลสูตร!C213)</f>
        <v>16 oz</v>
      </c>
      <c r="C216" s="4" t="str">
        <f>IF(ข้อมูลสูตร!$A213="","",ข้อมูลสูตร!D213)</f>
        <v>25%</v>
      </c>
      <c r="D216" s="63">
        <f>IF(ข้อมูลสูตร!$A213="","",ข้อมูลสูตร!E213)</f>
        <v>0</v>
      </c>
      <c r="E216" s="63">
        <f>IF(ข้อมูลสูตร!$A213="","",ข้อมูลสูตร!F213)</f>
        <v>0</v>
      </c>
      <c r="F216" s="63">
        <f>IF(ข้อมูลสูตร!$A213="","",ข้อมูลสูตร!G213)</f>
        <v>117</v>
      </c>
      <c r="G216" s="63">
        <f>IF(ข้อมูลสูตร!$A213="","",ข้อมูลสูตร!H213)</f>
        <v>20</v>
      </c>
      <c r="H216" s="63">
        <f>IF(ข้อมูลสูตร!$A213="","",ข้อมูลสูตร!I213)</f>
        <v>0</v>
      </c>
      <c r="I216" s="63">
        <f>IF(ข้อมูลสูตร!$A213="","",ข้อมูลสูตร!J213)</f>
        <v>7</v>
      </c>
      <c r="J216" s="63">
        <f>IF(ข้อมูลสูตร!$A213="","",ข้อมูลสูตร!K213)</f>
        <v>0</v>
      </c>
      <c r="K216" s="63">
        <f>IF(ข้อมูลสูตร!$A213="","",ข้อมูลสูตร!L213)</f>
        <v>0</v>
      </c>
      <c r="L216" s="63">
        <f>IF(ข้อมูลสูตร!$A213="","",ข้อมูลสูตร!M213)</f>
        <v>0</v>
      </c>
      <c r="M216" s="63">
        <f>IF(ข้อมูลสูตร!$A213="","",ข้อมูลสูตร!N213)</f>
        <v>0</v>
      </c>
      <c r="N216" s="63">
        <f>IF(ข้อมูลสูตร!$A213="","",ข้อมูลสูตร!O213)</f>
        <v>0</v>
      </c>
      <c r="O216" s="63">
        <f>IF(ข้อมูลสูตร!$A213="","",ข้อมูลสูตร!P213)</f>
        <v>0</v>
      </c>
      <c r="P216" s="63">
        <f>IF(ข้อมูลสูตร!$A213="","",ข้อมูลสูตร!Q213)</f>
        <v>0</v>
      </c>
      <c r="Q216" s="63">
        <f>IF(ข้อมูลสูตร!$A213="","",ข้อมูลสูตร!R213)</f>
        <v>0</v>
      </c>
      <c r="R216" s="63">
        <f>IF(ข้อมูลสูตร!$A213="","",ข้อมูลสูตร!S213)</f>
        <v>240</v>
      </c>
      <c r="S216" s="63">
        <f>IF(ข้อมูลสูตร!$A213="","",ข้อมูลสูตร!T213)</f>
        <v>40</v>
      </c>
      <c r="T216" s="63">
        <f>IF(ข้อมูลสูตร!$A213="","",ข้อมูลสูตร!U213)</f>
        <v>0</v>
      </c>
      <c r="U216" s="64">
        <f>IF(ข้อมูลสูตร!$A213="","",ข้อมูลสูตร!V213)</f>
        <v>184</v>
      </c>
      <c r="V216" s="8">
        <f>IF(ข้อมูลสูตร!$A213="","",ข้อมูลสูตร!W213)</f>
        <v>52.84</v>
      </c>
      <c r="W216" s="64">
        <f>IF(ข้อมูลสูตร!$A213="","",ข้อมูลสูตร!X213)</f>
        <v>85</v>
      </c>
      <c r="X216" s="23">
        <f>IF(ข้อมูลสูตร!$A213="","",ข้อมูลสูตร!Y213)</f>
        <v>0.37835294117647056</v>
      </c>
      <c r="Y216" s="48" t="str">
        <f>IF(ข้อมูลสูตร!$A213="","",ข้อมูลสูตร!Z213)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16" s="48" t="str">
        <f>ข้อมูลสูตร!$A213</f>
        <v>Matcha Latte Premium|16 oz|25%</v>
      </c>
    </row>
    <row r="217" spans="1:26" x14ac:dyDescent="0.25">
      <c r="A217" s="4" t="str">
        <f>IF(ข้อมูลสูตร!$A214="","",ข้อมูลสูตร!B214)</f>
        <v>Matcha Latte Premium</v>
      </c>
      <c r="B217" s="4" t="str">
        <f>IF(ข้อมูลสูตร!$A214="","",ข้อมูลสูตร!C214)</f>
        <v>16 oz</v>
      </c>
      <c r="C217" s="4" t="str">
        <f>IF(ข้อมูลสูตร!$A214="","",ข้อมูลสูตร!D214)</f>
        <v>50%</v>
      </c>
      <c r="D217" s="63">
        <f>IF(ข้อมูลสูตร!$A214="","",ข้อมูลสูตร!E214)</f>
        <v>0</v>
      </c>
      <c r="E217" s="63">
        <f>IF(ข้อมูลสูตร!$A214="","",ข้อมูลสูตร!F214)</f>
        <v>0</v>
      </c>
      <c r="F217" s="63">
        <f>IF(ข้อมูลสูตร!$A214="","",ข้อมูลสูตร!G214)</f>
        <v>114</v>
      </c>
      <c r="G217" s="63">
        <f>IF(ข้อมูลสูตร!$A214="","",ข้อมูลสูตร!H214)</f>
        <v>20</v>
      </c>
      <c r="H217" s="63">
        <f>IF(ข้อมูลสูตร!$A214="","",ข้อมูลสูตร!I214)</f>
        <v>0</v>
      </c>
      <c r="I217" s="63">
        <f>IF(ข้อมูลสูตร!$A214="","",ข้อมูลสูตร!J214)</f>
        <v>14</v>
      </c>
      <c r="J217" s="63">
        <f>IF(ข้อมูลสูตร!$A214="","",ข้อมูลสูตร!K214)</f>
        <v>0</v>
      </c>
      <c r="K217" s="63">
        <f>IF(ข้อมูลสูตร!$A214="","",ข้อมูลสูตร!L214)</f>
        <v>0</v>
      </c>
      <c r="L217" s="63">
        <f>IF(ข้อมูลสูตร!$A214="","",ข้อมูลสูตร!M214)</f>
        <v>0</v>
      </c>
      <c r="M217" s="63">
        <f>IF(ข้อมูลสูตร!$A214="","",ข้อมูลสูตร!N214)</f>
        <v>0</v>
      </c>
      <c r="N217" s="63">
        <f>IF(ข้อมูลสูตร!$A214="","",ข้อมูลสูตร!O214)</f>
        <v>0</v>
      </c>
      <c r="O217" s="63">
        <f>IF(ข้อมูลสูตร!$A214="","",ข้อมูลสูตร!P214)</f>
        <v>0</v>
      </c>
      <c r="P217" s="63">
        <f>IF(ข้อมูลสูตร!$A214="","",ข้อมูลสูตร!Q214)</f>
        <v>0</v>
      </c>
      <c r="Q217" s="63">
        <f>IF(ข้อมูลสูตร!$A214="","",ข้อมูลสูตร!R214)</f>
        <v>0</v>
      </c>
      <c r="R217" s="63">
        <f>IF(ข้อมูลสูตร!$A214="","",ข้อมูลสูตร!S214)</f>
        <v>240</v>
      </c>
      <c r="S217" s="63">
        <f>IF(ข้อมูลสูตร!$A214="","",ข้อมูลสูตร!T214)</f>
        <v>40</v>
      </c>
      <c r="T217" s="63">
        <f>IF(ข้อมูลสูตร!$A214="","",ข้อมูลสูตร!U214)</f>
        <v>0</v>
      </c>
      <c r="U217" s="64">
        <f>IF(ข้อมูลสูตร!$A214="","",ข้อมูลสูตร!V214)</f>
        <v>188</v>
      </c>
      <c r="V217" s="8">
        <f>IF(ข้อมูลสูตร!$A214="","",ข้อมูลสูตร!W214)</f>
        <v>52.81</v>
      </c>
      <c r="W217" s="64">
        <f>IF(ข้อมูลสูตร!$A214="","",ข้อมูลสูตร!X214)</f>
        <v>85</v>
      </c>
      <c r="X217" s="23">
        <f>IF(ข้อมูลสูตร!$A214="","",ข้อมูลสูตร!Y214)</f>
        <v>0.37870588235294117</v>
      </c>
      <c r="Y217" s="48" t="str">
        <f>IF(ข้อมูลสูตร!$A214="","",ข้อมูลสูตร!Z214)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17" s="48" t="str">
        <f>ข้อมูลสูตร!$A214</f>
        <v>Matcha Latte Premium|16 oz|50%</v>
      </c>
    </row>
    <row r="218" spans="1:26" x14ac:dyDescent="0.25">
      <c r="A218" s="4" t="str">
        <f>IF(ข้อมูลสูตร!$A215="","",ข้อมูลสูตร!B215)</f>
        <v>Matcha Latte Premium</v>
      </c>
      <c r="B218" s="4" t="str">
        <f>IF(ข้อมูลสูตร!$A215="","",ข้อมูลสูตร!C215)</f>
        <v>16 oz</v>
      </c>
      <c r="C218" s="4" t="str">
        <f>IF(ข้อมูลสูตร!$A215="","",ข้อมูลสูตร!D215)</f>
        <v>75%</v>
      </c>
      <c r="D218" s="63">
        <f>IF(ข้อมูลสูตร!$A215="","",ข้อมูลสูตร!E215)</f>
        <v>0</v>
      </c>
      <c r="E218" s="63">
        <f>IF(ข้อมูลสูตร!$A215="","",ข้อมูลสูตร!F215)</f>
        <v>0</v>
      </c>
      <c r="F218" s="63">
        <f>IF(ข้อมูลสูตร!$A215="","",ข้อมูลสูตร!G215)</f>
        <v>111</v>
      </c>
      <c r="G218" s="63">
        <f>IF(ข้อมูลสูตร!$A215="","",ข้อมูลสูตร!H215)</f>
        <v>20</v>
      </c>
      <c r="H218" s="63">
        <f>IF(ข้อมูลสูตร!$A215="","",ข้อมูลสูตร!I215)</f>
        <v>0</v>
      </c>
      <c r="I218" s="63">
        <f>IF(ข้อมูลสูตร!$A215="","",ข้อมูลสูตร!J215)</f>
        <v>21</v>
      </c>
      <c r="J218" s="63">
        <f>IF(ข้อมูลสูตร!$A215="","",ข้อมูลสูตร!K215)</f>
        <v>0</v>
      </c>
      <c r="K218" s="63">
        <f>IF(ข้อมูลสูตร!$A215="","",ข้อมูลสูตร!L215)</f>
        <v>0</v>
      </c>
      <c r="L218" s="63">
        <f>IF(ข้อมูลสูตร!$A215="","",ข้อมูลสูตร!M215)</f>
        <v>0</v>
      </c>
      <c r="M218" s="63">
        <f>IF(ข้อมูลสูตร!$A215="","",ข้อมูลสูตร!N215)</f>
        <v>0</v>
      </c>
      <c r="N218" s="63">
        <f>IF(ข้อมูลสูตร!$A215="","",ข้อมูลสูตร!O215)</f>
        <v>0</v>
      </c>
      <c r="O218" s="63">
        <f>IF(ข้อมูลสูตร!$A215="","",ข้อมูลสูตร!P215)</f>
        <v>0</v>
      </c>
      <c r="P218" s="63">
        <f>IF(ข้อมูลสูตร!$A215="","",ข้อมูลสูตร!Q215)</f>
        <v>0</v>
      </c>
      <c r="Q218" s="63">
        <f>IF(ข้อมูลสูตร!$A215="","",ข้อมูลสูตร!R215)</f>
        <v>0</v>
      </c>
      <c r="R218" s="63">
        <f>IF(ข้อมูลสูตร!$A215="","",ข้อมูลสูตร!S215)</f>
        <v>240</v>
      </c>
      <c r="S218" s="63">
        <f>IF(ข้อมูลสูตร!$A215="","",ข้อมูลสูตร!T215)</f>
        <v>40</v>
      </c>
      <c r="T218" s="63">
        <f>IF(ข้อมูลสูตร!$A215="","",ข้อมูลสูตร!U215)</f>
        <v>0</v>
      </c>
      <c r="U218" s="64">
        <f>IF(ข้อมูลสูตร!$A215="","",ข้อมูลสูตร!V215)</f>
        <v>192</v>
      </c>
      <c r="V218" s="8">
        <f>IF(ข้อมูลสูตร!$A215="","",ข้อมูลสูตร!W215)</f>
        <v>52.79</v>
      </c>
      <c r="W218" s="64">
        <f>IF(ข้อมูลสูตร!$A215="","",ข้อมูลสูตร!X215)</f>
        <v>85</v>
      </c>
      <c r="X218" s="23">
        <f>IF(ข้อมูลสูตร!$A215="","",ข้อมูลสูตร!Y215)</f>
        <v>0.37894117647058823</v>
      </c>
      <c r="Y218" s="48" t="str">
        <f>IF(ข้อมูลสูตร!$A215="","",ข้อมูลสูตร!Z215)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18" s="48" t="str">
        <f>ข้อมูลสูตร!$A215</f>
        <v>Matcha Latte Premium|16 oz|75%</v>
      </c>
    </row>
    <row r="219" spans="1:26" x14ac:dyDescent="0.25">
      <c r="A219" s="4" t="str">
        <f>IF(ข้อมูลสูตร!$A216="","",ข้อมูลสูตร!B216)</f>
        <v>Matcha Latte Premium</v>
      </c>
      <c r="B219" s="4" t="str">
        <f>IF(ข้อมูลสูตร!$A216="","",ข้อมูลสูตร!C216)</f>
        <v>16 oz</v>
      </c>
      <c r="C219" s="4" t="str">
        <f>IF(ข้อมูลสูตร!$A216="","",ข้อมูลสูตร!D216)</f>
        <v>100%</v>
      </c>
      <c r="D219" s="63">
        <f>IF(ข้อมูลสูตร!$A216="","",ข้อมูลสูตร!E216)</f>
        <v>0</v>
      </c>
      <c r="E219" s="63">
        <f>IF(ข้อมูลสูตร!$A216="","",ข้อมูลสูตร!F216)</f>
        <v>0</v>
      </c>
      <c r="F219" s="63">
        <f>IF(ข้อมูลสูตร!$A216="","",ข้อมูลสูตร!G216)</f>
        <v>108</v>
      </c>
      <c r="G219" s="63">
        <f>IF(ข้อมูลสูตร!$A216="","",ข้อมูลสูตร!H216)</f>
        <v>20</v>
      </c>
      <c r="H219" s="63">
        <f>IF(ข้อมูลสูตร!$A216="","",ข้อมูลสูตร!I216)</f>
        <v>0</v>
      </c>
      <c r="I219" s="63">
        <f>IF(ข้อมูลสูตร!$A216="","",ข้อมูลสูตร!J216)</f>
        <v>28</v>
      </c>
      <c r="J219" s="63">
        <f>IF(ข้อมูลสูตร!$A216="","",ข้อมูลสูตร!K216)</f>
        <v>0</v>
      </c>
      <c r="K219" s="63">
        <f>IF(ข้อมูลสูตร!$A216="","",ข้อมูลสูตร!L216)</f>
        <v>0</v>
      </c>
      <c r="L219" s="63">
        <f>IF(ข้อมูลสูตร!$A216="","",ข้อมูลสูตร!M216)</f>
        <v>0</v>
      </c>
      <c r="M219" s="63">
        <f>IF(ข้อมูลสูตร!$A216="","",ข้อมูลสูตร!N216)</f>
        <v>0</v>
      </c>
      <c r="N219" s="63">
        <f>IF(ข้อมูลสูตร!$A216="","",ข้อมูลสูตร!O216)</f>
        <v>0</v>
      </c>
      <c r="O219" s="63">
        <f>IF(ข้อมูลสูตร!$A216="","",ข้อมูลสูตร!P216)</f>
        <v>0</v>
      </c>
      <c r="P219" s="63">
        <f>IF(ข้อมูลสูตร!$A216="","",ข้อมูลสูตร!Q216)</f>
        <v>0</v>
      </c>
      <c r="Q219" s="63">
        <f>IF(ข้อมูลสูตร!$A216="","",ข้อมูลสูตร!R216)</f>
        <v>0</v>
      </c>
      <c r="R219" s="63">
        <f>IF(ข้อมูลสูตร!$A216="","",ข้อมูลสูตร!S216)</f>
        <v>240</v>
      </c>
      <c r="S219" s="63">
        <f>IF(ข้อมูลสูตร!$A216="","",ข้อมูลสูตร!T216)</f>
        <v>40</v>
      </c>
      <c r="T219" s="63">
        <f>IF(ข้อมูลสูตร!$A216="","",ข้อมูลสูตร!U216)</f>
        <v>0</v>
      </c>
      <c r="U219" s="64">
        <f>IF(ข้อมูลสูตร!$A216="","",ข้อมูลสูตร!V216)</f>
        <v>196</v>
      </c>
      <c r="V219" s="8">
        <f>IF(ข้อมูลสูตร!$A216="","",ข้อมูลสูตร!W216)</f>
        <v>52.76</v>
      </c>
      <c r="W219" s="64">
        <f>IF(ข้อมูลสูตร!$A216="","",ข้อมูลสูตร!X216)</f>
        <v>85</v>
      </c>
      <c r="X219" s="23">
        <f>IF(ข้อมูลสูตร!$A216="","",ข้อมูลสูตร!Y216)</f>
        <v>0.37929411764705884</v>
      </c>
      <c r="Y219" s="48" t="str">
        <f>IF(ข้อมูลสูตร!$A216="","",ข้อมูลสูตร!Z216)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19" s="48" t="str">
        <f>ข้อมูลสูตร!$A216</f>
        <v>Matcha Latte Premium|16 oz|100%</v>
      </c>
    </row>
    <row r="220" spans="1:26" x14ac:dyDescent="0.25">
      <c r="A220" s="4" t="str">
        <f>IF(ข้อมูลสูตร!$A217="","",ข้อมูลสูตร!B217)</f>
        <v>Matcha Latte Premium</v>
      </c>
      <c r="B220" s="4" t="str">
        <f>IF(ข้อมูลสูตร!$A217="","",ข้อมูลสูตร!C217)</f>
        <v>22 oz</v>
      </c>
      <c r="C220" s="4" t="str">
        <f>IF(ข้อมูลสูตร!$A217="","",ข้อมูลสูตร!D217)</f>
        <v>0%</v>
      </c>
      <c r="D220" s="63">
        <f>IF(ข้อมูลสูตร!$A217="","",ข้อมูลสูตร!E217)</f>
        <v>0</v>
      </c>
      <c r="E220" s="63">
        <f>IF(ข้อมูลสูตร!$A217="","",ข้อมูลสูตร!F217)</f>
        <v>0</v>
      </c>
      <c r="F220" s="63">
        <f>IF(ข้อมูลสูตร!$A217="","",ข้อมูลสูตร!G217)</f>
        <v>171</v>
      </c>
      <c r="G220" s="63">
        <f>IF(ข้อมูลสูตร!$A217="","",ข้อมูลสูตร!H217)</f>
        <v>27.5</v>
      </c>
      <c r="H220" s="63">
        <f>IF(ข้อมูลสูตร!$A217="","",ข้อมูลสูตร!I217)</f>
        <v>0</v>
      </c>
      <c r="I220" s="63">
        <f>IF(ข้อมูลสูตร!$A217="","",ข้อมูลสูตร!J217)</f>
        <v>0</v>
      </c>
      <c r="J220" s="63">
        <f>IF(ข้อมูลสูตร!$A217="","",ข้อมูลสูตร!K217)</f>
        <v>0</v>
      </c>
      <c r="K220" s="63">
        <f>IF(ข้อมูลสูตร!$A217="","",ข้อมูลสูตร!L217)</f>
        <v>0</v>
      </c>
      <c r="L220" s="63">
        <f>IF(ข้อมูลสูตร!$A217="","",ข้อมูลสูตร!M217)</f>
        <v>0</v>
      </c>
      <c r="M220" s="63">
        <f>IF(ข้อมูลสูตร!$A217="","",ข้อมูลสูตร!N217)</f>
        <v>0</v>
      </c>
      <c r="N220" s="63">
        <f>IF(ข้อมูลสูตร!$A217="","",ข้อมูลสูตร!O217)</f>
        <v>0</v>
      </c>
      <c r="O220" s="63">
        <f>IF(ข้อมูลสูตร!$A217="","",ข้อมูลสูตร!P217)</f>
        <v>0</v>
      </c>
      <c r="P220" s="63">
        <f>IF(ข้อมูลสูตร!$A217="","",ข้อมูลสูตร!Q217)</f>
        <v>0</v>
      </c>
      <c r="Q220" s="63">
        <f>IF(ข้อมูลสูตร!$A217="","",ข้อมูลสูตร!R217)</f>
        <v>0</v>
      </c>
      <c r="R220" s="63">
        <f>IF(ข้อมูลสูตร!$A217="","",ข้อมูลสูตร!S217)</f>
        <v>330</v>
      </c>
      <c r="S220" s="63">
        <f>IF(ข้อมูลสูตร!$A217="","",ข้อมูลสูตร!T217)</f>
        <v>50</v>
      </c>
      <c r="T220" s="63">
        <f>IF(ข้อมูลสูตร!$A217="","",ข้อมูลสูตร!U217)</f>
        <v>0</v>
      </c>
      <c r="U220" s="64">
        <f>IF(ข้อมูลสูตร!$A217="","",ข้อมูลสูตร!V217)</f>
        <v>248.5</v>
      </c>
      <c r="V220" s="8">
        <f>IF(ข้อมูลสูตร!$A217="","",ข้อมูลสูตร!W217)</f>
        <v>67.5</v>
      </c>
      <c r="W220" s="64">
        <f>IF(ข้อมูลสูตร!$A217="","",ข้อมูลสูตร!X217)</f>
        <v>100</v>
      </c>
      <c r="X220" s="23">
        <f>IF(ข้อมูลสูตร!$A217="","",ข้อมูลสูตร!Y217)</f>
        <v>0.32500000000000001</v>
      </c>
      <c r="Y220" s="48" t="str">
        <f>IF(ข้อมูลสูตร!$A217="","",ข้อมูลสูตร!Z217)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0" s="48" t="str">
        <f>ข้อมูลสูตร!$A217</f>
        <v>Matcha Latte Premium|22 oz|0%</v>
      </c>
    </row>
    <row r="221" spans="1:26" x14ac:dyDescent="0.25">
      <c r="A221" s="4" t="str">
        <f>IF(ข้อมูลสูตร!$A218="","",ข้อมูลสูตร!B218)</f>
        <v>Matcha Latte Premium</v>
      </c>
      <c r="B221" s="4" t="str">
        <f>IF(ข้อมูลสูตร!$A218="","",ข้อมูลสูตร!C218)</f>
        <v>22 oz</v>
      </c>
      <c r="C221" s="4" t="str">
        <f>IF(ข้อมูลสูตร!$A218="","",ข้อมูลสูตร!D218)</f>
        <v>25%</v>
      </c>
      <c r="D221" s="63">
        <f>IF(ข้อมูลสูตร!$A218="","",ข้อมูลสูตร!E218)</f>
        <v>0</v>
      </c>
      <c r="E221" s="63">
        <f>IF(ข้อมูลสูตร!$A218="","",ข้อมูลสูตร!F218)</f>
        <v>0</v>
      </c>
      <c r="F221" s="63">
        <f>IF(ข้อมูลสูตร!$A218="","",ข้อมูลสูตร!G218)</f>
        <v>167</v>
      </c>
      <c r="G221" s="63">
        <f>IF(ข้อมูลสูตร!$A218="","",ข้อมูลสูตร!H218)</f>
        <v>27.5</v>
      </c>
      <c r="H221" s="63">
        <f>IF(ข้อมูลสูตร!$A218="","",ข้อมูลสูตร!I218)</f>
        <v>0</v>
      </c>
      <c r="I221" s="63">
        <f>IF(ข้อมูลสูตร!$A218="","",ข้อมูลสูตร!J218)</f>
        <v>9.5</v>
      </c>
      <c r="J221" s="63">
        <f>IF(ข้อมูลสูตร!$A218="","",ข้อมูลสูตร!K218)</f>
        <v>0</v>
      </c>
      <c r="K221" s="63">
        <f>IF(ข้อมูลสูตร!$A218="","",ข้อมูลสูตร!L218)</f>
        <v>0</v>
      </c>
      <c r="L221" s="63">
        <f>IF(ข้อมูลสูตร!$A218="","",ข้อมูลสูตร!M218)</f>
        <v>0</v>
      </c>
      <c r="M221" s="63">
        <f>IF(ข้อมูลสูตร!$A218="","",ข้อมูลสูตร!N218)</f>
        <v>0</v>
      </c>
      <c r="N221" s="63">
        <f>IF(ข้อมูลสูตร!$A218="","",ข้อมูลสูตร!O218)</f>
        <v>0</v>
      </c>
      <c r="O221" s="63">
        <f>IF(ข้อมูลสูตร!$A218="","",ข้อมูลสูตร!P218)</f>
        <v>0</v>
      </c>
      <c r="P221" s="63">
        <f>IF(ข้อมูลสูตร!$A218="","",ข้อมูลสูตร!Q218)</f>
        <v>0</v>
      </c>
      <c r="Q221" s="63">
        <f>IF(ข้อมูลสูตร!$A218="","",ข้อมูลสูตร!R218)</f>
        <v>0</v>
      </c>
      <c r="R221" s="63">
        <f>IF(ข้อมูลสูตร!$A218="","",ข้อมูลสูตร!S218)</f>
        <v>330</v>
      </c>
      <c r="S221" s="63">
        <f>IF(ข้อมูลสูตร!$A218="","",ข้อมูลสูตร!T218)</f>
        <v>50</v>
      </c>
      <c r="T221" s="63">
        <f>IF(ข้อมูลสูตร!$A218="","",ข้อมูลสูตร!U218)</f>
        <v>0</v>
      </c>
      <c r="U221" s="64">
        <f>IF(ข้อมูลสูตร!$A218="","",ข้อมูลสูตร!V218)</f>
        <v>254</v>
      </c>
      <c r="V221" s="8">
        <f>IF(ข้อมูลสูตร!$A218="","",ข้อมูลสูตร!W218)</f>
        <v>67.47</v>
      </c>
      <c r="W221" s="64">
        <f>IF(ข้อมูลสูตร!$A218="","",ข้อมูลสูตร!X218)</f>
        <v>100</v>
      </c>
      <c r="X221" s="23">
        <f>IF(ข้อมูลสูตร!$A218="","",ข้อมูลสูตร!Y218)</f>
        <v>0.32530000000000003</v>
      </c>
      <c r="Y221" s="48" t="str">
        <f>IF(ข้อมูลสูตร!$A218="","",ข้อมูลสูตร!Z218)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1" s="48" t="str">
        <f>ข้อมูลสูตร!$A218</f>
        <v>Matcha Latte Premium|22 oz|25%</v>
      </c>
    </row>
    <row r="222" spans="1:26" x14ac:dyDescent="0.25">
      <c r="A222" s="4" t="str">
        <f>IF(ข้อมูลสูตร!$A219="","",ข้อมูลสูตร!B219)</f>
        <v>Matcha Latte Premium</v>
      </c>
      <c r="B222" s="4" t="str">
        <f>IF(ข้อมูลสูตร!$A219="","",ข้อมูลสูตร!C219)</f>
        <v>22 oz</v>
      </c>
      <c r="C222" s="4" t="str">
        <f>IF(ข้อมูลสูตร!$A219="","",ข้อมูลสูตร!D219)</f>
        <v>50%</v>
      </c>
      <c r="D222" s="63">
        <f>IF(ข้อมูลสูตร!$A219="","",ข้อมูลสูตร!E219)</f>
        <v>0</v>
      </c>
      <c r="E222" s="63">
        <f>IF(ข้อมูลสูตร!$A219="","",ข้อมูลสูตร!F219)</f>
        <v>0</v>
      </c>
      <c r="F222" s="63">
        <f>IF(ข้อมูลสูตร!$A219="","",ข้อมูลสูตร!G219)</f>
        <v>163</v>
      </c>
      <c r="G222" s="63">
        <f>IF(ข้อมูลสูตร!$A219="","",ข้อมูลสูตร!H219)</f>
        <v>27.5</v>
      </c>
      <c r="H222" s="63">
        <f>IF(ข้อมูลสูตร!$A219="","",ข้อมูลสูตร!I219)</f>
        <v>0</v>
      </c>
      <c r="I222" s="63">
        <f>IF(ข้อมูลสูตร!$A219="","",ข้อมูลสูตร!J219)</f>
        <v>19</v>
      </c>
      <c r="J222" s="63">
        <f>IF(ข้อมูลสูตร!$A219="","",ข้อมูลสูตร!K219)</f>
        <v>0</v>
      </c>
      <c r="K222" s="63">
        <f>IF(ข้อมูลสูตร!$A219="","",ข้อมูลสูตร!L219)</f>
        <v>0</v>
      </c>
      <c r="L222" s="63">
        <f>IF(ข้อมูลสูตร!$A219="","",ข้อมูลสูตร!M219)</f>
        <v>0</v>
      </c>
      <c r="M222" s="63">
        <f>IF(ข้อมูลสูตร!$A219="","",ข้อมูลสูตร!N219)</f>
        <v>0</v>
      </c>
      <c r="N222" s="63">
        <f>IF(ข้อมูลสูตร!$A219="","",ข้อมูลสูตร!O219)</f>
        <v>0</v>
      </c>
      <c r="O222" s="63">
        <f>IF(ข้อมูลสูตร!$A219="","",ข้อมูลสูตร!P219)</f>
        <v>0</v>
      </c>
      <c r="P222" s="63">
        <f>IF(ข้อมูลสูตร!$A219="","",ข้อมูลสูตร!Q219)</f>
        <v>0</v>
      </c>
      <c r="Q222" s="63">
        <f>IF(ข้อมูลสูตร!$A219="","",ข้อมูลสูตร!R219)</f>
        <v>0</v>
      </c>
      <c r="R222" s="63">
        <f>IF(ข้อมูลสูตร!$A219="","",ข้อมูลสูตร!S219)</f>
        <v>330</v>
      </c>
      <c r="S222" s="63">
        <f>IF(ข้อมูลสูตร!$A219="","",ข้อมูลสูตร!T219)</f>
        <v>50</v>
      </c>
      <c r="T222" s="63">
        <f>IF(ข้อมูลสูตร!$A219="","",ข้อมูลสูตร!U219)</f>
        <v>0</v>
      </c>
      <c r="U222" s="64">
        <f>IF(ข้อมูลสูตร!$A219="","",ข้อมูลสูตร!V219)</f>
        <v>259.5</v>
      </c>
      <c r="V222" s="8">
        <f>IF(ข้อมูลสูตร!$A219="","",ข้อมูลสูตร!W219)</f>
        <v>67.430000000000007</v>
      </c>
      <c r="W222" s="64">
        <f>IF(ข้อมูลสูตร!$A219="","",ข้อมูลสูตร!X219)</f>
        <v>100</v>
      </c>
      <c r="X222" s="23">
        <f>IF(ข้อมูลสูตร!$A219="","",ข้อมูลสูตร!Y219)</f>
        <v>0.32569999999999993</v>
      </c>
      <c r="Y222" s="48" t="str">
        <f>IF(ข้อมูลสูตร!$A219="","",ข้อมูลสูตร!Z219)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2" s="48" t="str">
        <f>ข้อมูลสูตร!$A219</f>
        <v>Matcha Latte Premium|22 oz|50%</v>
      </c>
    </row>
    <row r="223" spans="1:26" x14ac:dyDescent="0.25">
      <c r="A223" s="4" t="str">
        <f>IF(ข้อมูลสูตร!$A220="","",ข้อมูลสูตร!B220)</f>
        <v>Matcha Latte Premium</v>
      </c>
      <c r="B223" s="4" t="str">
        <f>IF(ข้อมูลสูตร!$A220="","",ข้อมูลสูตร!C220)</f>
        <v>22 oz</v>
      </c>
      <c r="C223" s="4" t="str">
        <f>IF(ข้อมูลสูตร!$A220="","",ข้อมูลสูตร!D220)</f>
        <v>75%</v>
      </c>
      <c r="D223" s="63">
        <f>IF(ข้อมูลสูตร!$A220="","",ข้อมูลสูตร!E220)</f>
        <v>0</v>
      </c>
      <c r="E223" s="63">
        <f>IF(ข้อมูลสูตร!$A220="","",ข้อมูลสูตร!F220)</f>
        <v>0</v>
      </c>
      <c r="F223" s="63">
        <f>IF(ข้อมูลสูตร!$A220="","",ข้อมูลสูตร!G220)</f>
        <v>159</v>
      </c>
      <c r="G223" s="63">
        <f>IF(ข้อมูลสูตร!$A220="","",ข้อมูลสูตร!H220)</f>
        <v>27.5</v>
      </c>
      <c r="H223" s="63">
        <f>IF(ข้อมูลสูตร!$A220="","",ข้อมูลสูตร!I220)</f>
        <v>0</v>
      </c>
      <c r="I223" s="63">
        <f>IF(ข้อมูลสูตร!$A220="","",ข้อมูลสูตร!J220)</f>
        <v>29</v>
      </c>
      <c r="J223" s="63">
        <f>IF(ข้อมูลสูตร!$A220="","",ข้อมูลสูตร!K220)</f>
        <v>0</v>
      </c>
      <c r="K223" s="63">
        <f>IF(ข้อมูลสูตร!$A220="","",ข้อมูลสูตร!L220)</f>
        <v>0</v>
      </c>
      <c r="L223" s="63">
        <f>IF(ข้อมูลสูตร!$A220="","",ข้อมูลสูตร!M220)</f>
        <v>0</v>
      </c>
      <c r="M223" s="63">
        <f>IF(ข้อมูลสูตร!$A220="","",ข้อมูลสูตร!N220)</f>
        <v>0</v>
      </c>
      <c r="N223" s="63">
        <f>IF(ข้อมูลสูตร!$A220="","",ข้อมูลสูตร!O220)</f>
        <v>0</v>
      </c>
      <c r="O223" s="63">
        <f>IF(ข้อมูลสูตร!$A220="","",ข้อมูลสูตร!P220)</f>
        <v>0</v>
      </c>
      <c r="P223" s="63">
        <f>IF(ข้อมูลสูตร!$A220="","",ข้อมูลสูตร!Q220)</f>
        <v>0</v>
      </c>
      <c r="Q223" s="63">
        <f>IF(ข้อมูลสูตร!$A220="","",ข้อมูลสูตร!R220)</f>
        <v>0</v>
      </c>
      <c r="R223" s="63">
        <f>IF(ข้อมูลสูตร!$A220="","",ข้อมูลสูตร!S220)</f>
        <v>330</v>
      </c>
      <c r="S223" s="63">
        <f>IF(ข้อมูลสูตร!$A220="","",ข้อมูลสูตร!T220)</f>
        <v>50</v>
      </c>
      <c r="T223" s="63">
        <f>IF(ข้อมูลสูตร!$A220="","",ข้อมูลสูตร!U220)</f>
        <v>0</v>
      </c>
      <c r="U223" s="64">
        <f>IF(ข้อมูลสูตร!$A220="","",ข้อมูลสูตร!V220)</f>
        <v>265.5</v>
      </c>
      <c r="V223" s="8">
        <f>IF(ข้อมูลสูตร!$A220="","",ข้อมูลสูตร!W220)</f>
        <v>67.41</v>
      </c>
      <c r="W223" s="64">
        <f>IF(ข้อมูลสูตร!$A220="","",ข้อมูลสูตร!X220)</f>
        <v>100</v>
      </c>
      <c r="X223" s="23">
        <f>IF(ข้อมูลสูตร!$A220="","",ข้อมูลสูตร!Y220)</f>
        <v>0.32590000000000002</v>
      </c>
      <c r="Y223" s="48" t="str">
        <f>IF(ข้อมูลสูตร!$A220="","",ข้อมูลสูตร!Z220)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3" s="48" t="str">
        <f>ข้อมูลสูตร!$A220</f>
        <v>Matcha Latte Premium|22 oz|75%</v>
      </c>
    </row>
    <row r="224" spans="1:26" x14ac:dyDescent="0.25">
      <c r="A224" s="4" t="str">
        <f>IF(ข้อมูลสูตร!$A221="","",ข้อมูลสูตร!B221)</f>
        <v>Matcha Latte Premium</v>
      </c>
      <c r="B224" s="4" t="str">
        <f>IF(ข้อมูลสูตร!$A221="","",ข้อมูลสูตร!C221)</f>
        <v>22 oz</v>
      </c>
      <c r="C224" s="4" t="str">
        <f>IF(ข้อมูลสูตร!$A221="","",ข้อมูลสูตร!D221)</f>
        <v>100%</v>
      </c>
      <c r="D224" s="63">
        <f>IF(ข้อมูลสูตร!$A221="","",ข้อมูลสูตร!E221)</f>
        <v>0</v>
      </c>
      <c r="E224" s="63">
        <f>IF(ข้อมูลสูตร!$A221="","",ข้อมูลสูตร!F221)</f>
        <v>0</v>
      </c>
      <c r="F224" s="63">
        <f>IF(ข้อมูลสูตร!$A221="","",ข้อมูลสูตร!G221)</f>
        <v>155</v>
      </c>
      <c r="G224" s="63">
        <f>IF(ข้อมูลสูตร!$A221="","",ข้อมูลสูตร!H221)</f>
        <v>27.5</v>
      </c>
      <c r="H224" s="63">
        <f>IF(ข้อมูลสูตร!$A221="","",ข้อมูลสูตร!I221)</f>
        <v>0</v>
      </c>
      <c r="I224" s="63">
        <f>IF(ข้อมูลสูตร!$A221="","",ข้อมูลสูตร!J221)</f>
        <v>38.5</v>
      </c>
      <c r="J224" s="63">
        <f>IF(ข้อมูลสูตร!$A221="","",ข้อมูลสูตร!K221)</f>
        <v>0</v>
      </c>
      <c r="K224" s="63">
        <f>IF(ข้อมูลสูตร!$A221="","",ข้อมูลสูตร!L221)</f>
        <v>0</v>
      </c>
      <c r="L224" s="63">
        <f>IF(ข้อมูลสูตร!$A221="","",ข้อมูลสูตร!M221)</f>
        <v>0</v>
      </c>
      <c r="M224" s="63">
        <f>IF(ข้อมูลสูตร!$A221="","",ข้อมูลสูตร!N221)</f>
        <v>0</v>
      </c>
      <c r="N224" s="63">
        <f>IF(ข้อมูลสูตร!$A221="","",ข้อมูลสูตร!O221)</f>
        <v>0</v>
      </c>
      <c r="O224" s="63">
        <f>IF(ข้อมูลสูตร!$A221="","",ข้อมูลสูตร!P221)</f>
        <v>0</v>
      </c>
      <c r="P224" s="63">
        <f>IF(ข้อมูลสูตร!$A221="","",ข้อมูลสูตร!Q221)</f>
        <v>0</v>
      </c>
      <c r="Q224" s="63">
        <f>IF(ข้อมูลสูตร!$A221="","",ข้อมูลสูตร!R221)</f>
        <v>0</v>
      </c>
      <c r="R224" s="63">
        <f>IF(ข้อมูลสูตร!$A221="","",ข้อมูลสูตร!S221)</f>
        <v>330</v>
      </c>
      <c r="S224" s="63">
        <f>IF(ข้อมูลสูตร!$A221="","",ข้อมูลสูตร!T221)</f>
        <v>50</v>
      </c>
      <c r="T224" s="63">
        <f>IF(ข้อมูลสูตร!$A221="","",ข้อมูลสูตร!U221)</f>
        <v>0</v>
      </c>
      <c r="U224" s="64">
        <f>IF(ข้อมูลสูตร!$A221="","",ข้อมูลสูตร!V221)</f>
        <v>271</v>
      </c>
      <c r="V224" s="8">
        <f>IF(ข้อมูลสูตร!$A221="","",ข้อมูลสูตร!W221)</f>
        <v>67.38</v>
      </c>
      <c r="W224" s="64">
        <f>IF(ข้อมูลสูตร!$A221="","",ข้อมูลสูตร!X221)</f>
        <v>100</v>
      </c>
      <c r="X224" s="23">
        <f>IF(ข้อมูลสูตร!$A221="","",ข้อมูลสูตร!Y221)</f>
        <v>0.32620000000000005</v>
      </c>
      <c r="Y224" s="48" t="str">
        <f>IF(ข้อมูลสูตร!$A221="","",ข้อมูลสูตร!Z221)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4" s="48" t="str">
        <f>ข้อมูลสูตร!$A221</f>
        <v>Matcha Latte Premium|22 oz|100%</v>
      </c>
    </row>
    <row r="225" spans="1:26" x14ac:dyDescent="0.25">
      <c r="A225" s="4" t="str">
        <f>IF(ข้อมูลสูตร!$A222="","",ข้อมูลสูตร!B222)</f>
        <v>Matcha Coconut Premium</v>
      </c>
      <c r="B225" s="4" t="str">
        <f>IF(ข้อมูลสูตร!$A222="","",ข้อมูลสูตร!C222)</f>
        <v>16 oz</v>
      </c>
      <c r="C225" s="4" t="str">
        <f>IF(ข้อมูลสูตร!$A222="","",ข้อมูลสูตร!D222)</f>
        <v>0%</v>
      </c>
      <c r="D225" s="63">
        <f>IF(ข้อมูลสูตร!$A222="","",ข้อมูลสูตร!E222)</f>
        <v>0</v>
      </c>
      <c r="E225" s="63">
        <f>IF(ข้อมูลสูตร!$A222="","",ข้อมูลสูตร!F222)</f>
        <v>0</v>
      </c>
      <c r="F225" s="63">
        <f>IF(ข้อมูลสูตร!$A222="","",ข้อมูลสูตร!G222)</f>
        <v>0</v>
      </c>
      <c r="G225" s="63">
        <f>IF(ข้อมูลสูตร!$A222="","",ข้อมูลสูตร!H222)</f>
        <v>0</v>
      </c>
      <c r="H225" s="63">
        <f>IF(ข้อมูลสูตร!$A222="","",ข้อมูลสูตร!I222)</f>
        <v>0</v>
      </c>
      <c r="I225" s="63">
        <f>IF(ข้อมูลสูตร!$A222="","",ข้อมูลสูตร!J222)</f>
        <v>0</v>
      </c>
      <c r="J225" s="63">
        <f>IF(ข้อมูลสูตร!$A222="","",ข้อมูลสูตร!K222)</f>
        <v>0</v>
      </c>
      <c r="K225" s="63">
        <f>IF(ข้อมูลสูตร!$A222="","",ข้อมูลสูตร!L222)</f>
        <v>0</v>
      </c>
      <c r="L225" s="63">
        <f>IF(ข้อมูลสูตร!$A222="","",ข้อมูลสูตร!M222)</f>
        <v>0</v>
      </c>
      <c r="M225" s="63">
        <f>IF(ข้อมูลสูตร!$A222="","",ข้อมูลสูตร!N222)</f>
        <v>140</v>
      </c>
      <c r="N225" s="63">
        <f>IF(ข้อมูลสูตร!$A222="","",ข้อมูลสูตร!O222)</f>
        <v>0</v>
      </c>
      <c r="O225" s="63">
        <f>IF(ข้อมูลสูตร!$A222="","",ข้อมูลสูตร!P222)</f>
        <v>0</v>
      </c>
      <c r="P225" s="63">
        <f>IF(ข้อมูลสูตร!$A222="","",ข้อมูลสูตร!Q222)</f>
        <v>0</v>
      </c>
      <c r="Q225" s="63">
        <f>IF(ข้อมูลสูตร!$A222="","",ข้อมูลสูตร!R222)</f>
        <v>0</v>
      </c>
      <c r="R225" s="63">
        <f>IF(ข้อมูลสูตร!$A222="","",ข้อมูลสูตร!S222)</f>
        <v>220</v>
      </c>
      <c r="S225" s="63">
        <f>IF(ข้อมูลสูตร!$A222="","",ข้อมูลสูตร!T222)</f>
        <v>40</v>
      </c>
      <c r="T225" s="63">
        <f>IF(ข้อมูลสูตร!$A222="","",ข้อมูลสูตร!U222)</f>
        <v>0</v>
      </c>
      <c r="U225" s="64">
        <f>IF(ข้อมูลสูตร!$A222="","",ข้อมูลสูตร!V222)</f>
        <v>180</v>
      </c>
      <c r="V225" s="8">
        <f>IF(ข้อมูลสูตร!$A222="","",ข้อมูลสูตร!W222)</f>
        <v>55.64</v>
      </c>
      <c r="W225" s="64">
        <f>IF(ข้อมูลสูตร!$A222="","",ข้อมูลสูตร!X222)</f>
        <v>90</v>
      </c>
      <c r="X225" s="23">
        <f>IF(ข้อมูลสูตร!$A222="","",ข้อมูลสูตร!Y222)</f>
        <v>0.38177777777777777</v>
      </c>
      <c r="Y225" s="48" t="str">
        <f>IF(ข้อมูลสูตร!$A222="","",ข้อมูลสูตร!Z222)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5" s="48" t="str">
        <f>ข้อมูลสูตร!$A222</f>
        <v>Matcha Coconut Premium|16 oz|0%</v>
      </c>
    </row>
    <row r="226" spans="1:26" x14ac:dyDescent="0.25">
      <c r="A226" s="4" t="str">
        <f>IF(ข้อมูลสูตร!$A223="","",ข้อมูลสูตร!B223)</f>
        <v>Matcha Coconut Premium</v>
      </c>
      <c r="B226" s="4" t="str">
        <f>IF(ข้อมูลสูตร!$A223="","",ข้อมูลสูตร!C223)</f>
        <v>16 oz</v>
      </c>
      <c r="C226" s="4" t="str">
        <f>IF(ข้อมูลสูตร!$A223="","",ข้อมูลสูตร!D223)</f>
        <v>25%</v>
      </c>
      <c r="D226" s="63">
        <f>IF(ข้อมูลสูตร!$A223="","",ข้อมูลสูตร!E223)</f>
        <v>0</v>
      </c>
      <c r="E226" s="63">
        <f>IF(ข้อมูลสูตร!$A223="","",ข้อมูลสูตร!F223)</f>
        <v>0</v>
      </c>
      <c r="F226" s="63">
        <f>IF(ข้อมูลสูตร!$A223="","",ข้อมูลสูตร!G223)</f>
        <v>0</v>
      </c>
      <c r="G226" s="63">
        <f>IF(ข้อมูลสูตร!$A223="","",ข้อมูลสูตร!H223)</f>
        <v>0</v>
      </c>
      <c r="H226" s="63">
        <f>IF(ข้อมูลสูตร!$A223="","",ข้อมูลสูตร!I223)</f>
        <v>0</v>
      </c>
      <c r="I226" s="63">
        <f>IF(ข้อมูลสูตร!$A223="","",ข้อมูลสูตร!J223)</f>
        <v>6</v>
      </c>
      <c r="J226" s="63">
        <f>IF(ข้อมูลสูตร!$A223="","",ข้อมูลสูตร!K223)</f>
        <v>0</v>
      </c>
      <c r="K226" s="63">
        <f>IF(ข้อมูลสูตร!$A223="","",ข้อมูลสูตร!L223)</f>
        <v>0</v>
      </c>
      <c r="L226" s="63">
        <f>IF(ข้อมูลสูตร!$A223="","",ข้อมูลสูตร!M223)</f>
        <v>0</v>
      </c>
      <c r="M226" s="63">
        <f>IF(ข้อมูลสูตร!$A223="","",ข้อมูลสูตร!N223)</f>
        <v>140</v>
      </c>
      <c r="N226" s="63">
        <f>IF(ข้อมูลสูตร!$A223="","",ข้อมูลสูตร!O223)</f>
        <v>0</v>
      </c>
      <c r="O226" s="63">
        <f>IF(ข้อมูลสูตร!$A223="","",ข้อมูลสูตร!P223)</f>
        <v>0</v>
      </c>
      <c r="P226" s="63">
        <f>IF(ข้อมูลสูตร!$A223="","",ข้อมูลสูตร!Q223)</f>
        <v>0</v>
      </c>
      <c r="Q226" s="63">
        <f>IF(ข้อมูลสูตร!$A223="","",ข้อมูลสูตร!R223)</f>
        <v>0</v>
      </c>
      <c r="R226" s="63">
        <f>IF(ข้อมูลสูตร!$A223="","",ข้อมูลสูตร!S223)</f>
        <v>220</v>
      </c>
      <c r="S226" s="63">
        <f>IF(ข้อมูลสูตร!$A223="","",ข้อมูลสูตร!T223)</f>
        <v>40</v>
      </c>
      <c r="T226" s="63">
        <f>IF(ข้อมูลสูตร!$A223="","",ข้อมูลสูตร!U223)</f>
        <v>0</v>
      </c>
      <c r="U226" s="64">
        <f>IF(ข้อมูลสูตร!$A223="","",ข้อมูลสูตร!V223)</f>
        <v>186</v>
      </c>
      <c r="V226" s="8">
        <f>IF(ข้อมูลสูตร!$A223="","",ข้อมูลสูตร!W223)</f>
        <v>55.74</v>
      </c>
      <c r="W226" s="64">
        <f>IF(ข้อมูลสูตร!$A223="","",ข้อมูลสูตร!X223)</f>
        <v>90</v>
      </c>
      <c r="X226" s="23">
        <f>IF(ข้อมูลสูตร!$A223="","",ข้อมูลสูตร!Y223)</f>
        <v>0.38066666666666665</v>
      </c>
      <c r="Y226" s="48" t="str">
        <f>IF(ข้อมูลสูตร!$A223="","",ข้อมูลสูตร!Z223)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6" s="48" t="str">
        <f>ข้อมูลสูตร!$A223</f>
        <v>Matcha Coconut Premium|16 oz|25%</v>
      </c>
    </row>
    <row r="227" spans="1:26" x14ac:dyDescent="0.25">
      <c r="A227" s="4" t="str">
        <f>IF(ข้อมูลสูตร!$A224="","",ข้อมูลสูตร!B224)</f>
        <v>Matcha Coconut Premium</v>
      </c>
      <c r="B227" s="4" t="str">
        <f>IF(ข้อมูลสูตร!$A224="","",ข้อมูลสูตร!C224)</f>
        <v>16 oz</v>
      </c>
      <c r="C227" s="4" t="str">
        <f>IF(ข้อมูลสูตร!$A224="","",ข้อมูลสูตร!D224)</f>
        <v>50%</v>
      </c>
      <c r="D227" s="63">
        <f>IF(ข้อมูลสูตร!$A224="","",ข้อมูลสูตร!E224)</f>
        <v>0</v>
      </c>
      <c r="E227" s="63">
        <f>IF(ข้อมูลสูตร!$A224="","",ข้อมูลสูตร!F224)</f>
        <v>0</v>
      </c>
      <c r="F227" s="63">
        <f>IF(ข้อมูลสูตร!$A224="","",ข้อมูลสูตร!G224)</f>
        <v>0</v>
      </c>
      <c r="G227" s="63">
        <f>IF(ข้อมูลสูตร!$A224="","",ข้อมูลสูตร!H224)</f>
        <v>0</v>
      </c>
      <c r="H227" s="63">
        <f>IF(ข้อมูลสูตร!$A224="","",ข้อมูลสูตร!I224)</f>
        <v>0</v>
      </c>
      <c r="I227" s="63">
        <f>IF(ข้อมูลสูตร!$A224="","",ข้อมูลสูตร!J224)</f>
        <v>12</v>
      </c>
      <c r="J227" s="63">
        <f>IF(ข้อมูลสูตร!$A224="","",ข้อมูลสูตร!K224)</f>
        <v>0</v>
      </c>
      <c r="K227" s="63">
        <f>IF(ข้อมูลสูตร!$A224="","",ข้อมูลสูตร!L224)</f>
        <v>0</v>
      </c>
      <c r="L227" s="63">
        <f>IF(ข้อมูลสูตร!$A224="","",ข้อมูลสูตร!M224)</f>
        <v>0</v>
      </c>
      <c r="M227" s="63">
        <f>IF(ข้อมูลสูตร!$A224="","",ข้อมูลสูตร!N224)</f>
        <v>140</v>
      </c>
      <c r="N227" s="63">
        <f>IF(ข้อมูลสูตร!$A224="","",ข้อมูลสูตร!O224)</f>
        <v>0</v>
      </c>
      <c r="O227" s="63">
        <f>IF(ข้อมูลสูตร!$A224="","",ข้อมูลสูตร!P224)</f>
        <v>0</v>
      </c>
      <c r="P227" s="63">
        <f>IF(ข้อมูลสูตร!$A224="","",ข้อมูลสูตร!Q224)</f>
        <v>0</v>
      </c>
      <c r="Q227" s="63">
        <f>IF(ข้อมูลสูตร!$A224="","",ข้อมูลสูตร!R224)</f>
        <v>0</v>
      </c>
      <c r="R227" s="63">
        <f>IF(ข้อมูลสูตร!$A224="","",ข้อมูลสูตร!S224)</f>
        <v>220</v>
      </c>
      <c r="S227" s="63">
        <f>IF(ข้อมูลสูตร!$A224="","",ข้อมูลสูตร!T224)</f>
        <v>40</v>
      </c>
      <c r="T227" s="63">
        <f>IF(ข้อมูลสูตร!$A224="","",ข้อมูลสูตร!U224)</f>
        <v>0</v>
      </c>
      <c r="U227" s="64">
        <f>IF(ข้อมูลสูตร!$A224="","",ข้อมูลสูตร!V224)</f>
        <v>192</v>
      </c>
      <c r="V227" s="8">
        <f>IF(ข้อมูลสูตร!$A224="","",ข้อมูลสูตร!W224)</f>
        <v>55.84</v>
      </c>
      <c r="W227" s="64">
        <f>IF(ข้อมูลสูตร!$A224="","",ข้อมูลสูตร!X224)</f>
        <v>90</v>
      </c>
      <c r="X227" s="23">
        <f>IF(ข้อมูลสูตร!$A224="","",ข้อมูลสูตร!Y224)</f>
        <v>0.37955555555555553</v>
      </c>
      <c r="Y227" s="48" t="str">
        <f>IF(ข้อมูลสูตร!$A224="","",ข้อมูลสูตร!Z224)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7" s="48" t="str">
        <f>ข้อมูลสูตร!$A224</f>
        <v>Matcha Coconut Premium|16 oz|50%</v>
      </c>
    </row>
    <row r="228" spans="1:26" x14ac:dyDescent="0.25">
      <c r="A228" s="4" t="str">
        <f>IF(ข้อมูลสูตร!$A225="","",ข้อมูลสูตร!B225)</f>
        <v>Matcha Coconut Premium</v>
      </c>
      <c r="B228" s="4" t="str">
        <f>IF(ข้อมูลสูตร!$A225="","",ข้อมูลสูตร!C225)</f>
        <v>16 oz</v>
      </c>
      <c r="C228" s="4" t="str">
        <f>IF(ข้อมูลสูตร!$A225="","",ข้อมูลสูตร!D225)</f>
        <v>75%</v>
      </c>
      <c r="D228" s="63">
        <f>IF(ข้อมูลสูตร!$A225="","",ข้อมูลสูตร!E225)</f>
        <v>0</v>
      </c>
      <c r="E228" s="63">
        <f>IF(ข้อมูลสูตร!$A225="","",ข้อมูลสูตร!F225)</f>
        <v>0</v>
      </c>
      <c r="F228" s="63">
        <f>IF(ข้อมูลสูตร!$A225="","",ข้อมูลสูตร!G225)</f>
        <v>0</v>
      </c>
      <c r="G228" s="63">
        <f>IF(ข้อมูลสูตร!$A225="","",ข้อมูลสูตร!H225)</f>
        <v>0</v>
      </c>
      <c r="H228" s="63">
        <f>IF(ข้อมูลสูตร!$A225="","",ข้อมูลสูตร!I225)</f>
        <v>0</v>
      </c>
      <c r="I228" s="63">
        <f>IF(ข้อมูลสูตร!$A225="","",ข้อมูลสูตร!J225)</f>
        <v>18</v>
      </c>
      <c r="J228" s="63">
        <f>IF(ข้อมูลสูตร!$A225="","",ข้อมูลสูตร!K225)</f>
        <v>0</v>
      </c>
      <c r="K228" s="63">
        <f>IF(ข้อมูลสูตร!$A225="","",ข้อมูลสูตร!L225)</f>
        <v>0</v>
      </c>
      <c r="L228" s="63">
        <f>IF(ข้อมูลสูตร!$A225="","",ข้อมูลสูตร!M225)</f>
        <v>0</v>
      </c>
      <c r="M228" s="63">
        <f>IF(ข้อมูลสูตร!$A225="","",ข้อมูลสูตร!N225)</f>
        <v>140</v>
      </c>
      <c r="N228" s="63">
        <f>IF(ข้อมูลสูตร!$A225="","",ข้อมูลสูตร!O225)</f>
        <v>0</v>
      </c>
      <c r="O228" s="63">
        <f>IF(ข้อมูลสูตร!$A225="","",ข้อมูลสูตร!P225)</f>
        <v>0</v>
      </c>
      <c r="P228" s="63">
        <f>IF(ข้อมูลสูตร!$A225="","",ข้อมูลสูตร!Q225)</f>
        <v>0</v>
      </c>
      <c r="Q228" s="63">
        <f>IF(ข้อมูลสูตร!$A225="","",ข้อมูลสูตร!R225)</f>
        <v>0</v>
      </c>
      <c r="R228" s="63">
        <f>IF(ข้อมูลสูตร!$A225="","",ข้อมูลสูตร!S225)</f>
        <v>220</v>
      </c>
      <c r="S228" s="63">
        <f>IF(ข้อมูลสูตร!$A225="","",ข้อมูลสูตร!T225)</f>
        <v>40</v>
      </c>
      <c r="T228" s="63">
        <f>IF(ข้อมูลสูตร!$A225="","",ข้อมูลสูตร!U225)</f>
        <v>0</v>
      </c>
      <c r="U228" s="64">
        <f>IF(ข้อมูลสูตร!$A225="","",ข้อมูลสูตร!V225)</f>
        <v>198</v>
      </c>
      <c r="V228" s="8">
        <f>IF(ข้อมูลสูตร!$A225="","",ข้อมูลสูตร!W225)</f>
        <v>55.94</v>
      </c>
      <c r="W228" s="64">
        <f>IF(ข้อมูลสูตร!$A225="","",ข้อมูลสูตร!X225)</f>
        <v>90</v>
      </c>
      <c r="X228" s="23">
        <f>IF(ข้อมูลสูตร!$A225="","",ข้อมูลสูตร!Y225)</f>
        <v>0.37844444444444447</v>
      </c>
      <c r="Y228" s="48" t="str">
        <f>IF(ข้อมูลสูตร!$A225="","",ข้อมูลสูตร!Z225)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8" s="48" t="str">
        <f>ข้อมูลสูตร!$A225</f>
        <v>Matcha Coconut Premium|16 oz|75%</v>
      </c>
    </row>
    <row r="229" spans="1:26" x14ac:dyDescent="0.25">
      <c r="A229" s="4" t="str">
        <f>IF(ข้อมูลสูตร!$A226="","",ข้อมูลสูตร!B226)</f>
        <v>Matcha Coconut Premium</v>
      </c>
      <c r="B229" s="4" t="str">
        <f>IF(ข้อมูลสูตร!$A226="","",ข้อมูลสูตร!C226)</f>
        <v>16 oz</v>
      </c>
      <c r="C229" s="4" t="str">
        <f>IF(ข้อมูลสูตร!$A226="","",ข้อมูลสูตร!D226)</f>
        <v>100%</v>
      </c>
      <c r="D229" s="63">
        <f>IF(ข้อมูลสูตร!$A226="","",ข้อมูลสูตร!E226)</f>
        <v>0</v>
      </c>
      <c r="E229" s="63">
        <f>IF(ข้อมูลสูตร!$A226="","",ข้อมูลสูตร!F226)</f>
        <v>0</v>
      </c>
      <c r="F229" s="63">
        <f>IF(ข้อมูลสูตร!$A226="","",ข้อมูลสูตร!G226)</f>
        <v>0</v>
      </c>
      <c r="G229" s="63">
        <f>IF(ข้อมูลสูตร!$A226="","",ข้อมูลสูตร!H226)</f>
        <v>0</v>
      </c>
      <c r="H229" s="63">
        <f>IF(ข้อมูลสูตร!$A226="","",ข้อมูลสูตร!I226)</f>
        <v>0</v>
      </c>
      <c r="I229" s="63">
        <f>IF(ข้อมูลสูตร!$A226="","",ข้อมูลสูตร!J226)</f>
        <v>24</v>
      </c>
      <c r="J229" s="63">
        <f>IF(ข้อมูลสูตร!$A226="","",ข้อมูลสูตร!K226)</f>
        <v>0</v>
      </c>
      <c r="K229" s="63">
        <f>IF(ข้อมูลสูตร!$A226="","",ข้อมูลสูตร!L226)</f>
        <v>0</v>
      </c>
      <c r="L229" s="63">
        <f>IF(ข้อมูลสูตร!$A226="","",ข้อมูลสูตร!M226)</f>
        <v>0</v>
      </c>
      <c r="M229" s="63">
        <f>IF(ข้อมูลสูตร!$A226="","",ข้อมูลสูตร!N226)</f>
        <v>140</v>
      </c>
      <c r="N229" s="63">
        <f>IF(ข้อมูลสูตร!$A226="","",ข้อมูลสูตร!O226)</f>
        <v>0</v>
      </c>
      <c r="O229" s="63">
        <f>IF(ข้อมูลสูตร!$A226="","",ข้อมูลสูตร!P226)</f>
        <v>0</v>
      </c>
      <c r="P229" s="63">
        <f>IF(ข้อมูลสูตร!$A226="","",ข้อมูลสูตร!Q226)</f>
        <v>0</v>
      </c>
      <c r="Q229" s="63">
        <f>IF(ข้อมูลสูตร!$A226="","",ข้อมูลสูตร!R226)</f>
        <v>0</v>
      </c>
      <c r="R229" s="63">
        <f>IF(ข้อมูลสูตร!$A226="","",ข้อมูลสูตร!S226)</f>
        <v>220</v>
      </c>
      <c r="S229" s="63">
        <f>IF(ข้อมูลสูตร!$A226="","",ข้อมูลสูตร!T226)</f>
        <v>40</v>
      </c>
      <c r="T229" s="63">
        <f>IF(ข้อมูลสูตร!$A226="","",ข้อมูลสูตร!U226)</f>
        <v>0</v>
      </c>
      <c r="U229" s="64">
        <f>IF(ข้อมูลสูตร!$A226="","",ข้อมูลสูตร!V226)</f>
        <v>204</v>
      </c>
      <c r="V229" s="8">
        <f>IF(ข้อมูลสูตร!$A226="","",ข้อมูลสูตร!W226)</f>
        <v>56.04</v>
      </c>
      <c r="W229" s="64">
        <f>IF(ข้อมูลสูตร!$A226="","",ข้อมูลสูตร!X226)</f>
        <v>90</v>
      </c>
      <c r="X229" s="23">
        <f>IF(ข้อมูลสูตร!$A226="","",ข้อมูลสูตร!Y226)</f>
        <v>0.37733333333333335</v>
      </c>
      <c r="Y229" s="48" t="str">
        <f>IF(ข้อมูลสูตร!$A226="","",ข้อมูลสูตร!Z226)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29" s="48" t="str">
        <f>ข้อมูลสูตร!$A226</f>
        <v>Matcha Coconut Premium|16 oz|100%</v>
      </c>
    </row>
    <row r="230" spans="1:26" x14ac:dyDescent="0.25">
      <c r="A230" s="4" t="str">
        <f>IF(ข้อมูลสูตร!$A227="","",ข้อมูลสูตร!B227)</f>
        <v>Matcha Coconut Premium</v>
      </c>
      <c r="B230" s="4" t="str">
        <f>IF(ข้อมูลสูตร!$A227="","",ข้อมูลสูตร!C227)</f>
        <v>22 oz</v>
      </c>
      <c r="C230" s="4" t="str">
        <f>IF(ข้อมูลสูตร!$A227="","",ข้อมูลสูตร!D227)</f>
        <v>0%</v>
      </c>
      <c r="D230" s="63">
        <f>IF(ข้อมูลสูตร!$A227="","",ข้อมูลสูตร!E227)</f>
        <v>0</v>
      </c>
      <c r="E230" s="63">
        <f>IF(ข้อมูลสูตร!$A227="","",ข้อมูลสูตร!F227)</f>
        <v>0</v>
      </c>
      <c r="F230" s="63">
        <f>IF(ข้อมูลสูตร!$A227="","",ข้อมูลสูตร!G227)</f>
        <v>0</v>
      </c>
      <c r="G230" s="63">
        <f>IF(ข้อมูลสูตร!$A227="","",ข้อมูลสูตร!H227)</f>
        <v>0</v>
      </c>
      <c r="H230" s="63">
        <f>IF(ข้อมูลสูตร!$A227="","",ข้อมูลสูตร!I227)</f>
        <v>0</v>
      </c>
      <c r="I230" s="63">
        <f>IF(ข้อมูลสูตร!$A227="","",ข้อมูลสูตร!J227)</f>
        <v>0</v>
      </c>
      <c r="J230" s="63">
        <f>IF(ข้อมูลสูตร!$A227="","",ข้อมูลสูตร!K227)</f>
        <v>0</v>
      </c>
      <c r="K230" s="63">
        <f>IF(ข้อมูลสูตร!$A227="","",ข้อมูลสูตร!L227)</f>
        <v>0</v>
      </c>
      <c r="L230" s="63">
        <f>IF(ข้อมูลสูตร!$A227="","",ข้อมูลสูตร!M227)</f>
        <v>0</v>
      </c>
      <c r="M230" s="63">
        <f>IF(ข้อมูลสูตร!$A227="","",ข้อมูลสูตร!N227)</f>
        <v>200</v>
      </c>
      <c r="N230" s="63">
        <f>IF(ข้อมูลสูตร!$A227="","",ข้อมูลสูตร!O227)</f>
        <v>0</v>
      </c>
      <c r="O230" s="63">
        <f>IF(ข้อมูลสูตร!$A227="","",ข้อมูลสูตร!P227)</f>
        <v>0</v>
      </c>
      <c r="P230" s="63">
        <f>IF(ข้อมูลสูตร!$A227="","",ข้อมูลสูตร!Q227)</f>
        <v>0</v>
      </c>
      <c r="Q230" s="63">
        <f>IF(ข้อมูลสูตร!$A227="","",ข้อมูลสูตร!R227)</f>
        <v>0</v>
      </c>
      <c r="R230" s="63">
        <f>IF(ข้อมูลสูตร!$A227="","",ข้อมูลสูตร!S227)</f>
        <v>300</v>
      </c>
      <c r="S230" s="63">
        <f>IF(ข้อมูลสูตร!$A227="","",ข้อมูลสูตร!T227)</f>
        <v>50</v>
      </c>
      <c r="T230" s="63">
        <f>IF(ข้อมูลสูตร!$A227="","",ข้อมูลสูตร!U227)</f>
        <v>0</v>
      </c>
      <c r="U230" s="64">
        <f>IF(ข้อมูลสูตร!$A227="","",ข้อมูลสูตร!V227)</f>
        <v>250</v>
      </c>
      <c r="V230" s="8">
        <f>IF(ข้อมูลสูตร!$A227="","",ข้อมูลสูตร!W227)</f>
        <v>71.540000000000006</v>
      </c>
      <c r="W230" s="64">
        <f>IF(ข้อมูลสูตร!$A227="","",ข้อมูลสูตร!X227)</f>
        <v>115</v>
      </c>
      <c r="X230" s="23">
        <f>IF(ข้อมูลสูตร!$A227="","",ข้อมูลสูตร!Y227)</f>
        <v>0.37791304347826082</v>
      </c>
      <c r="Y230" s="48" t="str">
        <f>IF(ข้อมูลสูตร!$A227="","",ข้อมูลสูตร!Z227)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0" s="48" t="str">
        <f>ข้อมูลสูตร!$A227</f>
        <v>Matcha Coconut Premium|22 oz|0%</v>
      </c>
    </row>
    <row r="231" spans="1:26" x14ac:dyDescent="0.25">
      <c r="A231" s="4" t="str">
        <f>IF(ข้อมูลสูตร!$A228="","",ข้อมูลสูตร!B228)</f>
        <v>Matcha Coconut Premium</v>
      </c>
      <c r="B231" s="4" t="str">
        <f>IF(ข้อมูลสูตร!$A228="","",ข้อมูลสูตร!C228)</f>
        <v>22 oz</v>
      </c>
      <c r="C231" s="4" t="str">
        <f>IF(ข้อมูลสูตร!$A228="","",ข้อมูลสูตร!D228)</f>
        <v>25%</v>
      </c>
      <c r="D231" s="63">
        <f>IF(ข้อมูลสูตร!$A228="","",ข้อมูลสูตร!E228)</f>
        <v>0</v>
      </c>
      <c r="E231" s="63">
        <f>IF(ข้อมูลสูตร!$A228="","",ข้อมูลสูตร!F228)</f>
        <v>0</v>
      </c>
      <c r="F231" s="63">
        <f>IF(ข้อมูลสูตร!$A228="","",ข้อมูลสูตร!G228)</f>
        <v>0</v>
      </c>
      <c r="G231" s="63">
        <f>IF(ข้อมูลสูตร!$A228="","",ข้อมูลสูตร!H228)</f>
        <v>0</v>
      </c>
      <c r="H231" s="63">
        <f>IF(ข้อมูลสูตร!$A228="","",ข้อมูลสูตร!I228)</f>
        <v>0</v>
      </c>
      <c r="I231" s="63">
        <f>IF(ข้อมูลสูตร!$A228="","",ข้อมูลสูตร!J228)</f>
        <v>8</v>
      </c>
      <c r="J231" s="63">
        <f>IF(ข้อมูลสูตร!$A228="","",ข้อมูลสูตร!K228)</f>
        <v>0</v>
      </c>
      <c r="K231" s="63">
        <f>IF(ข้อมูลสูตร!$A228="","",ข้อมูลสูตร!L228)</f>
        <v>0</v>
      </c>
      <c r="L231" s="63">
        <f>IF(ข้อมูลสูตร!$A228="","",ข้อมูลสูตร!M228)</f>
        <v>0</v>
      </c>
      <c r="M231" s="63">
        <f>IF(ข้อมูลสูตร!$A228="","",ข้อมูลสูตร!N228)</f>
        <v>200</v>
      </c>
      <c r="N231" s="63">
        <f>IF(ข้อมูลสูตร!$A228="","",ข้อมูลสูตร!O228)</f>
        <v>0</v>
      </c>
      <c r="O231" s="63">
        <f>IF(ข้อมูลสูตร!$A228="","",ข้อมูลสูตร!P228)</f>
        <v>0</v>
      </c>
      <c r="P231" s="63">
        <f>IF(ข้อมูลสูตร!$A228="","",ข้อมูลสูตร!Q228)</f>
        <v>0</v>
      </c>
      <c r="Q231" s="63">
        <f>IF(ข้อมูลสูตร!$A228="","",ข้อมูลสูตร!R228)</f>
        <v>0</v>
      </c>
      <c r="R231" s="63">
        <f>IF(ข้อมูลสูตร!$A228="","",ข้อมูลสูตร!S228)</f>
        <v>300</v>
      </c>
      <c r="S231" s="63">
        <f>IF(ข้อมูลสูตร!$A228="","",ข้อมูลสูตร!T228)</f>
        <v>50</v>
      </c>
      <c r="T231" s="63">
        <f>IF(ข้อมูลสูตร!$A228="","",ข้อมูลสูตร!U228)</f>
        <v>0</v>
      </c>
      <c r="U231" s="64">
        <f>IF(ข้อมูลสูตร!$A228="","",ข้อมูลสูตร!V228)</f>
        <v>258</v>
      </c>
      <c r="V231" s="8">
        <f>IF(ข้อมูลสูตร!$A228="","",ข้อมูลสูตร!W228)</f>
        <v>71.67</v>
      </c>
      <c r="W231" s="64">
        <f>IF(ข้อมูลสูตร!$A228="","",ข้อมูลสูตร!X228)</f>
        <v>115</v>
      </c>
      <c r="X231" s="23">
        <f>IF(ข้อมูลสูตร!$A228="","",ข้อมูลสูตร!Y228)</f>
        <v>0.37678260869565217</v>
      </c>
      <c r="Y231" s="48" t="str">
        <f>IF(ข้อมูลสูตร!$A228="","",ข้อมูลสูตร!Z228)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1" s="48" t="str">
        <f>ข้อมูลสูตร!$A228</f>
        <v>Matcha Coconut Premium|22 oz|25%</v>
      </c>
    </row>
    <row r="232" spans="1:26" x14ac:dyDescent="0.25">
      <c r="A232" s="4" t="str">
        <f>IF(ข้อมูลสูตร!$A229="","",ข้อมูลสูตร!B229)</f>
        <v>Matcha Coconut Premium</v>
      </c>
      <c r="B232" s="4" t="str">
        <f>IF(ข้อมูลสูตร!$A229="","",ข้อมูลสูตร!C229)</f>
        <v>22 oz</v>
      </c>
      <c r="C232" s="4" t="str">
        <f>IF(ข้อมูลสูตร!$A229="","",ข้อมูลสูตร!D229)</f>
        <v>50%</v>
      </c>
      <c r="D232" s="63">
        <f>IF(ข้อมูลสูตร!$A229="","",ข้อมูลสูตร!E229)</f>
        <v>0</v>
      </c>
      <c r="E232" s="63">
        <f>IF(ข้อมูลสูตร!$A229="","",ข้อมูลสูตร!F229)</f>
        <v>0</v>
      </c>
      <c r="F232" s="63">
        <f>IF(ข้อมูลสูตร!$A229="","",ข้อมูลสูตร!G229)</f>
        <v>0</v>
      </c>
      <c r="G232" s="63">
        <f>IF(ข้อมูลสูตร!$A229="","",ข้อมูลสูตร!H229)</f>
        <v>0</v>
      </c>
      <c r="H232" s="63">
        <f>IF(ข้อมูลสูตร!$A229="","",ข้อมูลสูตร!I229)</f>
        <v>0</v>
      </c>
      <c r="I232" s="63">
        <f>IF(ข้อมูลสูตร!$A229="","",ข้อมูลสูตร!J229)</f>
        <v>16</v>
      </c>
      <c r="J232" s="63">
        <f>IF(ข้อมูลสูตร!$A229="","",ข้อมูลสูตร!K229)</f>
        <v>0</v>
      </c>
      <c r="K232" s="63">
        <f>IF(ข้อมูลสูตร!$A229="","",ข้อมูลสูตร!L229)</f>
        <v>0</v>
      </c>
      <c r="L232" s="63">
        <f>IF(ข้อมูลสูตร!$A229="","",ข้อมูลสูตร!M229)</f>
        <v>0</v>
      </c>
      <c r="M232" s="63">
        <f>IF(ข้อมูลสูตร!$A229="","",ข้อมูลสูตร!N229)</f>
        <v>200</v>
      </c>
      <c r="N232" s="63">
        <f>IF(ข้อมูลสูตร!$A229="","",ข้อมูลสูตร!O229)</f>
        <v>0</v>
      </c>
      <c r="O232" s="63">
        <f>IF(ข้อมูลสูตร!$A229="","",ข้อมูลสูตร!P229)</f>
        <v>0</v>
      </c>
      <c r="P232" s="63">
        <f>IF(ข้อมูลสูตร!$A229="","",ข้อมูลสูตร!Q229)</f>
        <v>0</v>
      </c>
      <c r="Q232" s="63">
        <f>IF(ข้อมูลสูตร!$A229="","",ข้อมูลสูตร!R229)</f>
        <v>0</v>
      </c>
      <c r="R232" s="63">
        <f>IF(ข้อมูลสูตร!$A229="","",ข้อมูลสูตร!S229)</f>
        <v>300</v>
      </c>
      <c r="S232" s="63">
        <f>IF(ข้อมูลสูตร!$A229="","",ข้อมูลสูตร!T229)</f>
        <v>50</v>
      </c>
      <c r="T232" s="63">
        <f>IF(ข้อมูลสูตร!$A229="","",ข้อมูลสูตร!U229)</f>
        <v>0</v>
      </c>
      <c r="U232" s="64">
        <f>IF(ข้อมูลสูตร!$A229="","",ข้อมูลสูตร!V229)</f>
        <v>266</v>
      </c>
      <c r="V232" s="8">
        <f>IF(ข้อมูลสูตร!$A229="","",ข้อมูลสูตร!W229)</f>
        <v>71.81</v>
      </c>
      <c r="W232" s="64">
        <f>IF(ข้อมูลสูตร!$A229="","",ข้อมูลสูตร!X229)</f>
        <v>115</v>
      </c>
      <c r="X232" s="23">
        <f>IF(ข้อมูลสูตร!$A229="","",ข้อมูลสูตร!Y229)</f>
        <v>0.37556521739130433</v>
      </c>
      <c r="Y232" s="48" t="str">
        <f>IF(ข้อมูลสูตร!$A229="","",ข้อมูลสูตร!Z229)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2" s="48" t="str">
        <f>ข้อมูลสูตร!$A229</f>
        <v>Matcha Coconut Premium|22 oz|50%</v>
      </c>
    </row>
    <row r="233" spans="1:26" x14ac:dyDescent="0.25">
      <c r="A233" s="4" t="str">
        <f>IF(ข้อมูลสูตร!$A230="","",ข้อมูลสูตร!B230)</f>
        <v>Matcha Coconut Premium</v>
      </c>
      <c r="B233" s="4" t="str">
        <f>IF(ข้อมูลสูตร!$A230="","",ข้อมูลสูตร!C230)</f>
        <v>22 oz</v>
      </c>
      <c r="C233" s="4" t="str">
        <f>IF(ข้อมูลสูตร!$A230="","",ข้อมูลสูตร!D230)</f>
        <v>75%</v>
      </c>
      <c r="D233" s="63">
        <f>IF(ข้อมูลสูตร!$A230="","",ข้อมูลสูตร!E230)</f>
        <v>0</v>
      </c>
      <c r="E233" s="63">
        <f>IF(ข้อมูลสูตร!$A230="","",ข้อมูลสูตร!F230)</f>
        <v>0</v>
      </c>
      <c r="F233" s="63">
        <f>IF(ข้อมูลสูตร!$A230="","",ข้อมูลสูตร!G230)</f>
        <v>0</v>
      </c>
      <c r="G233" s="63">
        <f>IF(ข้อมูลสูตร!$A230="","",ข้อมูลสูตร!H230)</f>
        <v>0</v>
      </c>
      <c r="H233" s="63">
        <f>IF(ข้อมูลสูตร!$A230="","",ข้อมูลสูตร!I230)</f>
        <v>0</v>
      </c>
      <c r="I233" s="63">
        <f>IF(ข้อมูลสูตร!$A230="","",ข้อมูลสูตร!J230)</f>
        <v>25</v>
      </c>
      <c r="J233" s="63">
        <f>IF(ข้อมูลสูตร!$A230="","",ข้อมูลสูตร!K230)</f>
        <v>0</v>
      </c>
      <c r="K233" s="63">
        <f>IF(ข้อมูลสูตร!$A230="","",ข้อมูลสูตร!L230)</f>
        <v>0</v>
      </c>
      <c r="L233" s="63">
        <f>IF(ข้อมูลสูตร!$A230="","",ข้อมูลสูตร!M230)</f>
        <v>0</v>
      </c>
      <c r="M233" s="63">
        <f>IF(ข้อมูลสูตร!$A230="","",ข้อมูลสูตร!N230)</f>
        <v>200</v>
      </c>
      <c r="N233" s="63">
        <f>IF(ข้อมูลสูตร!$A230="","",ข้อมูลสูตร!O230)</f>
        <v>0</v>
      </c>
      <c r="O233" s="63">
        <f>IF(ข้อมูลสูตร!$A230="","",ข้อมูลสูตร!P230)</f>
        <v>0</v>
      </c>
      <c r="P233" s="63">
        <f>IF(ข้อมูลสูตร!$A230="","",ข้อมูลสูตร!Q230)</f>
        <v>0</v>
      </c>
      <c r="Q233" s="63">
        <f>IF(ข้อมูลสูตร!$A230="","",ข้อมูลสูตร!R230)</f>
        <v>0</v>
      </c>
      <c r="R233" s="63">
        <f>IF(ข้อมูลสูตร!$A230="","",ข้อมูลสูตร!S230)</f>
        <v>300</v>
      </c>
      <c r="S233" s="63">
        <f>IF(ข้อมูลสูตร!$A230="","",ข้อมูลสูตร!T230)</f>
        <v>50</v>
      </c>
      <c r="T233" s="63">
        <f>IF(ข้อมูลสูตร!$A230="","",ข้อมูลสูตร!U230)</f>
        <v>0</v>
      </c>
      <c r="U233" s="64">
        <f>IF(ข้อมูลสูตร!$A230="","",ข้อมูลสูตร!V230)</f>
        <v>275</v>
      </c>
      <c r="V233" s="8">
        <f>IF(ข้อมูลสูตร!$A230="","",ข้อมูลสูตร!W230)</f>
        <v>71.959999999999994</v>
      </c>
      <c r="W233" s="64">
        <f>IF(ข้อมูลสูตร!$A230="","",ข้อมูลสูตร!X230)</f>
        <v>115</v>
      </c>
      <c r="X233" s="23">
        <f>IF(ข้อมูลสูตร!$A230="","",ข้อมูลสูตร!Y230)</f>
        <v>0.37426086956521742</v>
      </c>
      <c r="Y233" s="48" t="str">
        <f>IF(ข้อมูลสูตร!$A230="","",ข้อมูลสูตร!Z230)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3" s="48" t="str">
        <f>ข้อมูลสูตร!$A230</f>
        <v>Matcha Coconut Premium|22 oz|75%</v>
      </c>
    </row>
    <row r="234" spans="1:26" x14ac:dyDescent="0.25">
      <c r="A234" s="4" t="str">
        <f>IF(ข้อมูลสูตร!$A231="","",ข้อมูลสูตร!B231)</f>
        <v>Matcha Coconut Premium</v>
      </c>
      <c r="B234" s="4" t="str">
        <f>IF(ข้อมูลสูตร!$A231="","",ข้อมูลสูตร!C231)</f>
        <v>22 oz</v>
      </c>
      <c r="C234" s="4" t="str">
        <f>IF(ข้อมูลสูตร!$A231="","",ข้อมูลสูตร!D231)</f>
        <v>100%</v>
      </c>
      <c r="D234" s="63">
        <f>IF(ข้อมูลสูตร!$A231="","",ข้อมูลสูตร!E231)</f>
        <v>0</v>
      </c>
      <c r="E234" s="63">
        <f>IF(ข้อมูลสูตร!$A231="","",ข้อมูลสูตร!F231)</f>
        <v>0</v>
      </c>
      <c r="F234" s="63">
        <f>IF(ข้อมูลสูตร!$A231="","",ข้อมูลสูตร!G231)</f>
        <v>0</v>
      </c>
      <c r="G234" s="63">
        <f>IF(ข้อมูลสูตร!$A231="","",ข้อมูลสูตร!H231)</f>
        <v>0</v>
      </c>
      <c r="H234" s="63">
        <f>IF(ข้อมูลสูตร!$A231="","",ข้อมูลสูตร!I231)</f>
        <v>0</v>
      </c>
      <c r="I234" s="63">
        <f>IF(ข้อมูลสูตร!$A231="","",ข้อมูลสูตร!J231)</f>
        <v>33</v>
      </c>
      <c r="J234" s="63">
        <f>IF(ข้อมูลสูตร!$A231="","",ข้อมูลสูตร!K231)</f>
        <v>0</v>
      </c>
      <c r="K234" s="63">
        <f>IF(ข้อมูลสูตร!$A231="","",ข้อมูลสูตร!L231)</f>
        <v>0</v>
      </c>
      <c r="L234" s="63">
        <f>IF(ข้อมูลสูตร!$A231="","",ข้อมูลสูตร!M231)</f>
        <v>0</v>
      </c>
      <c r="M234" s="63">
        <f>IF(ข้อมูลสูตร!$A231="","",ข้อมูลสูตร!N231)</f>
        <v>200</v>
      </c>
      <c r="N234" s="63">
        <f>IF(ข้อมูลสูตร!$A231="","",ข้อมูลสูตร!O231)</f>
        <v>0</v>
      </c>
      <c r="O234" s="63">
        <f>IF(ข้อมูลสูตร!$A231="","",ข้อมูลสูตร!P231)</f>
        <v>0</v>
      </c>
      <c r="P234" s="63">
        <f>IF(ข้อมูลสูตร!$A231="","",ข้อมูลสูตร!Q231)</f>
        <v>0</v>
      </c>
      <c r="Q234" s="63">
        <f>IF(ข้อมูลสูตร!$A231="","",ข้อมูลสูตร!R231)</f>
        <v>0</v>
      </c>
      <c r="R234" s="63">
        <f>IF(ข้อมูลสูตร!$A231="","",ข้อมูลสูตร!S231)</f>
        <v>300</v>
      </c>
      <c r="S234" s="63">
        <f>IF(ข้อมูลสูตร!$A231="","",ข้อมูลสูตร!T231)</f>
        <v>50</v>
      </c>
      <c r="T234" s="63">
        <f>IF(ข้อมูลสูตร!$A231="","",ข้อมูลสูตร!U231)</f>
        <v>0</v>
      </c>
      <c r="U234" s="64">
        <f>IF(ข้อมูลสูตร!$A231="","",ข้อมูลสูตร!V231)</f>
        <v>283</v>
      </c>
      <c r="V234" s="8">
        <f>IF(ข้อมูลสูตร!$A231="","",ข้อมูลสูตร!W231)</f>
        <v>72.09</v>
      </c>
      <c r="W234" s="64">
        <f>IF(ข้อมูลสูตร!$A231="","",ข้อมูลสูตร!X231)</f>
        <v>115</v>
      </c>
      <c r="X234" s="23">
        <f>IF(ข้อมูลสูตร!$A231="","",ข้อมูลสูตร!Y231)</f>
        <v>0.37313043478260866</v>
      </c>
      <c r="Y234" s="48" t="str">
        <f>IF(ข้อมูลสูตร!$A231="","",ข้อมูลสูตร!Z231)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4" s="48" t="str">
        <f>ข้อมูลสูตร!$A231</f>
        <v>Matcha Coconut Premium|22 oz|100%</v>
      </c>
    </row>
    <row r="235" spans="1:26" x14ac:dyDescent="0.25">
      <c r="A235" s="4" t="str">
        <f>IF(ข้อมูลสูตร!$A232="","",ข้อมูลสูตร!B232)</f>
        <v>Matcha Strawberry Premium</v>
      </c>
      <c r="B235" s="4" t="str">
        <f>IF(ข้อมูลสูตร!$A232="","",ข้อมูลสูตร!C232)</f>
        <v>16 oz</v>
      </c>
      <c r="C235" s="4" t="str">
        <f>IF(ข้อมูลสูตร!$A232="","",ข้อมูลสูตร!D232)</f>
        <v>0%</v>
      </c>
      <c r="D235" s="63">
        <f>IF(ข้อมูลสูตร!$A232="","",ข้อมูลสูตร!E232)</f>
        <v>0</v>
      </c>
      <c r="E235" s="63">
        <f>IF(ข้อมูลสูตร!$A232="","",ข้อมูลสูตร!F232)</f>
        <v>0</v>
      </c>
      <c r="F235" s="63">
        <f>IF(ข้อมูลสูตร!$A232="","",ข้อมูลสูตร!G232)</f>
        <v>120</v>
      </c>
      <c r="G235" s="63">
        <f>IF(ข้อมูลสูตร!$A232="","",ข้อมูลสูตร!H232)</f>
        <v>20</v>
      </c>
      <c r="H235" s="63">
        <f>IF(ข้อมูลสูตร!$A232="","",ข้อมูลสูตร!I232)</f>
        <v>0</v>
      </c>
      <c r="I235" s="63">
        <f>IF(ข้อมูลสูตร!$A232="","",ข้อมูลสูตร!J232)</f>
        <v>0</v>
      </c>
      <c r="J235" s="63">
        <f>IF(ข้อมูลสูตร!$A232="","",ข้อมูลสูตร!K232)</f>
        <v>0</v>
      </c>
      <c r="K235" s="63">
        <f>IF(ข้อมูลสูตร!$A232="","",ข้อมูลสูตร!L232)</f>
        <v>0</v>
      </c>
      <c r="L235" s="63">
        <f>IF(ข้อมูลสูตร!$A232="","",ข้อมูลสูตร!M232)</f>
        <v>0</v>
      </c>
      <c r="M235" s="63">
        <f>IF(ข้อมูลสูตร!$A232="","",ข้อมูลสูตร!N232)</f>
        <v>0</v>
      </c>
      <c r="N235" s="63">
        <f>IF(ข้อมูลสูตร!$A232="","",ข้อมูลสูตร!O232)</f>
        <v>25</v>
      </c>
      <c r="O235" s="63">
        <f>IF(ข้อมูลสูตร!$A232="","",ข้อมูลสูตร!P232)</f>
        <v>0</v>
      </c>
      <c r="P235" s="63">
        <f>IF(ข้อมูลสูตร!$A232="","",ข้อมูลสูตร!Q232)</f>
        <v>0</v>
      </c>
      <c r="Q235" s="63">
        <f>IF(ข้อมูลสูตร!$A232="","",ข้อมูลสูตร!R232)</f>
        <v>0</v>
      </c>
      <c r="R235" s="63">
        <f>IF(ข้อมูลสูตร!$A232="","",ข้อมูลสูตร!S232)</f>
        <v>240</v>
      </c>
      <c r="S235" s="63">
        <f>IF(ข้อมูลสูตร!$A232="","",ข้อมูลสูตร!T232)</f>
        <v>40</v>
      </c>
      <c r="T235" s="63">
        <f>IF(ข้อมูลสูตร!$A232="","",ข้อมูลสูตร!U232)</f>
        <v>0</v>
      </c>
      <c r="U235" s="64">
        <f>IF(ข้อมูลสูตร!$A232="","",ข้อมูลสูตร!V232)</f>
        <v>180</v>
      </c>
      <c r="V235" s="8">
        <f>IF(ข้อมูลสูตร!$A232="","",ข้อมูลสูตร!W232)</f>
        <v>57.37</v>
      </c>
      <c r="W235" s="64">
        <f>IF(ข้อมูลสูตร!$A232="","",ข้อมูลสูตร!X232)</f>
        <v>95</v>
      </c>
      <c r="X235" s="23">
        <f>IF(ข้อมูลสูตร!$A232="","",ข้อมูลสูตร!Y232)</f>
        <v>0.39610526315789474</v>
      </c>
      <c r="Y235" s="48" t="str">
        <f>IF(ข้อมูลสูตร!$A232="","",ข้อมูลสูตร!Z232)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5" s="48" t="str">
        <f>ข้อมูลสูตร!$A232</f>
        <v>Matcha Strawberry Premium|16 oz|0%</v>
      </c>
    </row>
    <row r="236" spans="1:26" x14ac:dyDescent="0.25">
      <c r="A236" s="4" t="str">
        <f>IF(ข้อมูลสูตร!$A233="","",ข้อมูลสูตร!B233)</f>
        <v>Matcha Strawberry Premium</v>
      </c>
      <c r="B236" s="4" t="str">
        <f>IF(ข้อมูลสูตร!$A233="","",ข้อมูลสูตร!C233)</f>
        <v>16 oz</v>
      </c>
      <c r="C236" s="4" t="str">
        <f>IF(ข้อมูลสูตร!$A233="","",ข้อมูลสูตร!D233)</f>
        <v>25%</v>
      </c>
      <c r="D236" s="63">
        <f>IF(ข้อมูลสูตร!$A233="","",ข้อมูลสูตร!E233)</f>
        <v>0</v>
      </c>
      <c r="E236" s="63">
        <f>IF(ข้อมูลสูตร!$A233="","",ข้อมูลสูตร!F233)</f>
        <v>0</v>
      </c>
      <c r="F236" s="63">
        <f>IF(ข้อมูลสูตร!$A233="","",ข้อมูลสูตร!G233)</f>
        <v>117</v>
      </c>
      <c r="G236" s="63">
        <f>IF(ข้อมูลสูตร!$A233="","",ข้อมูลสูตร!H233)</f>
        <v>20</v>
      </c>
      <c r="H236" s="63">
        <f>IF(ข้อมูลสูตร!$A233="","",ข้อมูลสูตร!I233)</f>
        <v>0</v>
      </c>
      <c r="I236" s="63">
        <f>IF(ข้อมูลสูตร!$A233="","",ข้อมูลสูตร!J233)</f>
        <v>5</v>
      </c>
      <c r="J236" s="63">
        <f>IF(ข้อมูลสูตร!$A233="","",ข้อมูลสูตร!K233)</f>
        <v>0</v>
      </c>
      <c r="K236" s="63">
        <f>IF(ข้อมูลสูตร!$A233="","",ข้อมูลสูตร!L233)</f>
        <v>0</v>
      </c>
      <c r="L236" s="63">
        <f>IF(ข้อมูลสูตร!$A233="","",ข้อมูลสูตร!M233)</f>
        <v>0</v>
      </c>
      <c r="M236" s="63">
        <f>IF(ข้อมูลสูตร!$A233="","",ข้อมูลสูตร!N233)</f>
        <v>0</v>
      </c>
      <c r="N236" s="63">
        <f>IF(ข้อมูลสูตร!$A233="","",ข้อมูลสูตร!O233)</f>
        <v>25</v>
      </c>
      <c r="O236" s="63">
        <f>IF(ข้อมูลสูตร!$A233="","",ข้อมูลสูตร!P233)</f>
        <v>0</v>
      </c>
      <c r="P236" s="63">
        <f>IF(ข้อมูลสูตร!$A233="","",ข้อมูลสูตร!Q233)</f>
        <v>0</v>
      </c>
      <c r="Q236" s="63">
        <f>IF(ข้อมูลสูตร!$A233="","",ข้อมูลสูตร!R233)</f>
        <v>0</v>
      </c>
      <c r="R236" s="63">
        <f>IF(ข้อมูลสูตร!$A233="","",ข้อมูลสูตร!S233)</f>
        <v>240</v>
      </c>
      <c r="S236" s="63">
        <f>IF(ข้อมูลสูตร!$A233="","",ข้อมูลสูตร!T233)</f>
        <v>40</v>
      </c>
      <c r="T236" s="63">
        <f>IF(ข้อมูลสูตร!$A233="","",ข้อมูลสูตร!U233)</f>
        <v>0</v>
      </c>
      <c r="U236" s="64">
        <f>IF(ข้อมูลสูตร!$A233="","",ข้อมูลสูตร!V233)</f>
        <v>182</v>
      </c>
      <c r="V236" s="8">
        <f>IF(ข้อมูลสูตร!$A233="","",ข้อมูลสูตร!W233)</f>
        <v>57.31</v>
      </c>
      <c r="W236" s="64">
        <f>IF(ข้อมูลสูตร!$A233="","",ข้อมูลสูตร!X233)</f>
        <v>95</v>
      </c>
      <c r="X236" s="23">
        <f>IF(ข้อมูลสูตร!$A233="","",ข้อมูลสูตร!Y233)</f>
        <v>0.39673684210526311</v>
      </c>
      <c r="Y236" s="48" t="str">
        <f>IF(ข้อมูลสูตร!$A233="","",ข้อมูลสูตร!Z233)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6" s="48" t="str">
        <f>ข้อมูลสูตร!$A233</f>
        <v>Matcha Strawberry Premium|16 oz|25%</v>
      </c>
    </row>
    <row r="237" spans="1:26" x14ac:dyDescent="0.25">
      <c r="A237" s="4" t="str">
        <f>IF(ข้อมูลสูตร!$A234="","",ข้อมูลสูตร!B234)</f>
        <v>Matcha Strawberry Premium</v>
      </c>
      <c r="B237" s="4" t="str">
        <f>IF(ข้อมูลสูตร!$A234="","",ข้อมูลสูตร!C234)</f>
        <v>16 oz</v>
      </c>
      <c r="C237" s="4" t="str">
        <f>IF(ข้อมูลสูตร!$A234="","",ข้อมูลสูตร!D234)</f>
        <v>50%</v>
      </c>
      <c r="D237" s="63">
        <f>IF(ข้อมูลสูตร!$A234="","",ข้อมูลสูตร!E234)</f>
        <v>0</v>
      </c>
      <c r="E237" s="63">
        <f>IF(ข้อมูลสูตร!$A234="","",ข้อมูลสูตร!F234)</f>
        <v>0</v>
      </c>
      <c r="F237" s="63">
        <f>IF(ข้อมูลสูตร!$A234="","",ข้อมูลสูตร!G234)</f>
        <v>114</v>
      </c>
      <c r="G237" s="63">
        <f>IF(ข้อมูลสูตร!$A234="","",ข้อมูลสูตร!H234)</f>
        <v>20</v>
      </c>
      <c r="H237" s="63">
        <f>IF(ข้อมูลสูตร!$A234="","",ข้อมูลสูตร!I234)</f>
        <v>0</v>
      </c>
      <c r="I237" s="63">
        <f>IF(ข้อมูลสูตร!$A234="","",ข้อมูลสูตร!J234)</f>
        <v>10</v>
      </c>
      <c r="J237" s="63">
        <f>IF(ข้อมูลสูตร!$A234="","",ข้อมูลสูตร!K234)</f>
        <v>0</v>
      </c>
      <c r="K237" s="63">
        <f>IF(ข้อมูลสูตร!$A234="","",ข้อมูลสูตร!L234)</f>
        <v>0</v>
      </c>
      <c r="L237" s="63">
        <f>IF(ข้อมูลสูตร!$A234="","",ข้อมูลสูตร!M234)</f>
        <v>0</v>
      </c>
      <c r="M237" s="63">
        <f>IF(ข้อมูลสูตร!$A234="","",ข้อมูลสูตร!N234)</f>
        <v>0</v>
      </c>
      <c r="N237" s="63">
        <f>IF(ข้อมูลสูตร!$A234="","",ข้อมูลสูตร!O234)</f>
        <v>25</v>
      </c>
      <c r="O237" s="63">
        <f>IF(ข้อมูลสูตร!$A234="","",ข้อมูลสูตร!P234)</f>
        <v>0</v>
      </c>
      <c r="P237" s="63">
        <f>IF(ข้อมูลสูตร!$A234="","",ข้อมูลสูตร!Q234)</f>
        <v>0</v>
      </c>
      <c r="Q237" s="63">
        <f>IF(ข้อมูลสูตร!$A234="","",ข้อมูลสูตร!R234)</f>
        <v>0</v>
      </c>
      <c r="R237" s="63">
        <f>IF(ข้อมูลสูตร!$A234="","",ข้อมูลสูตร!S234)</f>
        <v>240</v>
      </c>
      <c r="S237" s="63">
        <f>IF(ข้อมูลสูตร!$A234="","",ข้อมูลสูตร!T234)</f>
        <v>40</v>
      </c>
      <c r="T237" s="63">
        <f>IF(ข้อมูลสูตร!$A234="","",ข้อมูลสูตร!U234)</f>
        <v>0</v>
      </c>
      <c r="U237" s="64">
        <f>IF(ข้อมูลสูตร!$A234="","",ข้อมูลสูตร!V234)</f>
        <v>184</v>
      </c>
      <c r="V237" s="8">
        <f>IF(ข้อมูลสูตร!$A234="","",ข้อมูลสูตร!W234)</f>
        <v>57.25</v>
      </c>
      <c r="W237" s="64">
        <f>IF(ข้อมูลสูตร!$A234="","",ข้อมูลสูตร!X234)</f>
        <v>95</v>
      </c>
      <c r="X237" s="23">
        <f>IF(ข้อมูลสูตร!$A234="","",ข้อมูลสูตร!Y234)</f>
        <v>0.39736842105263159</v>
      </c>
      <c r="Y237" s="48" t="str">
        <f>IF(ข้อมูลสูตร!$A234="","",ข้อมูลสูตร!Z234)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7" s="48" t="str">
        <f>ข้อมูลสูตร!$A234</f>
        <v>Matcha Strawberry Premium|16 oz|50%</v>
      </c>
    </row>
    <row r="238" spans="1:26" x14ac:dyDescent="0.25">
      <c r="A238" s="4" t="str">
        <f>IF(ข้อมูลสูตร!$A235="","",ข้อมูลสูตร!B235)</f>
        <v>Matcha Strawberry Premium</v>
      </c>
      <c r="B238" s="4" t="str">
        <f>IF(ข้อมูลสูตร!$A235="","",ข้อมูลสูตร!C235)</f>
        <v>16 oz</v>
      </c>
      <c r="C238" s="4" t="str">
        <f>IF(ข้อมูลสูตร!$A235="","",ข้อมูลสูตร!D235)</f>
        <v>75%</v>
      </c>
      <c r="D238" s="63">
        <f>IF(ข้อมูลสูตร!$A235="","",ข้อมูลสูตร!E235)</f>
        <v>0</v>
      </c>
      <c r="E238" s="63">
        <f>IF(ข้อมูลสูตร!$A235="","",ข้อมูลสูตร!F235)</f>
        <v>0</v>
      </c>
      <c r="F238" s="63">
        <f>IF(ข้อมูลสูตร!$A235="","",ข้อมูลสูตร!G235)</f>
        <v>111</v>
      </c>
      <c r="G238" s="63">
        <f>IF(ข้อมูลสูตร!$A235="","",ข้อมูลสูตร!H235)</f>
        <v>20</v>
      </c>
      <c r="H238" s="63">
        <f>IF(ข้อมูลสูตร!$A235="","",ข้อมูลสูตร!I235)</f>
        <v>0</v>
      </c>
      <c r="I238" s="63">
        <f>IF(ข้อมูลสูตร!$A235="","",ข้อมูลสูตร!J235)</f>
        <v>15</v>
      </c>
      <c r="J238" s="63">
        <f>IF(ข้อมูลสูตร!$A235="","",ข้อมูลสูตร!K235)</f>
        <v>0</v>
      </c>
      <c r="K238" s="63">
        <f>IF(ข้อมูลสูตร!$A235="","",ข้อมูลสูตร!L235)</f>
        <v>0</v>
      </c>
      <c r="L238" s="63">
        <f>IF(ข้อมูลสูตร!$A235="","",ข้อมูลสูตร!M235)</f>
        <v>0</v>
      </c>
      <c r="M238" s="63">
        <f>IF(ข้อมูลสูตร!$A235="","",ข้อมูลสูตร!N235)</f>
        <v>0</v>
      </c>
      <c r="N238" s="63">
        <f>IF(ข้อมูลสูตร!$A235="","",ข้อมูลสูตร!O235)</f>
        <v>25</v>
      </c>
      <c r="O238" s="63">
        <f>IF(ข้อมูลสูตร!$A235="","",ข้อมูลสูตร!P235)</f>
        <v>0</v>
      </c>
      <c r="P238" s="63">
        <f>IF(ข้อมูลสูตร!$A235="","",ข้อมูลสูตร!Q235)</f>
        <v>0</v>
      </c>
      <c r="Q238" s="63">
        <f>IF(ข้อมูลสูตร!$A235="","",ข้อมูลสูตร!R235)</f>
        <v>0</v>
      </c>
      <c r="R238" s="63">
        <f>IF(ข้อมูลสูตร!$A235="","",ข้อมูลสูตร!S235)</f>
        <v>240</v>
      </c>
      <c r="S238" s="63">
        <f>IF(ข้อมูลสูตร!$A235="","",ข้อมูลสูตร!T235)</f>
        <v>40</v>
      </c>
      <c r="T238" s="63">
        <f>IF(ข้อมูลสูตร!$A235="","",ข้อมูลสูตร!U235)</f>
        <v>0</v>
      </c>
      <c r="U238" s="64">
        <f>IF(ข้อมูลสูตร!$A235="","",ข้อมูลสูตร!V235)</f>
        <v>186</v>
      </c>
      <c r="V238" s="8">
        <f>IF(ข้อมูลสูตร!$A235="","",ข้อมูลสูตร!W235)</f>
        <v>57.19</v>
      </c>
      <c r="W238" s="64">
        <f>IF(ข้อมูลสูตร!$A235="","",ข้อมูลสูตร!X235)</f>
        <v>95</v>
      </c>
      <c r="X238" s="23">
        <f>IF(ข้อมูลสูตร!$A235="","",ข้อมูลสูตร!Y235)</f>
        <v>0.39800000000000002</v>
      </c>
      <c r="Y238" s="48" t="str">
        <f>IF(ข้อมูลสูตร!$A235="","",ข้อมูลสูตร!Z235)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8" s="48" t="str">
        <f>ข้อมูลสูตร!$A235</f>
        <v>Matcha Strawberry Premium|16 oz|75%</v>
      </c>
    </row>
    <row r="239" spans="1:26" x14ac:dyDescent="0.25">
      <c r="A239" s="4" t="str">
        <f>IF(ข้อมูลสูตร!$A236="","",ข้อมูลสูตร!B236)</f>
        <v>Matcha Strawberry Premium</v>
      </c>
      <c r="B239" s="4" t="str">
        <f>IF(ข้อมูลสูตร!$A236="","",ข้อมูลสูตร!C236)</f>
        <v>16 oz</v>
      </c>
      <c r="C239" s="4" t="str">
        <f>IF(ข้อมูลสูตร!$A236="","",ข้อมูลสูตร!D236)</f>
        <v>100%</v>
      </c>
      <c r="D239" s="63">
        <f>IF(ข้อมูลสูตร!$A236="","",ข้อมูลสูตร!E236)</f>
        <v>0</v>
      </c>
      <c r="E239" s="63">
        <f>IF(ข้อมูลสูตร!$A236="","",ข้อมูลสูตร!F236)</f>
        <v>0</v>
      </c>
      <c r="F239" s="63">
        <f>IF(ข้อมูลสูตร!$A236="","",ข้อมูลสูตร!G236)</f>
        <v>108</v>
      </c>
      <c r="G239" s="63">
        <f>IF(ข้อมูลสูตร!$A236="","",ข้อมูลสูตร!H236)</f>
        <v>20</v>
      </c>
      <c r="H239" s="63">
        <f>IF(ข้อมูลสูตร!$A236="","",ข้อมูลสูตร!I236)</f>
        <v>0</v>
      </c>
      <c r="I239" s="63">
        <f>IF(ข้อมูลสูตร!$A236="","",ข้อมูลสูตร!J236)</f>
        <v>20</v>
      </c>
      <c r="J239" s="63">
        <f>IF(ข้อมูลสูตร!$A236="","",ข้อมูลสูตร!K236)</f>
        <v>0</v>
      </c>
      <c r="K239" s="63">
        <f>IF(ข้อมูลสูตร!$A236="","",ข้อมูลสูตร!L236)</f>
        <v>0</v>
      </c>
      <c r="L239" s="63">
        <f>IF(ข้อมูลสูตร!$A236="","",ข้อมูลสูตร!M236)</f>
        <v>0</v>
      </c>
      <c r="M239" s="63">
        <f>IF(ข้อมูลสูตร!$A236="","",ข้อมูลสูตร!N236)</f>
        <v>0</v>
      </c>
      <c r="N239" s="63">
        <f>IF(ข้อมูลสูตร!$A236="","",ข้อมูลสูตร!O236)</f>
        <v>25</v>
      </c>
      <c r="O239" s="63">
        <f>IF(ข้อมูลสูตร!$A236="","",ข้อมูลสูตร!P236)</f>
        <v>0</v>
      </c>
      <c r="P239" s="63">
        <f>IF(ข้อมูลสูตร!$A236="","",ข้อมูลสูตร!Q236)</f>
        <v>0</v>
      </c>
      <c r="Q239" s="63">
        <f>IF(ข้อมูลสูตร!$A236="","",ข้อมูลสูตร!R236)</f>
        <v>0</v>
      </c>
      <c r="R239" s="63">
        <f>IF(ข้อมูลสูตร!$A236="","",ข้อมูลสูตร!S236)</f>
        <v>240</v>
      </c>
      <c r="S239" s="63">
        <f>IF(ข้อมูลสูตร!$A236="","",ข้อมูลสูตร!T236)</f>
        <v>40</v>
      </c>
      <c r="T239" s="63">
        <f>IF(ข้อมูลสูตร!$A236="","",ข้อมูลสูตร!U236)</f>
        <v>0</v>
      </c>
      <c r="U239" s="64">
        <f>IF(ข้อมูลสูตร!$A236="","",ข้อมูลสูตร!V236)</f>
        <v>188</v>
      </c>
      <c r="V239" s="8">
        <f>IF(ข้อมูลสูตร!$A236="","",ข้อมูลสูตร!W236)</f>
        <v>57.13</v>
      </c>
      <c r="W239" s="64">
        <f>IF(ข้อมูลสูตร!$A236="","",ข้อมูลสูตร!X236)</f>
        <v>95</v>
      </c>
      <c r="X239" s="23">
        <f>IF(ข้อมูลสูตร!$A236="","",ข้อมูลสูตร!Y236)</f>
        <v>0.39863157894736839</v>
      </c>
      <c r="Y239" s="48" t="str">
        <f>IF(ข้อมูลสูตร!$A236="","",ข้อมูลสูตร!Z236)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39" s="48" t="str">
        <f>ข้อมูลสูตร!$A236</f>
        <v>Matcha Strawberry Premium|16 oz|100%</v>
      </c>
    </row>
    <row r="240" spans="1:26" x14ac:dyDescent="0.25">
      <c r="A240" s="4" t="str">
        <f>IF(ข้อมูลสูตร!$A237="","",ข้อมูลสูตร!B237)</f>
        <v>Matcha Strawberry Premium</v>
      </c>
      <c r="B240" s="4" t="str">
        <f>IF(ข้อมูลสูตร!$A237="","",ข้อมูลสูตร!C237)</f>
        <v>22 oz</v>
      </c>
      <c r="C240" s="4" t="str">
        <f>IF(ข้อมูลสูตร!$A237="","",ข้อมูลสูตร!D237)</f>
        <v>0%</v>
      </c>
      <c r="D240" s="63">
        <f>IF(ข้อมูลสูตร!$A237="","",ข้อมูลสูตร!E237)</f>
        <v>0</v>
      </c>
      <c r="E240" s="63">
        <f>IF(ข้อมูลสูตร!$A237="","",ข้อมูลสูตร!F237)</f>
        <v>0</v>
      </c>
      <c r="F240" s="63">
        <f>IF(ข้อมูลสูตร!$A237="","",ข้อมูลสูตร!G237)</f>
        <v>175</v>
      </c>
      <c r="G240" s="63">
        <f>IF(ข้อมูลสูตร!$A237="","",ข้อมูลสูตร!H237)</f>
        <v>27.5</v>
      </c>
      <c r="H240" s="63">
        <f>IF(ข้อมูลสูตร!$A237="","",ข้อมูลสูตร!I237)</f>
        <v>0</v>
      </c>
      <c r="I240" s="63">
        <f>IF(ข้อมูลสูตร!$A237="","",ข้อมูลสูตร!J237)</f>
        <v>0</v>
      </c>
      <c r="J240" s="63">
        <f>IF(ข้อมูลสูตร!$A237="","",ข้อมูลสูตร!K237)</f>
        <v>0</v>
      </c>
      <c r="K240" s="63">
        <f>IF(ข้อมูลสูตร!$A237="","",ข้อมูลสูตร!L237)</f>
        <v>0</v>
      </c>
      <c r="L240" s="63">
        <f>IF(ข้อมูลสูตร!$A237="","",ข้อมูลสูตร!M237)</f>
        <v>0</v>
      </c>
      <c r="M240" s="63">
        <f>IF(ข้อมูลสูตร!$A237="","",ข้อมูลสูตร!N237)</f>
        <v>0</v>
      </c>
      <c r="N240" s="63">
        <f>IF(ข้อมูลสูตร!$A237="","",ข้อมูลสูตร!O237)</f>
        <v>35</v>
      </c>
      <c r="O240" s="63">
        <f>IF(ข้อมูลสูตร!$A237="","",ข้อมูลสูตร!P237)</f>
        <v>0</v>
      </c>
      <c r="P240" s="63">
        <f>IF(ข้อมูลสูตร!$A237="","",ข้อมูลสูตร!Q237)</f>
        <v>0</v>
      </c>
      <c r="Q240" s="63">
        <f>IF(ข้อมูลสูตร!$A237="","",ข้อมูลสูตร!R237)</f>
        <v>0</v>
      </c>
      <c r="R240" s="63">
        <f>IF(ข้อมูลสูตร!$A237="","",ข้อมูลสูตร!S237)</f>
        <v>330</v>
      </c>
      <c r="S240" s="63">
        <f>IF(ข้อมูลสูตร!$A237="","",ข้อมูลสูตร!T237)</f>
        <v>50</v>
      </c>
      <c r="T240" s="63">
        <f>IF(ข้อมูลสูตร!$A237="","",ข้อมูลสูตร!U237)</f>
        <v>0</v>
      </c>
      <c r="U240" s="64">
        <f>IF(ข้อมูลสูตร!$A237="","",ข้อมูลสูตร!V237)</f>
        <v>252.5</v>
      </c>
      <c r="V240" s="8">
        <f>IF(ข้อมูลสูตร!$A237="","",ข้อมูลสูตร!W237)</f>
        <v>73.989999999999995</v>
      </c>
      <c r="W240" s="64">
        <f>IF(ข้อมูลสูตร!$A237="","",ข้อมูลสูตร!X237)</f>
        <v>120</v>
      </c>
      <c r="X240" s="23">
        <f>IF(ข้อมูลสูตร!$A237="","",ข้อมูลสูตร!Y237)</f>
        <v>0.38341666666666668</v>
      </c>
      <c r="Y240" s="48" t="str">
        <f>IF(ข้อมูลสูตร!$A237="","",ข้อมูลสูตร!Z237)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40" s="48" t="str">
        <f>ข้อมูลสูตร!$A237</f>
        <v>Matcha Strawberry Premium|22 oz|0%</v>
      </c>
    </row>
    <row r="241" spans="1:26" x14ac:dyDescent="0.25">
      <c r="A241" s="4" t="str">
        <f>IF(ข้อมูลสูตร!$A238="","",ข้อมูลสูตร!B238)</f>
        <v>Matcha Strawberry Premium</v>
      </c>
      <c r="B241" s="4" t="str">
        <f>IF(ข้อมูลสูตร!$A238="","",ข้อมูลสูตร!C238)</f>
        <v>22 oz</v>
      </c>
      <c r="C241" s="4" t="str">
        <f>IF(ข้อมูลสูตร!$A238="","",ข้อมูลสูตร!D238)</f>
        <v>25%</v>
      </c>
      <c r="D241" s="63">
        <f>IF(ข้อมูลสูตร!$A238="","",ข้อมูลสูตร!E238)</f>
        <v>0</v>
      </c>
      <c r="E241" s="63">
        <f>IF(ข้อมูลสูตร!$A238="","",ข้อมูลสูตร!F238)</f>
        <v>0</v>
      </c>
      <c r="F241" s="63">
        <f>IF(ข้อมูลสูตร!$A238="","",ข้อมูลสูตร!G238)</f>
        <v>171</v>
      </c>
      <c r="G241" s="63">
        <f>IF(ข้อมูลสูตร!$A238="","",ข้อมูลสูตร!H238)</f>
        <v>27.5</v>
      </c>
      <c r="H241" s="63">
        <f>IF(ข้อมูลสูตร!$A238="","",ข้อมูลสูตร!I238)</f>
        <v>0</v>
      </c>
      <c r="I241" s="63">
        <f>IF(ข้อมูลสูตร!$A238="","",ข้อมูลสูตร!J238)</f>
        <v>6</v>
      </c>
      <c r="J241" s="63">
        <f>IF(ข้อมูลสูตร!$A238="","",ข้อมูลสูตร!K238)</f>
        <v>0</v>
      </c>
      <c r="K241" s="63">
        <f>IF(ข้อมูลสูตร!$A238="","",ข้อมูลสูตร!L238)</f>
        <v>0</v>
      </c>
      <c r="L241" s="63">
        <f>IF(ข้อมูลสูตร!$A238="","",ข้อมูลสูตร!M238)</f>
        <v>0</v>
      </c>
      <c r="M241" s="63">
        <f>IF(ข้อมูลสูตร!$A238="","",ข้อมูลสูตร!N238)</f>
        <v>0</v>
      </c>
      <c r="N241" s="63">
        <f>IF(ข้อมูลสูตร!$A238="","",ข้อมูลสูตร!O238)</f>
        <v>35</v>
      </c>
      <c r="O241" s="63">
        <f>IF(ข้อมูลสูตร!$A238="","",ข้อมูลสูตร!P238)</f>
        <v>0</v>
      </c>
      <c r="P241" s="63">
        <f>IF(ข้อมูลสูตร!$A238="","",ข้อมูลสูตร!Q238)</f>
        <v>0</v>
      </c>
      <c r="Q241" s="63">
        <f>IF(ข้อมูลสูตร!$A238="","",ข้อมูลสูตร!R238)</f>
        <v>0</v>
      </c>
      <c r="R241" s="63">
        <f>IF(ข้อมูลสูตร!$A238="","",ข้อมูลสูตร!S238)</f>
        <v>330</v>
      </c>
      <c r="S241" s="63">
        <f>IF(ข้อมูลสูตร!$A238="","",ข้อมูลสูตร!T238)</f>
        <v>50</v>
      </c>
      <c r="T241" s="63">
        <f>IF(ข้อมูลสูตร!$A238="","",ข้อมูลสูตร!U238)</f>
        <v>0</v>
      </c>
      <c r="U241" s="64">
        <f>IF(ข้อมูลสูตร!$A238="","",ข้อมูลสูตร!V238)</f>
        <v>254.5</v>
      </c>
      <c r="V241" s="8">
        <f>IF(ข้อมูลสูตร!$A238="","",ข้อมูลสูตร!W238)</f>
        <v>73.900000000000006</v>
      </c>
      <c r="W241" s="64">
        <f>IF(ข้อมูลสูตร!$A238="","",ข้อมูลสูตร!X238)</f>
        <v>120</v>
      </c>
      <c r="X241" s="23">
        <f>IF(ข้อมูลสูตร!$A238="","",ข้อมูลสูตร!Y238)</f>
        <v>0.3841666666666666</v>
      </c>
      <c r="Y241" s="48" t="str">
        <f>IF(ข้อมูลสูตร!$A238="","",ข้อมูลสูตร!Z238)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41" s="48" t="str">
        <f>ข้อมูลสูตร!$A238</f>
        <v>Matcha Strawberry Premium|22 oz|25%</v>
      </c>
    </row>
    <row r="242" spans="1:26" x14ac:dyDescent="0.25">
      <c r="A242" s="4" t="str">
        <f>IF(ข้อมูลสูตร!$A239="","",ข้อมูลสูตร!B239)</f>
        <v>Matcha Strawberry Premium</v>
      </c>
      <c r="B242" s="4" t="str">
        <f>IF(ข้อมูลสูตร!$A239="","",ข้อมูลสูตร!C239)</f>
        <v>22 oz</v>
      </c>
      <c r="C242" s="4" t="str">
        <f>IF(ข้อมูลสูตร!$A239="","",ข้อมูลสูตร!D239)</f>
        <v>50%</v>
      </c>
      <c r="D242" s="63">
        <f>IF(ข้อมูลสูตร!$A239="","",ข้อมูลสูตร!E239)</f>
        <v>0</v>
      </c>
      <c r="E242" s="63">
        <f>IF(ข้อมูลสูตร!$A239="","",ข้อมูลสูตร!F239)</f>
        <v>0</v>
      </c>
      <c r="F242" s="63">
        <f>IF(ข้อมูลสูตร!$A239="","",ข้อมูลสูตร!G239)</f>
        <v>167</v>
      </c>
      <c r="G242" s="63">
        <f>IF(ข้อมูลสูตร!$A239="","",ข้อมูลสูตร!H239)</f>
        <v>27.5</v>
      </c>
      <c r="H242" s="63">
        <f>IF(ข้อมูลสูตร!$A239="","",ข้อมูลสูตร!I239)</f>
        <v>0</v>
      </c>
      <c r="I242" s="63">
        <f>IF(ข้อมูลสูตร!$A239="","",ข้อมูลสูตร!J239)</f>
        <v>12</v>
      </c>
      <c r="J242" s="63">
        <f>IF(ข้อมูลสูตร!$A239="","",ข้อมูลสูตร!K239)</f>
        <v>0</v>
      </c>
      <c r="K242" s="63">
        <f>IF(ข้อมูลสูตร!$A239="","",ข้อมูลสูตร!L239)</f>
        <v>0</v>
      </c>
      <c r="L242" s="63">
        <f>IF(ข้อมูลสูตร!$A239="","",ข้อมูลสูตร!M239)</f>
        <v>0</v>
      </c>
      <c r="M242" s="63">
        <f>IF(ข้อมูลสูตร!$A239="","",ข้อมูลสูตร!N239)</f>
        <v>0</v>
      </c>
      <c r="N242" s="63">
        <f>IF(ข้อมูลสูตร!$A239="","",ข้อมูลสูตร!O239)</f>
        <v>35</v>
      </c>
      <c r="O242" s="63">
        <f>IF(ข้อมูลสูตร!$A239="","",ข้อมูลสูตร!P239)</f>
        <v>0</v>
      </c>
      <c r="P242" s="63">
        <f>IF(ข้อมูลสูตร!$A239="","",ข้อมูลสูตร!Q239)</f>
        <v>0</v>
      </c>
      <c r="Q242" s="63">
        <f>IF(ข้อมูลสูตร!$A239="","",ข้อมูลสูตร!R239)</f>
        <v>0</v>
      </c>
      <c r="R242" s="63">
        <f>IF(ข้อมูลสูตร!$A239="","",ข้อมูลสูตร!S239)</f>
        <v>330</v>
      </c>
      <c r="S242" s="63">
        <f>IF(ข้อมูลสูตร!$A239="","",ข้อมูลสูตร!T239)</f>
        <v>50</v>
      </c>
      <c r="T242" s="63">
        <f>IF(ข้อมูลสูตร!$A239="","",ข้อมูลสูตร!U239)</f>
        <v>0</v>
      </c>
      <c r="U242" s="64">
        <f>IF(ข้อมูลสูตร!$A239="","",ข้อมูลสูตร!V239)</f>
        <v>256.5</v>
      </c>
      <c r="V242" s="8">
        <f>IF(ข้อมูลสูตร!$A239="","",ข้อมูลสูตร!W239)</f>
        <v>73.81</v>
      </c>
      <c r="W242" s="64">
        <f>IF(ข้อมูลสูตร!$A239="","",ข้อมูลสูตร!X239)</f>
        <v>120</v>
      </c>
      <c r="X242" s="23">
        <f>IF(ข้อมูลสูตร!$A239="","",ข้อมูลสูตร!Y239)</f>
        <v>0.38491666666666663</v>
      </c>
      <c r="Y242" s="48" t="str">
        <f>IF(ข้อมูลสูตร!$A239="","",ข้อมูลสูตร!Z239)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42" s="48" t="str">
        <f>ข้อมูลสูตร!$A239</f>
        <v>Matcha Strawberry Premium|22 oz|50%</v>
      </c>
    </row>
    <row r="243" spans="1:26" x14ac:dyDescent="0.25">
      <c r="A243" s="4" t="str">
        <f>IF(ข้อมูลสูตร!$A240="","",ข้อมูลสูตร!B240)</f>
        <v>Matcha Strawberry Premium</v>
      </c>
      <c r="B243" s="4" t="str">
        <f>IF(ข้อมูลสูตร!$A240="","",ข้อมูลสูตร!C240)</f>
        <v>22 oz</v>
      </c>
      <c r="C243" s="4" t="str">
        <f>IF(ข้อมูลสูตร!$A240="","",ข้อมูลสูตร!D240)</f>
        <v>75%</v>
      </c>
      <c r="D243" s="63">
        <f>IF(ข้อมูลสูตร!$A240="","",ข้อมูลสูตร!E240)</f>
        <v>0</v>
      </c>
      <c r="E243" s="63">
        <f>IF(ข้อมูลสูตร!$A240="","",ข้อมูลสูตร!F240)</f>
        <v>0</v>
      </c>
      <c r="F243" s="63">
        <f>IF(ข้อมูลสูตร!$A240="","",ข้อมูลสูตร!G240)</f>
        <v>163</v>
      </c>
      <c r="G243" s="63">
        <f>IF(ข้อมูลสูตร!$A240="","",ข้อมูลสูตร!H240)</f>
        <v>27.5</v>
      </c>
      <c r="H243" s="63">
        <f>IF(ข้อมูลสูตร!$A240="","",ข้อมูลสูตร!I240)</f>
        <v>0</v>
      </c>
      <c r="I243" s="63">
        <f>IF(ข้อมูลสูตร!$A240="","",ข้อมูลสูตร!J240)</f>
        <v>18</v>
      </c>
      <c r="J243" s="63">
        <f>IF(ข้อมูลสูตร!$A240="","",ข้อมูลสูตร!K240)</f>
        <v>0</v>
      </c>
      <c r="K243" s="63">
        <f>IF(ข้อมูลสูตร!$A240="","",ข้อมูลสูตร!L240)</f>
        <v>0</v>
      </c>
      <c r="L243" s="63">
        <f>IF(ข้อมูลสูตร!$A240="","",ข้อมูลสูตร!M240)</f>
        <v>0</v>
      </c>
      <c r="M243" s="63">
        <f>IF(ข้อมูลสูตร!$A240="","",ข้อมูลสูตร!N240)</f>
        <v>0</v>
      </c>
      <c r="N243" s="63">
        <f>IF(ข้อมูลสูตร!$A240="","",ข้อมูลสูตร!O240)</f>
        <v>35</v>
      </c>
      <c r="O243" s="63">
        <f>IF(ข้อมูลสูตร!$A240="","",ข้อมูลสูตร!P240)</f>
        <v>0</v>
      </c>
      <c r="P243" s="63">
        <f>IF(ข้อมูลสูตร!$A240="","",ข้อมูลสูตร!Q240)</f>
        <v>0</v>
      </c>
      <c r="Q243" s="63">
        <f>IF(ข้อมูลสูตร!$A240="","",ข้อมูลสูตร!R240)</f>
        <v>0</v>
      </c>
      <c r="R243" s="63">
        <f>IF(ข้อมูลสูตร!$A240="","",ข้อมูลสูตร!S240)</f>
        <v>330</v>
      </c>
      <c r="S243" s="63">
        <f>IF(ข้อมูลสูตร!$A240="","",ข้อมูลสูตร!T240)</f>
        <v>50</v>
      </c>
      <c r="T243" s="63">
        <f>IF(ข้อมูลสูตร!$A240="","",ข้อมูลสูตร!U240)</f>
        <v>0</v>
      </c>
      <c r="U243" s="64">
        <f>IF(ข้อมูลสูตร!$A240="","",ข้อมูลสูตร!V240)</f>
        <v>258.5</v>
      </c>
      <c r="V243" s="8">
        <f>IF(ข้อมูลสูตร!$A240="","",ข้อมูลสูตร!W240)</f>
        <v>73.72</v>
      </c>
      <c r="W243" s="64">
        <f>IF(ข้อมูลสูตร!$A240="","",ข้อมูลสูตร!X240)</f>
        <v>120</v>
      </c>
      <c r="X243" s="23">
        <f>IF(ข้อมูลสูตร!$A240="","",ข้อมูลสูตร!Y240)</f>
        <v>0.38566666666666666</v>
      </c>
      <c r="Y243" s="48" t="str">
        <f>IF(ข้อมูลสูตร!$A240="","",ข้อมูลสูตร!Z240)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43" s="48" t="str">
        <f>ข้อมูลสูตร!$A240</f>
        <v>Matcha Strawberry Premium|22 oz|75%</v>
      </c>
    </row>
    <row r="244" spans="1:26" x14ac:dyDescent="0.25">
      <c r="A244" s="4" t="str">
        <f>IF(ข้อมูลสูตร!$A241="","",ข้อมูลสูตร!B241)</f>
        <v>Matcha Strawberry Premium</v>
      </c>
      <c r="B244" s="4" t="str">
        <f>IF(ข้อมูลสูตร!$A241="","",ข้อมูลสูตร!C241)</f>
        <v>22 oz</v>
      </c>
      <c r="C244" s="4" t="str">
        <f>IF(ข้อมูลสูตร!$A241="","",ข้อมูลสูตร!D241)</f>
        <v>100%</v>
      </c>
      <c r="D244" s="63">
        <f>IF(ข้อมูลสูตร!$A241="","",ข้อมูลสูตร!E241)</f>
        <v>0</v>
      </c>
      <c r="E244" s="63">
        <f>IF(ข้อมูลสูตร!$A241="","",ข้อมูลสูตร!F241)</f>
        <v>0</v>
      </c>
      <c r="F244" s="63">
        <f>IF(ข้อมูลสูตร!$A241="","",ข้อมูลสูตร!G241)</f>
        <v>159</v>
      </c>
      <c r="G244" s="63">
        <f>IF(ข้อมูลสูตร!$A241="","",ข้อมูลสูตร!H241)</f>
        <v>27.5</v>
      </c>
      <c r="H244" s="63">
        <f>IF(ข้อมูลสูตร!$A241="","",ข้อมูลสูตร!I241)</f>
        <v>0</v>
      </c>
      <c r="I244" s="63">
        <f>IF(ข้อมูลสูตร!$A241="","",ข้อมูลสูตร!J241)</f>
        <v>24</v>
      </c>
      <c r="J244" s="63">
        <f>IF(ข้อมูลสูตร!$A241="","",ข้อมูลสูตร!K241)</f>
        <v>0</v>
      </c>
      <c r="K244" s="63">
        <f>IF(ข้อมูลสูตร!$A241="","",ข้อมูลสูตร!L241)</f>
        <v>0</v>
      </c>
      <c r="L244" s="63">
        <f>IF(ข้อมูลสูตร!$A241="","",ข้อมูลสูตร!M241)</f>
        <v>0</v>
      </c>
      <c r="M244" s="63">
        <f>IF(ข้อมูลสูตร!$A241="","",ข้อมูลสูตร!N241)</f>
        <v>0</v>
      </c>
      <c r="N244" s="63">
        <f>IF(ข้อมูลสูตร!$A241="","",ข้อมูลสูตร!O241)</f>
        <v>35</v>
      </c>
      <c r="O244" s="63">
        <f>IF(ข้อมูลสูตร!$A241="","",ข้อมูลสูตร!P241)</f>
        <v>0</v>
      </c>
      <c r="P244" s="63">
        <f>IF(ข้อมูลสูตร!$A241="","",ข้อมูลสูตร!Q241)</f>
        <v>0</v>
      </c>
      <c r="Q244" s="63">
        <f>IF(ข้อมูลสูตร!$A241="","",ข้อมูลสูตร!R241)</f>
        <v>0</v>
      </c>
      <c r="R244" s="63">
        <f>IF(ข้อมูลสูตร!$A241="","",ข้อมูลสูตร!S241)</f>
        <v>330</v>
      </c>
      <c r="S244" s="63">
        <f>IF(ข้อมูลสูตร!$A241="","",ข้อมูลสูตร!T241)</f>
        <v>50</v>
      </c>
      <c r="T244" s="63">
        <f>IF(ข้อมูลสูตร!$A241="","",ข้อมูลสูตร!U241)</f>
        <v>0</v>
      </c>
      <c r="U244" s="64">
        <f>IF(ข้อมูลสูตร!$A241="","",ข้อมูลสูตร!V241)</f>
        <v>260.5</v>
      </c>
      <c r="V244" s="8">
        <f>IF(ข้อมูลสูตร!$A241="","",ข้อมูลสูตร!W241)</f>
        <v>73.62</v>
      </c>
      <c r="W244" s="64">
        <f>IF(ข้อมูลสูตร!$A241="","",ข้อมูลสูตร!X241)</f>
        <v>120</v>
      </c>
      <c r="X244" s="23">
        <f>IF(ข้อมูลสูตร!$A241="","",ข้อมูลสูตร!Y241)</f>
        <v>0.38649999999999995</v>
      </c>
      <c r="Y244" s="48" t="str">
        <f>IF(ข้อมูลสูตร!$A241="","",ข้อมูลสูตร!Z241)</f>
        <v>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244" s="48" t="str">
        <f>ข้อมูลสูตร!$A241</f>
        <v>Matcha Strawberry Premium|22 oz|100%</v>
      </c>
    </row>
    <row r="245" spans="1:26" x14ac:dyDescent="0.25">
      <c r="A245" s="4" t="str">
        <f>IF(ข้อมูลสูตร!$A242="","",ข้อมูลสูตร!B242)</f>
        <v>Original</v>
      </c>
      <c r="B245" s="4" t="str">
        <f>IF(ข้อมูลสูตร!$A242="","",ข้อมูลสูตร!C242)</f>
        <v>20 oz</v>
      </c>
      <c r="C245" s="4" t="str">
        <f>IF(ข้อมูลสูตร!$A242="","",ข้อมูลสูตร!D242)</f>
        <v>0%</v>
      </c>
      <c r="D245" s="63">
        <f>IF(ข้อมูลสูตร!$A242="","",ข้อมูลสูตร!E242)</f>
        <v>162.5</v>
      </c>
      <c r="E245" s="63">
        <f>IF(ข้อมูลสูตร!$A242="","",ข้อมูลสูตร!F242)</f>
        <v>0</v>
      </c>
      <c r="F245" s="63">
        <f>IF(ข้อมูลสูตร!$A242="","",ข้อมูลสูตร!G242)</f>
        <v>0</v>
      </c>
      <c r="G245" s="63">
        <f>IF(ข้อมูลสูตร!$A242="","",ข้อมูลสูตร!H242)</f>
        <v>72.5</v>
      </c>
      <c r="H245" s="63">
        <f>IF(ข้อมูลสูตร!$A242="","",ข้อมูลสูตร!I242)</f>
        <v>0</v>
      </c>
      <c r="I245" s="63">
        <f>IF(ข้อมูลสูตร!$A242="","",ข้อมูลสูตร!J242)</f>
        <v>0</v>
      </c>
      <c r="J245" s="63">
        <f>IF(ข้อมูลสูตร!$A242="","",ข้อมูลสูตร!K242)</f>
        <v>0</v>
      </c>
      <c r="K245" s="63">
        <f>IF(ข้อมูลสูตร!$A242="","",ข้อมูลสูตร!L242)</f>
        <v>0</v>
      </c>
      <c r="L245" s="63">
        <f>IF(ข้อมูลสูตร!$A242="","",ข้อมูลสูตร!M242)</f>
        <v>0</v>
      </c>
      <c r="M245" s="63">
        <f>IF(ข้อมูลสูตร!$A242="","",ข้อมูลสูตร!N242)</f>
        <v>0</v>
      </c>
      <c r="N245" s="63">
        <f>IF(ข้อมูลสูตร!$A242="","",ข้อมูลสูตร!O242)</f>
        <v>0</v>
      </c>
      <c r="O245" s="63">
        <f>IF(ข้อมูลสูตร!$A242="","",ข้อมูลสูตร!P242)</f>
        <v>0</v>
      </c>
      <c r="P245" s="63">
        <f>IF(ข้อมูลสูตร!$A242="","",ข้อมูลสูตร!Q242)</f>
        <v>0</v>
      </c>
      <c r="Q245" s="63">
        <f>IF(ข้อมูลสูตร!$A242="","",ข้อมูลสูตร!R242)</f>
        <v>0</v>
      </c>
      <c r="R245" s="63">
        <f>IF(ข้อมูลสูตร!$A242="","",ข้อมูลสูตร!S242)</f>
        <v>300</v>
      </c>
      <c r="S245" s="63">
        <f>IF(ข้อมูลสูตร!$A242="","",ข้อมูลสูตร!T242)</f>
        <v>0</v>
      </c>
      <c r="T245" s="63">
        <f>IF(ข้อมูลสูตร!$A242="","",ข้อมูลสูตร!U242)</f>
        <v>0</v>
      </c>
      <c r="U245" s="64">
        <f>IF(ข้อมูลสูตร!$A242="","",ข้อมูลสูตร!V242)</f>
        <v>235</v>
      </c>
      <c r="V245" s="8">
        <f>IF(ข้อมูลสูตร!$A242="","",ข้อมูลสูตร!W242)</f>
        <v>17.420000000000002</v>
      </c>
      <c r="W245" s="64">
        <f>IF(ข้อมูลสูตร!$A242="","",ข้อมูลสูตร!X242)</f>
        <v>50</v>
      </c>
      <c r="X245" s="23">
        <f>IF(ข้อมูลสูตร!$A242="","",ข้อมูลสูตร!Y242)</f>
        <v>0.65159999999999996</v>
      </c>
      <c r="Y245" s="48" t="str">
        <f>IF(ข้อมูลสูตร!$A242="","",ข้อมูลสูตร!Z242)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45" s="48" t="str">
        <f>ข้อมูลสูตร!$A242</f>
        <v>Original|20 oz|0%</v>
      </c>
    </row>
    <row r="246" spans="1:26" x14ac:dyDescent="0.25">
      <c r="A246" s="4" t="str">
        <f>IF(ข้อมูลสูตร!$A243="","",ข้อมูลสูตร!B243)</f>
        <v>Original</v>
      </c>
      <c r="B246" s="4" t="str">
        <f>IF(ข้อมูลสูตร!$A243="","",ข้อมูลสูตร!C243)</f>
        <v>20 oz</v>
      </c>
      <c r="C246" s="4" t="str">
        <f>IF(ข้อมูลสูตร!$A243="","",ข้อมูลสูตร!D243)</f>
        <v>25%</v>
      </c>
      <c r="D246" s="63">
        <f>IF(ข้อมูลสูตร!$A243="","",ข้อมูลสูตร!E243)</f>
        <v>162.5</v>
      </c>
      <c r="E246" s="63">
        <f>IF(ข้อมูลสูตร!$A243="","",ข้อมูลสูตร!F243)</f>
        <v>0</v>
      </c>
      <c r="F246" s="63">
        <f>IF(ข้อมูลสูตร!$A243="","",ข้อมูลสูตร!G243)</f>
        <v>0</v>
      </c>
      <c r="G246" s="63">
        <f>IF(ข้อมูลสูตร!$A243="","",ข้อมูลสูตร!H243)</f>
        <v>65</v>
      </c>
      <c r="H246" s="63">
        <f>IF(ข้อมูลสูตร!$A243="","",ข้อมูลสูตร!I243)</f>
        <v>10</v>
      </c>
      <c r="I246" s="63">
        <f>IF(ข้อมูลสูตร!$A243="","",ข้อมูลสูตร!J243)</f>
        <v>20.8</v>
      </c>
      <c r="J246" s="63">
        <f>IF(ข้อมูลสูตร!$A243="","",ข้อมูลสูตร!K243)</f>
        <v>0</v>
      </c>
      <c r="K246" s="63">
        <f>IF(ข้อมูลสูตร!$A243="","",ข้อมูลสูตร!L243)</f>
        <v>0</v>
      </c>
      <c r="L246" s="63">
        <f>IF(ข้อมูลสูตร!$A243="","",ข้อมูลสูตร!M243)</f>
        <v>0</v>
      </c>
      <c r="M246" s="63">
        <f>IF(ข้อมูลสูตร!$A243="","",ข้อมูลสูตร!N243)</f>
        <v>0</v>
      </c>
      <c r="N246" s="63">
        <f>IF(ข้อมูลสูตร!$A243="","",ข้อมูลสูตร!O243)</f>
        <v>0</v>
      </c>
      <c r="O246" s="63">
        <f>IF(ข้อมูลสูตร!$A243="","",ข้อมูลสูตร!P243)</f>
        <v>0</v>
      </c>
      <c r="P246" s="63">
        <f>IF(ข้อมูลสูตร!$A243="","",ข้อมูลสูตร!Q243)</f>
        <v>0</v>
      </c>
      <c r="Q246" s="63">
        <f>IF(ข้อมูลสูตร!$A243="","",ข้อมูลสูตร!R243)</f>
        <v>0</v>
      </c>
      <c r="R246" s="63">
        <f>IF(ข้อมูลสูตร!$A243="","",ข้อมูลสูตร!S243)</f>
        <v>300</v>
      </c>
      <c r="S246" s="63">
        <f>IF(ข้อมูลสูตร!$A243="","",ข้อมูลสูตร!T243)</f>
        <v>0</v>
      </c>
      <c r="T246" s="63">
        <f>IF(ข้อมูลสูตร!$A243="","",ข้อมูลสูตร!U243)</f>
        <v>0</v>
      </c>
      <c r="U246" s="64">
        <f>IF(ข้อมูลสูตร!$A243="","",ข้อมูลสูตร!V243)</f>
        <v>258.3</v>
      </c>
      <c r="V246" s="8">
        <f>IF(ข้อมูลสูตร!$A243="","",ข้อมูลสูตร!W243)</f>
        <v>17.91</v>
      </c>
      <c r="W246" s="64">
        <f>IF(ข้อมูลสูตร!$A243="","",ข้อมูลสูตร!X243)</f>
        <v>50</v>
      </c>
      <c r="X246" s="23">
        <f>IF(ข้อมูลสูตร!$A243="","",ข้อมูลสูตร!Y243)</f>
        <v>0.64180000000000004</v>
      </c>
      <c r="Y246" s="48" t="str">
        <f>IF(ข้อมูลสูตร!$A243="","",ข้อมูลสูตร!Z243)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46" s="48" t="str">
        <f>ข้อมูลสูตร!$A243</f>
        <v>Original|20 oz|25%</v>
      </c>
    </row>
    <row r="247" spans="1:26" x14ac:dyDescent="0.25">
      <c r="A247" s="4" t="str">
        <f>IF(ข้อมูลสูตร!$A244="","",ข้อมูลสูตร!B244)</f>
        <v>Original</v>
      </c>
      <c r="B247" s="4" t="str">
        <f>IF(ข้อมูลสูตร!$A244="","",ข้อมูลสูตร!C244)</f>
        <v>20 oz</v>
      </c>
      <c r="C247" s="4" t="str">
        <f>IF(ข้อมูลสูตร!$A244="","",ข้อมูลสูตร!D244)</f>
        <v>50%</v>
      </c>
      <c r="D247" s="63">
        <f>IF(ข้อมูลสูตร!$A244="","",ข้อมูลสูตร!E244)</f>
        <v>162.5</v>
      </c>
      <c r="E247" s="63">
        <f>IF(ข้อมูลสูตร!$A244="","",ข้อมูลสูตร!F244)</f>
        <v>0</v>
      </c>
      <c r="F247" s="63">
        <f>IF(ข้อมูลสูตร!$A244="","",ข้อมูลสูตร!G244)</f>
        <v>0</v>
      </c>
      <c r="G247" s="63">
        <f>IF(ข้อมูลสูตร!$A244="","",ข้อมูลสูตร!H244)</f>
        <v>57.5</v>
      </c>
      <c r="H247" s="63">
        <f>IF(ข้อมูลสูตร!$A244="","",ข้อมูลสูตร!I244)</f>
        <v>20</v>
      </c>
      <c r="I247" s="63">
        <f>IF(ข้อมูลสูตร!$A244="","",ข้อมูลสูตร!J244)</f>
        <v>20.8</v>
      </c>
      <c r="J247" s="63">
        <f>IF(ข้อมูลสูตร!$A244="","",ข้อมูลสูตร!K244)</f>
        <v>0</v>
      </c>
      <c r="K247" s="63">
        <f>IF(ข้อมูลสูตร!$A244="","",ข้อมูลสูตร!L244)</f>
        <v>0</v>
      </c>
      <c r="L247" s="63">
        <f>IF(ข้อมูลสูตร!$A244="","",ข้อมูลสูตร!M244)</f>
        <v>0</v>
      </c>
      <c r="M247" s="63">
        <f>IF(ข้อมูลสูตร!$A244="","",ข้อมูลสูตร!N244)</f>
        <v>0</v>
      </c>
      <c r="N247" s="63">
        <f>IF(ข้อมูลสูตร!$A244="","",ข้อมูลสูตร!O244)</f>
        <v>0</v>
      </c>
      <c r="O247" s="63">
        <f>IF(ข้อมูลสูตร!$A244="","",ข้อมูลสูตร!P244)</f>
        <v>0</v>
      </c>
      <c r="P247" s="63">
        <f>IF(ข้อมูลสูตร!$A244="","",ข้อมูลสูตร!Q244)</f>
        <v>0</v>
      </c>
      <c r="Q247" s="63">
        <f>IF(ข้อมูลสูตร!$A244="","",ข้อมูลสูตร!R244)</f>
        <v>0</v>
      </c>
      <c r="R247" s="63">
        <f>IF(ข้อมูลสูตร!$A244="","",ข้อมูลสูตร!S244)</f>
        <v>300</v>
      </c>
      <c r="S247" s="63">
        <f>IF(ข้อมูลสูตร!$A244="","",ข้อมูลสูตร!T244)</f>
        <v>0</v>
      </c>
      <c r="T247" s="63">
        <f>IF(ข้อมูลสูตร!$A244="","",ข้อมูลสูตร!U244)</f>
        <v>0</v>
      </c>
      <c r="U247" s="64">
        <f>IF(ข้อมูลสูตร!$A244="","",ข้อมูลสูตร!V244)</f>
        <v>260.8</v>
      </c>
      <c r="V247" s="8">
        <f>IF(ข้อมูลสูตร!$A244="","",ข้อมูลสูตร!W244)</f>
        <v>18.04</v>
      </c>
      <c r="W247" s="64">
        <f>IF(ข้อมูลสูตร!$A244="","",ข้อมูลสูตร!X244)</f>
        <v>50</v>
      </c>
      <c r="X247" s="23">
        <f>IF(ข้อมูลสูตร!$A244="","",ข้อมูลสูตร!Y244)</f>
        <v>0.63919999999999999</v>
      </c>
      <c r="Y247" s="48" t="str">
        <f>IF(ข้อมูลสูตร!$A244="","",ข้อมูลสูตร!Z244)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47" s="48" t="str">
        <f>ข้อมูลสูตร!$A244</f>
        <v>Original|20 oz|50%</v>
      </c>
    </row>
    <row r="248" spans="1:26" x14ac:dyDescent="0.25">
      <c r="A248" s="4" t="str">
        <f>IF(ข้อมูลสูตร!$A245="","",ข้อมูลสูตร!B245)</f>
        <v>Original</v>
      </c>
      <c r="B248" s="4" t="str">
        <f>IF(ข้อมูลสูตร!$A245="","",ข้อมูลสูตร!C245)</f>
        <v>20 oz</v>
      </c>
      <c r="C248" s="4" t="str">
        <f>IF(ข้อมูลสูตร!$A245="","",ข้อมูลสูตร!D245)</f>
        <v>75%</v>
      </c>
      <c r="D248" s="63">
        <f>IF(ข้อมูลสูตร!$A245="","",ข้อมูลสูตร!E245)</f>
        <v>162.5</v>
      </c>
      <c r="E248" s="63">
        <f>IF(ข้อมูลสูตร!$A245="","",ข้อมูลสูตร!F245)</f>
        <v>0</v>
      </c>
      <c r="F248" s="63">
        <f>IF(ข้อมูลสูตร!$A245="","",ข้อมูลสูตร!G245)</f>
        <v>0</v>
      </c>
      <c r="G248" s="63">
        <f>IF(ข้อมูลสูตร!$A245="","",ข้อมูลสูตร!H245)</f>
        <v>50</v>
      </c>
      <c r="H248" s="63">
        <f>IF(ข้อมูลสูตร!$A245="","",ข้อมูลสูตร!I245)</f>
        <v>30</v>
      </c>
      <c r="I248" s="63">
        <f>IF(ข้อมูลสูตร!$A245="","",ข้อมูลสูตร!J245)</f>
        <v>20.8</v>
      </c>
      <c r="J248" s="63">
        <f>IF(ข้อมูลสูตร!$A245="","",ข้อมูลสูตร!K245)</f>
        <v>0</v>
      </c>
      <c r="K248" s="63">
        <f>IF(ข้อมูลสูตร!$A245="","",ข้อมูลสูตร!L245)</f>
        <v>0</v>
      </c>
      <c r="L248" s="63">
        <f>IF(ข้อมูลสูตร!$A245="","",ข้อมูลสูตร!M245)</f>
        <v>0</v>
      </c>
      <c r="M248" s="63">
        <f>IF(ข้อมูลสูตร!$A245="","",ข้อมูลสูตร!N245)</f>
        <v>0</v>
      </c>
      <c r="N248" s="63">
        <f>IF(ข้อมูลสูตร!$A245="","",ข้อมูลสูตร!O245)</f>
        <v>0</v>
      </c>
      <c r="O248" s="63">
        <f>IF(ข้อมูลสูตร!$A245="","",ข้อมูลสูตร!P245)</f>
        <v>0</v>
      </c>
      <c r="P248" s="63">
        <f>IF(ข้อมูลสูตร!$A245="","",ข้อมูลสูตร!Q245)</f>
        <v>0</v>
      </c>
      <c r="Q248" s="63">
        <f>IF(ข้อมูลสูตร!$A245="","",ข้อมูลสูตร!R245)</f>
        <v>0</v>
      </c>
      <c r="R248" s="63">
        <f>IF(ข้อมูลสูตร!$A245="","",ข้อมูลสูตร!S245)</f>
        <v>300</v>
      </c>
      <c r="S248" s="63">
        <f>IF(ข้อมูลสูตร!$A245="","",ข้อมูลสูตร!T245)</f>
        <v>0</v>
      </c>
      <c r="T248" s="63">
        <f>IF(ข้อมูลสูตร!$A245="","",ข้อมูลสูตร!U245)</f>
        <v>0</v>
      </c>
      <c r="U248" s="64">
        <f>IF(ข้อมูลสูตร!$A245="","",ข้อมูลสูตร!V245)</f>
        <v>263.3</v>
      </c>
      <c r="V248" s="8">
        <f>IF(ข้อมูลสูตร!$A245="","",ข้อมูลสูตร!W245)</f>
        <v>18.18</v>
      </c>
      <c r="W248" s="64">
        <f>IF(ข้อมูลสูตร!$A245="","",ข้อมูลสูตร!X245)</f>
        <v>50</v>
      </c>
      <c r="X248" s="23">
        <f>IF(ข้อมูลสูตร!$A245="","",ข้อมูลสูตร!Y245)</f>
        <v>0.63639999999999997</v>
      </c>
      <c r="Y248" s="48" t="str">
        <f>IF(ข้อมูลสูตร!$A245="","",ข้อมูลสูตร!Z245)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48" s="48" t="str">
        <f>ข้อมูลสูตร!$A245</f>
        <v>Original|20 oz|75%</v>
      </c>
    </row>
    <row r="249" spans="1:26" x14ac:dyDescent="0.25">
      <c r="A249" s="4" t="str">
        <f>IF(ข้อมูลสูตร!$A246="","",ข้อมูลสูตร!B246)</f>
        <v>Original</v>
      </c>
      <c r="B249" s="4" t="str">
        <f>IF(ข้อมูลสูตร!$A246="","",ข้อมูลสูตร!C246)</f>
        <v>20 oz</v>
      </c>
      <c r="C249" s="4" t="str">
        <f>IF(ข้อมูลสูตร!$A246="","",ข้อมูลสูตร!D246)</f>
        <v>100%</v>
      </c>
      <c r="D249" s="63">
        <f>IF(ข้อมูลสูตร!$A246="","",ข้อมูลสูตร!E246)</f>
        <v>162.5</v>
      </c>
      <c r="E249" s="63">
        <f>IF(ข้อมูลสูตร!$A246="","",ข้อมูลสูตร!F246)</f>
        <v>0</v>
      </c>
      <c r="F249" s="63">
        <f>IF(ข้อมูลสูตร!$A246="","",ข้อมูลสูตร!G246)</f>
        <v>0</v>
      </c>
      <c r="G249" s="63">
        <f>IF(ข้อมูลสูตร!$A246="","",ข้อมูลสูตร!H246)</f>
        <v>42.5</v>
      </c>
      <c r="H249" s="63">
        <f>IF(ข้อมูลสูตร!$A246="","",ข้อมูลสูตร!I246)</f>
        <v>40</v>
      </c>
      <c r="I249" s="63">
        <f>IF(ข้อมูลสูตร!$A246="","",ข้อมูลสูตร!J246)</f>
        <v>20.8</v>
      </c>
      <c r="J249" s="63">
        <f>IF(ข้อมูลสูตร!$A246="","",ข้อมูลสูตร!K246)</f>
        <v>0</v>
      </c>
      <c r="K249" s="63">
        <f>IF(ข้อมูลสูตร!$A246="","",ข้อมูลสูตร!L246)</f>
        <v>0</v>
      </c>
      <c r="L249" s="63">
        <f>IF(ข้อมูลสูตร!$A246="","",ข้อมูลสูตร!M246)</f>
        <v>0</v>
      </c>
      <c r="M249" s="63">
        <f>IF(ข้อมูลสูตร!$A246="","",ข้อมูลสูตร!N246)</f>
        <v>0</v>
      </c>
      <c r="N249" s="63">
        <f>IF(ข้อมูลสูตร!$A246="","",ข้อมูลสูตร!O246)</f>
        <v>0</v>
      </c>
      <c r="O249" s="63">
        <f>IF(ข้อมูลสูตร!$A246="","",ข้อมูลสูตร!P246)</f>
        <v>0</v>
      </c>
      <c r="P249" s="63">
        <f>IF(ข้อมูลสูตร!$A246="","",ข้อมูลสูตร!Q246)</f>
        <v>0</v>
      </c>
      <c r="Q249" s="63">
        <f>IF(ข้อมูลสูตร!$A246="","",ข้อมูลสูตร!R246)</f>
        <v>0</v>
      </c>
      <c r="R249" s="63">
        <f>IF(ข้อมูลสูตร!$A246="","",ข้อมูลสูตร!S246)</f>
        <v>300</v>
      </c>
      <c r="S249" s="63">
        <f>IF(ข้อมูลสูตร!$A246="","",ข้อมูลสูตร!T246)</f>
        <v>0</v>
      </c>
      <c r="T249" s="63">
        <f>IF(ข้อมูลสูตร!$A246="","",ข้อมูลสูตร!U246)</f>
        <v>0</v>
      </c>
      <c r="U249" s="64">
        <f>IF(ข้อมูลสูตร!$A246="","",ข้อมูลสูตร!V246)</f>
        <v>265.8</v>
      </c>
      <c r="V249" s="8">
        <f>IF(ข้อมูลสูตร!$A246="","",ข้อมูลสูตร!W246)</f>
        <v>18.32</v>
      </c>
      <c r="W249" s="64">
        <f>IF(ข้อมูลสูตร!$A246="","",ข้อมูลสูตร!X246)</f>
        <v>50</v>
      </c>
      <c r="X249" s="23">
        <f>IF(ข้อมูลสูตร!$A246="","",ข้อมูลสูตร!Y246)</f>
        <v>0.63359999999999994</v>
      </c>
      <c r="Y249" s="48" t="str">
        <f>IF(ข้อมูลสูตร!$A246="","",ข้อมูลสูตร!Z246)</f>
        <v>[20 oz = 16 oz x 1.25] แก้: เพิ่มชาเบส 100→130 ml และคุมของเหลวรวมเป็น ~190 ml (เดิม 145–160 ml น้อยเกินไป แก้ไม่เต็ม ลูกค้าเห็นชัดตอนรับแก้ว)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49" s="48" t="str">
        <f>ข้อมูลสูตร!$A246</f>
        <v>Original|20 oz|100%</v>
      </c>
    </row>
    <row r="250" spans="1:26" x14ac:dyDescent="0.25">
      <c r="A250" s="4" t="str">
        <f>IF(ข้อมูลสูตร!$A247="","",ข้อมูลสูตร!B247)</f>
        <v>Latte</v>
      </c>
      <c r="B250" s="4" t="str">
        <f>IF(ข้อมูลสูตร!$A247="","",ข้อมูลสูตร!C247)</f>
        <v>20 oz</v>
      </c>
      <c r="C250" s="4" t="str">
        <f>IF(ข้อมูลสูตร!$A247="","",ข้อมูลสูตร!D247)</f>
        <v>0%</v>
      </c>
      <c r="D250" s="63">
        <f>IF(ข้อมูลสูตร!$A247="","",ข้อมูลสูตร!E247)</f>
        <v>162.5</v>
      </c>
      <c r="E250" s="63">
        <f>IF(ข้อมูลสูตร!$A247="","",ข้อมูลสูตร!F247)</f>
        <v>0</v>
      </c>
      <c r="F250" s="63">
        <f>IF(ข้อมูลสูตร!$A247="","",ข้อมูลสูตร!G247)</f>
        <v>62.5</v>
      </c>
      <c r="G250" s="63">
        <f>IF(ข้อมูลสูตร!$A247="","",ข้อมูลสูตร!H247)</f>
        <v>25</v>
      </c>
      <c r="H250" s="63">
        <f>IF(ข้อมูลสูตร!$A247="","",ข้อมูลสูตร!I247)</f>
        <v>0</v>
      </c>
      <c r="I250" s="63">
        <f>IF(ข้อมูลสูตร!$A247="","",ข้อมูลสูตร!J247)</f>
        <v>0</v>
      </c>
      <c r="J250" s="63">
        <f>IF(ข้อมูลสูตร!$A247="","",ข้อมูลสูตร!K247)</f>
        <v>0</v>
      </c>
      <c r="K250" s="63">
        <f>IF(ข้อมูลสูตร!$A247="","",ข้อมูลสูตร!L247)</f>
        <v>0</v>
      </c>
      <c r="L250" s="63">
        <f>IF(ข้อมูลสูตร!$A247="","",ข้อมูลสูตร!M247)</f>
        <v>0</v>
      </c>
      <c r="M250" s="63">
        <f>IF(ข้อมูลสูตร!$A247="","",ข้อมูลสูตร!N247)</f>
        <v>0</v>
      </c>
      <c r="N250" s="63">
        <f>IF(ข้อมูลสูตร!$A247="","",ข้อมูลสูตร!O247)</f>
        <v>0</v>
      </c>
      <c r="O250" s="63">
        <f>IF(ข้อมูลสูตร!$A247="","",ข้อมูลสูตร!P247)</f>
        <v>0</v>
      </c>
      <c r="P250" s="63">
        <f>IF(ข้อมูลสูตร!$A247="","",ข้อมูลสูตร!Q247)</f>
        <v>0</v>
      </c>
      <c r="Q250" s="63">
        <f>IF(ข้อมูลสูตร!$A247="","",ข้อมูลสูตร!R247)</f>
        <v>0</v>
      </c>
      <c r="R250" s="63">
        <f>IF(ข้อมูลสูตร!$A247="","",ข้อมูลสูตร!S247)</f>
        <v>300</v>
      </c>
      <c r="S250" s="63">
        <f>IF(ข้อมูลสูตร!$A247="","",ข้อมูลสูตร!T247)</f>
        <v>0</v>
      </c>
      <c r="T250" s="63">
        <f>IF(ข้อมูลสูตร!$A247="","",ข้อมูลสูตร!U247)</f>
        <v>0</v>
      </c>
      <c r="U250" s="64">
        <f>IF(ข้อมูลสูตร!$A247="","",ข้อมูลสูตร!V247)</f>
        <v>250</v>
      </c>
      <c r="V250" s="8">
        <f>IF(ข้อมูลสูตร!$A247="","",ข้อมูลสูตร!W247)</f>
        <v>16.899999999999999</v>
      </c>
      <c r="W250" s="64">
        <f>IF(ข้อมูลสูตร!$A247="","",ข้อมูลสูตร!X247)</f>
        <v>55</v>
      </c>
      <c r="X250" s="23">
        <f>IF(ข้อมูลสูตร!$A247="","",ข้อมูลสูตร!Y247)</f>
        <v>0.69272727272727275</v>
      </c>
      <c r="Y250" s="48" t="str">
        <f>IF(ข้อมูลสูตร!$A247="","",ข้อมูลสูตร!Z247)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50" s="48" t="str">
        <f>ข้อมูลสูตร!$A247</f>
        <v>Latte|20 oz|0%</v>
      </c>
    </row>
    <row r="251" spans="1:26" x14ac:dyDescent="0.25">
      <c r="A251" s="4" t="str">
        <f>IF(ข้อมูลสูตร!$A248="","",ข้อมูลสูตร!B248)</f>
        <v>Latte</v>
      </c>
      <c r="B251" s="4" t="str">
        <f>IF(ข้อมูลสูตร!$A248="","",ข้อมูลสูตร!C248)</f>
        <v>20 oz</v>
      </c>
      <c r="C251" s="4" t="str">
        <f>IF(ข้อมูลสูตร!$A248="","",ข้อมูลสูตร!D248)</f>
        <v>25%</v>
      </c>
      <c r="D251" s="63">
        <f>IF(ข้อมูลสูตร!$A248="","",ข้อมูลสูตร!E248)</f>
        <v>162.5</v>
      </c>
      <c r="E251" s="63">
        <f>IF(ข้อมูลสูตร!$A248="","",ข้อมูลสูตร!F248)</f>
        <v>0</v>
      </c>
      <c r="F251" s="63">
        <f>IF(ข้อมูลสูตร!$A248="","",ข้อมูลสูตร!G248)</f>
        <v>38</v>
      </c>
      <c r="G251" s="63">
        <f>IF(ข้อมูลสูตร!$A248="","",ข้อมูลสูตร!H248)</f>
        <v>25</v>
      </c>
      <c r="H251" s="63">
        <f>IF(ข้อมูลสูตร!$A248="","",ข้อมูลสูตร!I248)</f>
        <v>0</v>
      </c>
      <c r="I251" s="63">
        <f>IF(ข้อมูลสูตร!$A248="","",ข้อมูลสูตร!J248)</f>
        <v>29.5</v>
      </c>
      <c r="J251" s="63">
        <f>IF(ข้อมูลสูตร!$A248="","",ข้อมูลสูตร!K248)</f>
        <v>0</v>
      </c>
      <c r="K251" s="63">
        <f>IF(ข้อมูลสูตร!$A248="","",ข้อมูลสูตร!L248)</f>
        <v>0</v>
      </c>
      <c r="L251" s="63">
        <f>IF(ข้อมูลสูตร!$A248="","",ข้อมูลสูตร!M248)</f>
        <v>0</v>
      </c>
      <c r="M251" s="63">
        <f>IF(ข้อมูลสูตร!$A248="","",ข้อมูลสูตร!N248)</f>
        <v>0</v>
      </c>
      <c r="N251" s="63">
        <f>IF(ข้อมูลสูตร!$A248="","",ข้อมูลสูตร!O248)</f>
        <v>0</v>
      </c>
      <c r="O251" s="63">
        <f>IF(ข้อมูลสูตร!$A248="","",ข้อมูลสูตร!P248)</f>
        <v>0</v>
      </c>
      <c r="P251" s="63">
        <f>IF(ข้อมูลสูตร!$A248="","",ข้อมูลสูตร!Q248)</f>
        <v>0</v>
      </c>
      <c r="Q251" s="63">
        <f>IF(ข้อมูลสูตร!$A248="","",ข้อมูลสูตร!R248)</f>
        <v>0</v>
      </c>
      <c r="R251" s="63">
        <f>IF(ข้อมูลสูตร!$A248="","",ข้อมูลสูตร!S248)</f>
        <v>300</v>
      </c>
      <c r="S251" s="63">
        <f>IF(ข้อมูลสูตร!$A248="","",ข้อมูลสูตร!T248)</f>
        <v>0</v>
      </c>
      <c r="T251" s="63">
        <f>IF(ข้อมูลสูตร!$A248="","",ข้อมูลสูตร!U248)</f>
        <v>0</v>
      </c>
      <c r="U251" s="64">
        <f>IF(ข้อมูลสูตร!$A248="","",ข้อมูลสูตร!V248)</f>
        <v>255</v>
      </c>
      <c r="V251" s="8">
        <f>IF(ข้อมูลสูตร!$A248="","",ข้อมูลสูตร!W248)</f>
        <v>16.22</v>
      </c>
      <c r="W251" s="64">
        <f>IF(ข้อมูลสูตร!$A248="","",ข้อมูลสูตร!X248)</f>
        <v>55</v>
      </c>
      <c r="X251" s="23">
        <f>IF(ข้อมูลสูตร!$A248="","",ข้อมูลสูตร!Y248)</f>
        <v>0.7050909090909091</v>
      </c>
      <c r="Y251" s="48" t="str">
        <f>IF(ข้อมูลสูตร!$A248="","",ข้อมูลสูตร!Z248)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51" s="48" t="str">
        <f>ข้อมูลสูตร!$A248</f>
        <v>Latte|20 oz|25%</v>
      </c>
    </row>
    <row r="252" spans="1:26" x14ac:dyDescent="0.25">
      <c r="A252" s="4" t="str">
        <f>IF(ข้อมูลสูตร!$A249="","",ข้อมูลสูตร!B249)</f>
        <v>Latte</v>
      </c>
      <c r="B252" s="4" t="str">
        <f>IF(ข้อมูลสูตร!$A249="","",ข้อมูลสูตร!C249)</f>
        <v>20 oz</v>
      </c>
      <c r="C252" s="4" t="str">
        <f>IF(ข้อมูลสูตร!$A249="","",ข้อมูลสูตร!D249)</f>
        <v>50%</v>
      </c>
      <c r="D252" s="63">
        <f>IF(ข้อมูลสูตร!$A249="","",ข้อมูลสูตร!E249)</f>
        <v>162.5</v>
      </c>
      <c r="E252" s="63">
        <f>IF(ข้อมูลสูตร!$A249="","",ข้อมูลสูตร!F249)</f>
        <v>0</v>
      </c>
      <c r="F252" s="63">
        <f>IF(ข้อมูลสูตร!$A249="","",ข้อมูลสูตร!G249)</f>
        <v>34.299999999999997</v>
      </c>
      <c r="G252" s="63">
        <f>IF(ข้อมูลสูตร!$A249="","",ข้อมูลสูตร!H249)</f>
        <v>25</v>
      </c>
      <c r="H252" s="63">
        <f>IF(ข้อมูลสูตร!$A249="","",ข้อมูลสูตร!I249)</f>
        <v>0</v>
      </c>
      <c r="I252" s="63">
        <f>IF(ข้อมูลสูตร!$A249="","",ข้อมูลสูตร!J249)</f>
        <v>38.299999999999997</v>
      </c>
      <c r="J252" s="63">
        <f>IF(ข้อมูลสูตร!$A249="","",ข้อมูลสูตร!K249)</f>
        <v>0</v>
      </c>
      <c r="K252" s="63">
        <f>IF(ข้อมูลสูตร!$A249="","",ข้อมูลสูตร!L249)</f>
        <v>0</v>
      </c>
      <c r="L252" s="63">
        <f>IF(ข้อมูลสูตร!$A249="","",ข้อมูลสูตร!M249)</f>
        <v>0</v>
      </c>
      <c r="M252" s="63">
        <f>IF(ข้อมูลสูตร!$A249="","",ข้อมูลสูตร!N249)</f>
        <v>0</v>
      </c>
      <c r="N252" s="63">
        <f>IF(ข้อมูลสูตร!$A249="","",ข้อมูลสูตร!O249)</f>
        <v>0</v>
      </c>
      <c r="O252" s="63">
        <f>IF(ข้อมูลสูตร!$A249="","",ข้อมูลสูตร!P249)</f>
        <v>0</v>
      </c>
      <c r="P252" s="63">
        <f>IF(ข้อมูลสูตร!$A249="","",ข้อมูลสูตร!Q249)</f>
        <v>0</v>
      </c>
      <c r="Q252" s="63">
        <f>IF(ข้อมูลสูตร!$A249="","",ข้อมูลสูตร!R249)</f>
        <v>0</v>
      </c>
      <c r="R252" s="63">
        <f>IF(ข้อมูลสูตร!$A249="","",ข้อมูลสูตร!S249)</f>
        <v>300</v>
      </c>
      <c r="S252" s="63">
        <f>IF(ข้อมูลสูตร!$A249="","",ข้อมูลสูตร!T249)</f>
        <v>0</v>
      </c>
      <c r="T252" s="63">
        <f>IF(ข้อมูลสูตร!$A249="","",ข้อมูลสูตร!U249)</f>
        <v>0</v>
      </c>
      <c r="U252" s="64">
        <f>IF(ข้อมูลสูตร!$A249="","",ข้อมูลสูตร!V249)</f>
        <v>260.10000000000002</v>
      </c>
      <c r="V252" s="8">
        <f>IF(ข้อมูลสูตร!$A249="","",ข้อมูลสูตร!W249)</f>
        <v>16.190000000000001</v>
      </c>
      <c r="W252" s="64">
        <f>IF(ข้อมูลสูตร!$A249="","",ข้อมูลสูตร!X249)</f>
        <v>55</v>
      </c>
      <c r="X252" s="23">
        <f>IF(ข้อมูลสูตร!$A249="","",ข้อมูลสูตร!Y249)</f>
        <v>0.70563636363636373</v>
      </c>
      <c r="Y252" s="48" t="str">
        <f>IF(ข้อมูลสูตร!$A249="","",ข้อมูลสูตร!Z249)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52" s="48" t="str">
        <f>ข้อมูลสูตร!$A249</f>
        <v>Latte|20 oz|50%</v>
      </c>
    </row>
    <row r="253" spans="1:26" x14ac:dyDescent="0.25">
      <c r="A253" s="4" t="str">
        <f>IF(ข้อมูลสูตร!$A250="","",ข้อมูลสูตร!B250)</f>
        <v>Latte</v>
      </c>
      <c r="B253" s="4" t="str">
        <f>IF(ข้อมูลสูตร!$A250="","",ข้อมูลสูตร!C250)</f>
        <v>20 oz</v>
      </c>
      <c r="C253" s="4" t="str">
        <f>IF(ข้อมูลสูตร!$A250="","",ข้อมูลสูตร!D250)</f>
        <v>75%</v>
      </c>
      <c r="D253" s="63">
        <f>IF(ข้อมูลสูตร!$A250="","",ข้อมูลสูตร!E250)</f>
        <v>162.5</v>
      </c>
      <c r="E253" s="63">
        <f>IF(ข้อมูลสูตร!$A250="","",ข้อมูลสูตร!F250)</f>
        <v>0</v>
      </c>
      <c r="F253" s="63">
        <f>IF(ข้อมูลสูตร!$A250="","",ข้อมูลสูตร!G250)</f>
        <v>30.5</v>
      </c>
      <c r="G253" s="63">
        <f>IF(ข้อมูลสูตร!$A250="","",ข้อมูลสูตร!H250)</f>
        <v>25</v>
      </c>
      <c r="H253" s="63">
        <f>IF(ข้อมูลสูตร!$A250="","",ข้อมูลสูตร!I250)</f>
        <v>0</v>
      </c>
      <c r="I253" s="63">
        <f>IF(ข้อมูลสูตร!$A250="","",ข้อมูลสูตร!J250)</f>
        <v>47</v>
      </c>
      <c r="J253" s="63">
        <f>IF(ข้อมูลสูตร!$A250="","",ข้อมูลสูตร!K250)</f>
        <v>0</v>
      </c>
      <c r="K253" s="63">
        <f>IF(ข้อมูลสูตร!$A250="","",ข้อมูลสูตร!L250)</f>
        <v>0</v>
      </c>
      <c r="L253" s="63">
        <f>IF(ข้อมูลสูตร!$A250="","",ข้อมูลสูตร!M250)</f>
        <v>0</v>
      </c>
      <c r="M253" s="63">
        <f>IF(ข้อมูลสูตร!$A250="","",ข้อมูลสูตร!N250)</f>
        <v>0</v>
      </c>
      <c r="N253" s="63">
        <f>IF(ข้อมูลสูตร!$A250="","",ข้อมูลสูตร!O250)</f>
        <v>0</v>
      </c>
      <c r="O253" s="63">
        <f>IF(ข้อมูลสูตร!$A250="","",ข้อมูลสูตร!P250)</f>
        <v>0</v>
      </c>
      <c r="P253" s="63">
        <f>IF(ข้อมูลสูตร!$A250="","",ข้อมูลสูตร!Q250)</f>
        <v>0</v>
      </c>
      <c r="Q253" s="63">
        <f>IF(ข้อมูลสูตร!$A250="","",ข้อมูลสูตร!R250)</f>
        <v>0</v>
      </c>
      <c r="R253" s="63">
        <f>IF(ข้อมูลสูตร!$A250="","",ข้อมูลสูตร!S250)</f>
        <v>300</v>
      </c>
      <c r="S253" s="63">
        <f>IF(ข้อมูลสูตร!$A250="","",ข้อมูลสูตร!T250)</f>
        <v>0</v>
      </c>
      <c r="T253" s="63">
        <f>IF(ข้อมูลสูตร!$A250="","",ข้อมูลสูตร!U250)</f>
        <v>0</v>
      </c>
      <c r="U253" s="64">
        <f>IF(ข้อมูลสูตร!$A250="","",ข้อมูลสูตร!V250)</f>
        <v>265</v>
      </c>
      <c r="V253" s="8">
        <f>IF(ข้อมูลสูตร!$A250="","",ข้อมูลสูตร!W250)</f>
        <v>16.149999999999999</v>
      </c>
      <c r="W253" s="64">
        <f>IF(ข้อมูลสูตร!$A250="","",ข้อมูลสูตร!X250)</f>
        <v>55</v>
      </c>
      <c r="X253" s="23">
        <f>IF(ข้อมูลสูตร!$A250="","",ข้อมูลสูตร!Y250)</f>
        <v>0.70636363636363642</v>
      </c>
      <c r="Y253" s="48" t="str">
        <f>IF(ข้อมูลสูตร!$A250="","",ข้อมูลสูตร!Z250)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53" s="48" t="str">
        <f>ข้อมูลสูตร!$A250</f>
        <v>Latte|20 oz|75%</v>
      </c>
    </row>
    <row r="254" spans="1:26" x14ac:dyDescent="0.25">
      <c r="A254" s="4" t="str">
        <f>IF(ข้อมูลสูตร!$A251="","",ข้อมูลสูตร!B251)</f>
        <v>Latte</v>
      </c>
      <c r="B254" s="4" t="str">
        <f>IF(ข้อมูลสูตร!$A251="","",ข้อมูลสูตร!C251)</f>
        <v>20 oz</v>
      </c>
      <c r="C254" s="4" t="str">
        <f>IF(ข้อมูลสูตร!$A251="","",ข้อมูลสูตร!D251)</f>
        <v>100%</v>
      </c>
      <c r="D254" s="63">
        <f>IF(ข้อมูลสูตร!$A251="","",ข้อมูลสูตร!E251)</f>
        <v>162.5</v>
      </c>
      <c r="E254" s="63">
        <f>IF(ข้อมูลสูตร!$A251="","",ข้อมูลสูตร!F251)</f>
        <v>0</v>
      </c>
      <c r="F254" s="63">
        <f>IF(ข้อมูลสูตร!$A251="","",ข้อมูลสูตร!G251)</f>
        <v>26.8</v>
      </c>
      <c r="G254" s="63">
        <f>IF(ข้อมูลสูตร!$A251="","",ข้อมูลสูตร!H251)</f>
        <v>25</v>
      </c>
      <c r="H254" s="63">
        <f>IF(ข้อมูลสูตร!$A251="","",ข้อมูลสูตร!I251)</f>
        <v>0</v>
      </c>
      <c r="I254" s="63">
        <f>IF(ข้อมูลสูตร!$A251="","",ข้อมูลสูตร!J251)</f>
        <v>55.8</v>
      </c>
      <c r="J254" s="63">
        <f>IF(ข้อมูลสูตร!$A251="","",ข้อมูลสูตร!K251)</f>
        <v>0</v>
      </c>
      <c r="K254" s="63">
        <f>IF(ข้อมูลสูตร!$A251="","",ข้อมูลสูตร!L251)</f>
        <v>0</v>
      </c>
      <c r="L254" s="63">
        <f>IF(ข้อมูลสูตร!$A251="","",ข้อมูลสูตร!M251)</f>
        <v>0</v>
      </c>
      <c r="M254" s="63">
        <f>IF(ข้อมูลสูตร!$A251="","",ข้อมูลสูตร!N251)</f>
        <v>0</v>
      </c>
      <c r="N254" s="63">
        <f>IF(ข้อมูลสูตร!$A251="","",ข้อมูลสูตร!O251)</f>
        <v>0</v>
      </c>
      <c r="O254" s="63">
        <f>IF(ข้อมูลสูตร!$A251="","",ข้อมูลสูตร!P251)</f>
        <v>0</v>
      </c>
      <c r="P254" s="63">
        <f>IF(ข้อมูลสูตร!$A251="","",ข้อมูลสูตร!Q251)</f>
        <v>0</v>
      </c>
      <c r="Q254" s="63">
        <f>IF(ข้อมูลสูตร!$A251="","",ข้อมูลสูตร!R251)</f>
        <v>0</v>
      </c>
      <c r="R254" s="63">
        <f>IF(ข้อมูลสูตร!$A251="","",ข้อมูลสูตร!S251)</f>
        <v>300</v>
      </c>
      <c r="S254" s="63">
        <f>IF(ข้อมูลสูตร!$A251="","",ข้อมูลสูตร!T251)</f>
        <v>0</v>
      </c>
      <c r="T254" s="63">
        <f>IF(ข้อมูลสูตร!$A251="","",ข้อมูลสูตร!U251)</f>
        <v>0</v>
      </c>
      <c r="U254" s="64">
        <f>IF(ข้อมูลสูตร!$A251="","",ข้อมูลสูตร!V251)</f>
        <v>270.10000000000002</v>
      </c>
      <c r="V254" s="8">
        <f>IF(ข้อมูลสูตร!$A251="","",ข้อมูลสูตร!W251)</f>
        <v>16.12</v>
      </c>
      <c r="W254" s="64">
        <f>IF(ข้อมูลสูตร!$A251="","",ข้อมูลสูตร!X251)</f>
        <v>55</v>
      </c>
      <c r="X254" s="23">
        <f>IF(ข้อมูลสูตร!$A251="","",ข้อมูลสูตร!Y251)</f>
        <v>0.70690909090909082</v>
      </c>
      <c r="Y254" s="48" t="str">
        <f>IF(ข้อมูลสูตร!$A251="","",ข้อมูลสูตร!Z251)</f>
        <v>[20 oz = 16 oz x 1.25] แก้: เปลี่ยนตัวให้ความหวานจากนมข้นหวาน→น้ำเชื่อม (เมนูชูนมสดไม่ควรเติมนมข้นซ้อนนม) และเพิ่มชาเบส 60→130 ml เพราะไม่มีไขมันครีมเทียมพยุงรสชา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54" s="48" t="str">
        <f>ข้อมูลสูตร!$A251</f>
        <v>Latte|20 oz|100%</v>
      </c>
    </row>
    <row r="255" spans="1:26" x14ac:dyDescent="0.25">
      <c r="A255" s="4" t="str">
        <f>IF(ข้อมูลสูตร!$A252="","",ข้อมูลสูตร!B252)</f>
        <v>Cream Cheese</v>
      </c>
      <c r="B255" s="4" t="str">
        <f>IF(ข้อมูลสูตร!$A252="","",ข้อมูลสูตร!C252)</f>
        <v>20 oz</v>
      </c>
      <c r="C255" s="4" t="str">
        <f>IF(ข้อมูลสูตร!$A252="","",ข้อมูลสูตร!D252)</f>
        <v>0%</v>
      </c>
      <c r="D255" s="63">
        <f>IF(ข้อมูลสูตร!$A252="","",ข้อมูลสูตร!E252)</f>
        <v>150</v>
      </c>
      <c r="E255" s="63">
        <f>IF(ข้อมูลสูตร!$A252="","",ข้อมูลสูตร!F252)</f>
        <v>0</v>
      </c>
      <c r="F255" s="63">
        <f>IF(ข้อมูลสูตร!$A252="","",ข้อมูลสูตร!G252)</f>
        <v>0</v>
      </c>
      <c r="G255" s="63">
        <f>IF(ข้อมูลสูตร!$A252="","",ข้อมูลสูตร!H252)</f>
        <v>37.5</v>
      </c>
      <c r="H255" s="63">
        <f>IF(ข้อมูลสูตร!$A252="","",ข้อมูลสูตร!I252)</f>
        <v>0</v>
      </c>
      <c r="I255" s="63">
        <f>IF(ข้อมูลสูตร!$A252="","",ข้อมูลสูตร!J252)</f>
        <v>0</v>
      </c>
      <c r="J255" s="63">
        <f>IF(ข้อมูลสูตร!$A252="","",ข้อมูลสูตร!K252)</f>
        <v>0</v>
      </c>
      <c r="K255" s="63">
        <f>IF(ข้อมูลสูตร!$A252="","",ข้อมูลสูตร!L252)</f>
        <v>0</v>
      </c>
      <c r="L255" s="63">
        <f>IF(ข้อมูลสูตร!$A252="","",ข้อมูลสูตร!M252)</f>
        <v>0</v>
      </c>
      <c r="M255" s="63">
        <f>IF(ข้อมูลสูตร!$A252="","",ข้อมูลสูตร!N252)</f>
        <v>0</v>
      </c>
      <c r="N255" s="63">
        <f>IF(ข้อมูลสูตร!$A252="","",ข้อมูลสูตร!O252)</f>
        <v>0</v>
      </c>
      <c r="O255" s="63">
        <f>IF(ข้อมูลสูตร!$A252="","",ข้อมูลสูตร!P252)</f>
        <v>0</v>
      </c>
      <c r="P255" s="63">
        <f>IF(ข้อมูลสูตร!$A252="","",ข้อมูลสูตร!Q252)</f>
        <v>0</v>
      </c>
      <c r="Q255" s="63">
        <f>IF(ข้อมูลสูตร!$A252="","",ข้อมูลสูตร!R252)</f>
        <v>75</v>
      </c>
      <c r="R255" s="63">
        <f>IF(ข้อมูลสูตร!$A252="","",ข้อมูลสูตร!S252)</f>
        <v>250</v>
      </c>
      <c r="S255" s="63">
        <f>IF(ข้อมูลสูตร!$A252="","",ข้อมูลสูตร!T252)</f>
        <v>0</v>
      </c>
      <c r="T255" s="63">
        <f>IF(ข้อมูลสูตร!$A252="","",ข้อมูลสูตร!U252)</f>
        <v>0</v>
      </c>
      <c r="U255" s="64">
        <f>IF(ข้อมูลสูตร!$A252="","",ข้อมูลสูตร!V252)</f>
        <v>187.5</v>
      </c>
      <c r="V255" s="8">
        <f>IF(ข้อมูลสูตร!$A252="","",ข้อมูลสูตร!W252)</f>
        <v>25.76</v>
      </c>
      <c r="W255" s="64">
        <f>IF(ข้อมูลสูตร!$A252="","",ข้อมูลสูตร!X252)</f>
        <v>75</v>
      </c>
      <c r="X255" s="23">
        <f>IF(ข้อมูลสูตร!$A252="","",ข้อมูลสูตร!Y252)</f>
        <v>0.6565333333333333</v>
      </c>
      <c r="Y255" s="48" t="str">
        <f>IF(ข้อมูลสูตร!$A252="","",ข้อมูลสูตร!Z252)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55" s="48" t="str">
        <f>ข้อมูลสูตร!$A252</f>
        <v>Cream Cheese|20 oz|0%</v>
      </c>
    </row>
    <row r="256" spans="1:26" x14ac:dyDescent="0.25">
      <c r="A256" s="4" t="str">
        <f>IF(ข้อมูลสูตร!$A253="","",ข้อมูลสูตร!B253)</f>
        <v>Cream Cheese</v>
      </c>
      <c r="B256" s="4" t="str">
        <f>IF(ข้อมูลสูตร!$A253="","",ข้อมูลสูตร!C253)</f>
        <v>20 oz</v>
      </c>
      <c r="C256" s="4" t="str">
        <f>IF(ข้อมูลสูตร!$A253="","",ข้อมูลสูตร!D253)</f>
        <v>25%</v>
      </c>
      <c r="D256" s="63">
        <f>IF(ข้อมูลสูตร!$A253="","",ข้อมูลสูตร!E253)</f>
        <v>150</v>
      </c>
      <c r="E256" s="63">
        <f>IF(ข้อมูลสูตร!$A253="","",ข้อมูลสูตร!F253)</f>
        <v>0</v>
      </c>
      <c r="F256" s="63">
        <f>IF(ข้อมูลสูตร!$A253="","",ข้อมูลสูตร!G253)</f>
        <v>0</v>
      </c>
      <c r="G256" s="63">
        <f>IF(ข้อมูลสูตร!$A253="","",ข้อมูลสูตร!H253)</f>
        <v>37.5</v>
      </c>
      <c r="H256" s="63">
        <f>IF(ข้อมูลสูตร!$A253="","",ข้อมูลสูตร!I253)</f>
        <v>8.8000000000000007</v>
      </c>
      <c r="I256" s="63">
        <f>IF(ข้อมูลสูตร!$A253="","",ข้อมูลสูตร!J253)</f>
        <v>19.3</v>
      </c>
      <c r="J256" s="63">
        <f>IF(ข้อมูลสูตร!$A253="","",ข้อมูลสูตร!K253)</f>
        <v>0</v>
      </c>
      <c r="K256" s="63">
        <f>IF(ข้อมูลสูตร!$A253="","",ข้อมูลสูตร!L253)</f>
        <v>0</v>
      </c>
      <c r="L256" s="63">
        <f>IF(ข้อมูลสูตร!$A253="","",ข้อมูลสูตร!M253)</f>
        <v>0</v>
      </c>
      <c r="M256" s="63">
        <f>IF(ข้อมูลสูตร!$A253="","",ข้อมูลสูตร!N253)</f>
        <v>0</v>
      </c>
      <c r="N256" s="63">
        <f>IF(ข้อมูลสูตร!$A253="","",ข้อมูลสูตร!O253)</f>
        <v>0</v>
      </c>
      <c r="O256" s="63">
        <f>IF(ข้อมูลสูตร!$A253="","",ข้อมูลสูตร!P253)</f>
        <v>0</v>
      </c>
      <c r="P256" s="63">
        <f>IF(ข้อมูลสูตร!$A253="","",ข้อมูลสูตร!Q253)</f>
        <v>0</v>
      </c>
      <c r="Q256" s="63">
        <f>IF(ข้อมูลสูตร!$A253="","",ข้อมูลสูตร!R253)</f>
        <v>75</v>
      </c>
      <c r="R256" s="63">
        <f>IF(ข้อมูลสูตร!$A253="","",ข้อมูลสูตร!S253)</f>
        <v>250</v>
      </c>
      <c r="S256" s="63">
        <f>IF(ข้อมูลสูตร!$A253="","",ข้อมูลสูตร!T253)</f>
        <v>0</v>
      </c>
      <c r="T256" s="63">
        <f>IF(ข้อมูลสูตร!$A253="","",ข้อมูลสูตร!U253)</f>
        <v>0</v>
      </c>
      <c r="U256" s="64">
        <f>IF(ข้อมูลสูตร!$A253="","",ข้อมูลสูตร!V253)</f>
        <v>215.60000000000002</v>
      </c>
      <c r="V256" s="8">
        <f>IF(ข้อมูลสูตร!$A253="","",ข้อมูลสูตร!W253)</f>
        <v>26.69</v>
      </c>
      <c r="W256" s="64">
        <f>IF(ข้อมูลสูตร!$A253="","",ข้อมูลสูตร!X253)</f>
        <v>75</v>
      </c>
      <c r="X256" s="23">
        <f>IF(ข้อมูลสูตร!$A253="","",ข้อมูลสูตร!Y253)</f>
        <v>0.64413333333333334</v>
      </c>
      <c r="Y256" s="48" t="str">
        <f>IF(ข้อมูลสูตร!$A253="","",ข้อมูลสูตร!Z253)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56" s="48" t="str">
        <f>ข้อมูลสูตร!$A253</f>
        <v>Cream Cheese|20 oz|25%</v>
      </c>
    </row>
    <row r="257" spans="1:26" x14ac:dyDescent="0.25">
      <c r="A257" s="4" t="str">
        <f>IF(ข้อมูลสูตร!$A254="","",ข้อมูลสูตร!B254)</f>
        <v>Cream Cheese</v>
      </c>
      <c r="B257" s="4" t="str">
        <f>IF(ข้อมูลสูตร!$A254="","",ข้อมูลสูตร!C254)</f>
        <v>20 oz</v>
      </c>
      <c r="C257" s="4" t="str">
        <f>IF(ข้อมูลสูตร!$A254="","",ข้อมูลสูตร!D254)</f>
        <v>50%</v>
      </c>
      <c r="D257" s="63">
        <f>IF(ข้อมูลสูตร!$A254="","",ข้อมูลสูตร!E254)</f>
        <v>150</v>
      </c>
      <c r="E257" s="63">
        <f>IF(ข้อมูลสูตร!$A254="","",ข้อมูลสูตร!F254)</f>
        <v>0</v>
      </c>
      <c r="F257" s="63">
        <f>IF(ข้อมูลสูตร!$A254="","",ข้อมูลสูตร!G254)</f>
        <v>0</v>
      </c>
      <c r="G257" s="63">
        <f>IF(ข้อมูลสูตร!$A254="","",ข้อมูลสูตร!H254)</f>
        <v>37.5</v>
      </c>
      <c r="H257" s="63">
        <f>IF(ข้อมูลสูตร!$A254="","",ข้อมูลสูตร!I254)</f>
        <v>17.5</v>
      </c>
      <c r="I257" s="63">
        <f>IF(ข้อมูลสูตร!$A254="","",ข้อมูลสูตร!J254)</f>
        <v>19.3</v>
      </c>
      <c r="J257" s="63">
        <f>IF(ข้อมูลสูตร!$A254="","",ข้อมูลสูตร!K254)</f>
        <v>0</v>
      </c>
      <c r="K257" s="63">
        <f>IF(ข้อมูลสูตร!$A254="","",ข้อมูลสูตร!L254)</f>
        <v>0</v>
      </c>
      <c r="L257" s="63">
        <f>IF(ข้อมูลสูตร!$A254="","",ข้อมูลสูตร!M254)</f>
        <v>0</v>
      </c>
      <c r="M257" s="63">
        <f>IF(ข้อมูลสูตร!$A254="","",ข้อมูลสูตร!N254)</f>
        <v>0</v>
      </c>
      <c r="N257" s="63">
        <f>IF(ข้อมูลสูตร!$A254="","",ข้อมูลสูตร!O254)</f>
        <v>0</v>
      </c>
      <c r="O257" s="63">
        <f>IF(ข้อมูลสูตร!$A254="","",ข้อมูลสูตร!P254)</f>
        <v>0</v>
      </c>
      <c r="P257" s="63">
        <f>IF(ข้อมูลสูตร!$A254="","",ข้อมูลสูตร!Q254)</f>
        <v>0</v>
      </c>
      <c r="Q257" s="63">
        <f>IF(ข้อมูลสูตร!$A254="","",ข้อมูลสูตร!R254)</f>
        <v>75</v>
      </c>
      <c r="R257" s="63">
        <f>IF(ข้อมูลสูตร!$A254="","",ข้อมูลสูตร!S254)</f>
        <v>250</v>
      </c>
      <c r="S257" s="63">
        <f>IF(ข้อมูลสูตร!$A254="","",ข้อมูลสูตร!T254)</f>
        <v>0</v>
      </c>
      <c r="T257" s="63">
        <f>IF(ข้อมูลสูตร!$A254="","",ข้อมูลสูตร!U254)</f>
        <v>0</v>
      </c>
      <c r="U257" s="64">
        <f>IF(ข้อมูลสูตร!$A254="","",ข้อมูลสูตร!V254)</f>
        <v>224.3</v>
      </c>
      <c r="V257" s="8">
        <f>IF(ข้อมูลสูตร!$A254="","",ข้อมูลสูตร!W254)</f>
        <v>27.29</v>
      </c>
      <c r="W257" s="64">
        <f>IF(ข้อมูลสูตร!$A254="","",ข้อมูลสูตร!X254)</f>
        <v>75</v>
      </c>
      <c r="X257" s="23">
        <f>IF(ข้อมูลสูตร!$A254="","",ข้อมูลสูตร!Y254)</f>
        <v>0.63613333333333333</v>
      </c>
      <c r="Y257" s="48" t="str">
        <f>IF(ข้อมูลสูตร!$A254="","",ข้อมูลสูตร!Z254)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57" s="48" t="str">
        <f>ข้อมูลสูตร!$A254</f>
        <v>Cream Cheese|20 oz|50%</v>
      </c>
    </row>
    <row r="258" spans="1:26" x14ac:dyDescent="0.25">
      <c r="A258" s="4" t="str">
        <f>IF(ข้อมูลสูตร!$A255="","",ข้อมูลสูตร!B255)</f>
        <v>Cream Cheese</v>
      </c>
      <c r="B258" s="4" t="str">
        <f>IF(ข้อมูลสูตร!$A255="","",ข้อมูลสูตร!C255)</f>
        <v>20 oz</v>
      </c>
      <c r="C258" s="4" t="str">
        <f>IF(ข้อมูลสูตร!$A255="","",ข้อมูลสูตร!D255)</f>
        <v>75%</v>
      </c>
      <c r="D258" s="63">
        <f>IF(ข้อมูลสูตร!$A255="","",ข้อมูลสูตร!E255)</f>
        <v>150</v>
      </c>
      <c r="E258" s="63">
        <f>IF(ข้อมูลสูตร!$A255="","",ข้อมูลสูตร!F255)</f>
        <v>0</v>
      </c>
      <c r="F258" s="63">
        <f>IF(ข้อมูลสูตร!$A255="","",ข้อมูลสูตร!G255)</f>
        <v>0</v>
      </c>
      <c r="G258" s="63">
        <f>IF(ข้อมูลสูตร!$A255="","",ข้อมูลสูตร!H255)</f>
        <v>37.5</v>
      </c>
      <c r="H258" s="63">
        <f>IF(ข้อมูลสูตร!$A255="","",ข้อมูลสูตร!I255)</f>
        <v>26.3</v>
      </c>
      <c r="I258" s="63">
        <f>IF(ข้อมูลสูตร!$A255="","",ข้อมูลสูตร!J255)</f>
        <v>19.3</v>
      </c>
      <c r="J258" s="63">
        <f>IF(ข้อมูลสูตร!$A255="","",ข้อมูลสูตร!K255)</f>
        <v>0</v>
      </c>
      <c r="K258" s="63">
        <f>IF(ข้อมูลสูตร!$A255="","",ข้อมูลสูตร!L255)</f>
        <v>0</v>
      </c>
      <c r="L258" s="63">
        <f>IF(ข้อมูลสูตร!$A255="","",ข้อมูลสูตร!M255)</f>
        <v>0</v>
      </c>
      <c r="M258" s="63">
        <f>IF(ข้อมูลสูตร!$A255="","",ข้อมูลสูตร!N255)</f>
        <v>0</v>
      </c>
      <c r="N258" s="63">
        <f>IF(ข้อมูลสูตร!$A255="","",ข้อมูลสูตร!O255)</f>
        <v>0</v>
      </c>
      <c r="O258" s="63">
        <f>IF(ข้อมูลสูตร!$A255="","",ข้อมูลสูตร!P255)</f>
        <v>0</v>
      </c>
      <c r="P258" s="63">
        <f>IF(ข้อมูลสูตร!$A255="","",ข้อมูลสูตร!Q255)</f>
        <v>0</v>
      </c>
      <c r="Q258" s="63">
        <f>IF(ข้อมูลสูตร!$A255="","",ข้อมูลสูตร!R255)</f>
        <v>75</v>
      </c>
      <c r="R258" s="63">
        <f>IF(ข้อมูลสูตร!$A255="","",ข้อมูลสูตร!S255)</f>
        <v>250</v>
      </c>
      <c r="S258" s="63">
        <f>IF(ข้อมูลสูตร!$A255="","",ข้อมูลสูตร!T255)</f>
        <v>0</v>
      </c>
      <c r="T258" s="63">
        <f>IF(ข้อมูลสูตร!$A255="","",ข้อมูลสูตร!U255)</f>
        <v>0</v>
      </c>
      <c r="U258" s="64">
        <f>IF(ข้อมูลสูตร!$A255="","",ข้อมูลสูตร!V255)</f>
        <v>233.10000000000002</v>
      </c>
      <c r="V258" s="8">
        <f>IF(ข้อมูลสูตร!$A255="","",ข้อมูลสูตร!W255)</f>
        <v>27.9</v>
      </c>
      <c r="W258" s="64">
        <f>IF(ข้อมูลสูตร!$A255="","",ข้อมูลสูตร!X255)</f>
        <v>75</v>
      </c>
      <c r="X258" s="23">
        <f>IF(ข้อมูลสูตร!$A255="","",ข้อมูลสูตร!Y255)</f>
        <v>0.628</v>
      </c>
      <c r="Y258" s="48" t="str">
        <f>IF(ข้อมูลสูตร!$A255="","",ข้อมูลสูตร!Z255)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58" s="48" t="str">
        <f>ข้อมูลสูตร!$A255</f>
        <v>Cream Cheese|20 oz|75%</v>
      </c>
    </row>
    <row r="259" spans="1:26" x14ac:dyDescent="0.25">
      <c r="A259" s="4" t="str">
        <f>IF(ข้อมูลสูตร!$A256="","",ข้อมูลสูตร!B256)</f>
        <v>Cream Cheese</v>
      </c>
      <c r="B259" s="4" t="str">
        <f>IF(ข้อมูลสูตร!$A256="","",ข้อมูลสูตร!C256)</f>
        <v>20 oz</v>
      </c>
      <c r="C259" s="4" t="str">
        <f>IF(ข้อมูลสูตร!$A256="","",ข้อมูลสูตร!D256)</f>
        <v>100%</v>
      </c>
      <c r="D259" s="63">
        <f>IF(ข้อมูลสูตร!$A256="","",ข้อมูลสูตร!E256)</f>
        <v>150</v>
      </c>
      <c r="E259" s="63">
        <f>IF(ข้อมูลสูตร!$A256="","",ข้อมูลสูตร!F256)</f>
        <v>0</v>
      </c>
      <c r="F259" s="63">
        <f>IF(ข้อมูลสูตร!$A256="","",ข้อมูลสูตร!G256)</f>
        <v>0</v>
      </c>
      <c r="G259" s="63">
        <f>IF(ข้อมูลสูตร!$A256="","",ข้อมูลสูตร!H256)</f>
        <v>37.5</v>
      </c>
      <c r="H259" s="63">
        <f>IF(ข้อมูลสูตร!$A256="","",ข้อมูลสูตร!I256)</f>
        <v>35</v>
      </c>
      <c r="I259" s="63">
        <f>IF(ข้อมูลสูตร!$A256="","",ข้อมูลสูตร!J256)</f>
        <v>19.3</v>
      </c>
      <c r="J259" s="63">
        <f>IF(ข้อมูลสูตร!$A256="","",ข้อมูลสูตร!K256)</f>
        <v>0</v>
      </c>
      <c r="K259" s="63">
        <f>IF(ข้อมูลสูตร!$A256="","",ข้อมูลสูตร!L256)</f>
        <v>0</v>
      </c>
      <c r="L259" s="63">
        <f>IF(ข้อมูลสูตร!$A256="","",ข้อมูลสูตร!M256)</f>
        <v>0</v>
      </c>
      <c r="M259" s="63">
        <f>IF(ข้อมูลสูตร!$A256="","",ข้อมูลสูตร!N256)</f>
        <v>0</v>
      </c>
      <c r="N259" s="63">
        <f>IF(ข้อมูลสูตร!$A256="","",ข้อมูลสูตร!O256)</f>
        <v>0</v>
      </c>
      <c r="O259" s="63">
        <f>IF(ข้อมูลสูตร!$A256="","",ข้อมูลสูตร!P256)</f>
        <v>0</v>
      </c>
      <c r="P259" s="63">
        <f>IF(ข้อมูลสูตร!$A256="","",ข้อมูลสูตร!Q256)</f>
        <v>0</v>
      </c>
      <c r="Q259" s="63">
        <f>IF(ข้อมูลสูตร!$A256="","",ข้อมูลสูตร!R256)</f>
        <v>75</v>
      </c>
      <c r="R259" s="63">
        <f>IF(ข้อมูลสูตร!$A256="","",ข้อมูลสูตร!S256)</f>
        <v>250</v>
      </c>
      <c r="S259" s="63">
        <f>IF(ข้อมูลสูตร!$A256="","",ข้อมูลสูตร!T256)</f>
        <v>0</v>
      </c>
      <c r="T259" s="63">
        <f>IF(ข้อมูลสูตร!$A256="","",ข้อมูลสูตร!U256)</f>
        <v>0</v>
      </c>
      <c r="U259" s="64">
        <f>IF(ข้อมูลสูตร!$A256="","",ข้อมูลสูตร!V256)</f>
        <v>241.8</v>
      </c>
      <c r="V259" s="8">
        <f>IF(ข้อมูลสูตร!$A256="","",ข้อมูลสูตร!W256)</f>
        <v>28.51</v>
      </c>
      <c r="W259" s="64">
        <f>IF(ข้อมูลสูตร!$A256="","",ข้อมูลสูตร!X256)</f>
        <v>75</v>
      </c>
      <c r="X259" s="23">
        <f>IF(ข้อมูลสูตร!$A256="","",ข้อมูลสูตร!Y256)</f>
        <v>0.61986666666666657</v>
      </c>
      <c r="Y259" s="48" t="str">
        <f>IF(ข้อมูลสูตร!$A256="","",ข้อมูลสูตร!Z256)</f>
        <v>[20 oz = 16 oz x 1.25] แก้บั๊ก 2 จุด: (1) 16 oz เดิมไม่มีนมข้นจืดแต่ 22 oz มี — เติมให้ตรงกัน (2) ท็อปปิ้ง 16 oz เดิมเขียนแค่ 'Cream Cheese' ไม่มีปริมาณ ทำตามไม่ได้ — กำหนด 60 g · ลดน้ำแข็งเป็น 200 g เพื่อเว้นที่ให้โฟม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59" s="48" t="str">
        <f>ข้อมูลสูตร!$A256</f>
        <v>Cream Cheese|20 oz|100%</v>
      </c>
    </row>
    <row r="260" spans="1:26" x14ac:dyDescent="0.25">
      <c r="A260" s="4" t="str">
        <f>IF(ข้อมูลสูตร!$A257="","",ข้อมูลสูตร!B257)</f>
        <v>Whip Cheese</v>
      </c>
      <c r="B260" s="4" t="str">
        <f>IF(ข้อมูลสูตร!$A257="","",ข้อมูลสูตร!C257)</f>
        <v>20 oz</v>
      </c>
      <c r="C260" s="4" t="str">
        <f>IF(ข้อมูลสูตร!$A257="","",ข้อมูลสูตร!D257)</f>
        <v>0%</v>
      </c>
      <c r="D260" s="63">
        <f>IF(ข้อมูลสูตร!$A257="","",ข้อมูลสูตร!E257)</f>
        <v>143.80000000000001</v>
      </c>
      <c r="E260" s="63">
        <f>IF(ข้อมูลสูตร!$A257="","",ข้อมูลสูตร!F257)</f>
        <v>0</v>
      </c>
      <c r="F260" s="63">
        <f>IF(ข้อมูลสูตร!$A257="","",ข้อมูลสูตร!G257)</f>
        <v>62.5</v>
      </c>
      <c r="G260" s="63">
        <f>IF(ข้อมูลสูตร!$A257="","",ข้อมูลสูตร!H257)</f>
        <v>18.8</v>
      </c>
      <c r="H260" s="63">
        <f>IF(ข้อมูลสูตร!$A257="","",ข้อมูลสูตร!I257)</f>
        <v>0</v>
      </c>
      <c r="I260" s="63">
        <f>IF(ข้อมูลสูตร!$A257="","",ข้อมูลสูตร!J257)</f>
        <v>0</v>
      </c>
      <c r="J260" s="63">
        <f>IF(ข้อมูลสูตร!$A257="","",ข้อมูลสูตร!K257)</f>
        <v>0</v>
      </c>
      <c r="K260" s="63">
        <f>IF(ข้อมูลสูตร!$A257="","",ข้อมูลสูตร!L257)</f>
        <v>0</v>
      </c>
      <c r="L260" s="63">
        <f>IF(ข้อมูลสูตร!$A257="","",ข้อมูลสูตร!M257)</f>
        <v>0</v>
      </c>
      <c r="M260" s="63">
        <f>IF(ข้อมูลสูตร!$A257="","",ข้อมูลสูตร!N257)</f>
        <v>0</v>
      </c>
      <c r="N260" s="63">
        <f>IF(ข้อมูลสูตร!$A257="","",ข้อมูลสูตร!O257)</f>
        <v>0</v>
      </c>
      <c r="O260" s="63">
        <f>IF(ข้อมูลสูตร!$A257="","",ข้อมูลสูตร!P257)</f>
        <v>0</v>
      </c>
      <c r="P260" s="63">
        <f>IF(ข้อมูลสูตร!$A257="","",ข้อมูลสูตร!Q257)</f>
        <v>0</v>
      </c>
      <c r="Q260" s="63">
        <f>IF(ข้อมูลสูตร!$A257="","",ข้อมูลสูตร!R257)</f>
        <v>62.5</v>
      </c>
      <c r="R260" s="63">
        <f>IF(ข้อมูลสูตร!$A257="","",ข้อมูลสูตร!S257)</f>
        <v>250</v>
      </c>
      <c r="S260" s="63">
        <f>IF(ข้อมูลสูตร!$A257="","",ข้อมูลสูตร!T257)</f>
        <v>0</v>
      </c>
      <c r="T260" s="63">
        <f>IF(ข้อมูลสูตร!$A257="","",ข้อมูลสูตร!U257)</f>
        <v>0</v>
      </c>
      <c r="U260" s="64">
        <f>IF(ข้อมูลสูตร!$A257="","",ข้อมูลสูตร!V257)</f>
        <v>225.10000000000002</v>
      </c>
      <c r="V260" s="8">
        <f>IF(ข้อมูลสูตร!$A257="","",ข้อมูลสูตร!W257)</f>
        <v>25.27</v>
      </c>
      <c r="W260" s="64">
        <f>IF(ข้อมูลสูตร!$A257="","",ข้อมูลสูตร!X257)</f>
        <v>70</v>
      </c>
      <c r="X260" s="23">
        <f>IF(ข้อมูลสูตร!$A257="","",ข้อมูลสูตร!Y257)</f>
        <v>0.63900000000000001</v>
      </c>
      <c r="Y260" s="48" t="str">
        <f>IF(ข้อมูลสูตร!$A257="","",ข้อมูลสูตร!Z257)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60" s="48" t="str">
        <f>ข้อมูลสูตร!$A257</f>
        <v>Whip Cheese|20 oz|0%</v>
      </c>
    </row>
    <row r="261" spans="1:26" x14ac:dyDescent="0.25">
      <c r="A261" s="4" t="str">
        <f>IF(ข้อมูลสูตร!$A258="","",ข้อมูลสูตร!B258)</f>
        <v>Whip Cheese</v>
      </c>
      <c r="B261" s="4" t="str">
        <f>IF(ข้อมูลสูตร!$A258="","",ข้อมูลสูตร!C258)</f>
        <v>20 oz</v>
      </c>
      <c r="C261" s="4" t="str">
        <f>IF(ข้อมูลสูตร!$A258="","",ข้อมูลสูตร!D258)</f>
        <v>25%</v>
      </c>
      <c r="D261" s="63">
        <f>IF(ข้อมูลสูตร!$A258="","",ข้อมูลสูตร!E258)</f>
        <v>143.80000000000001</v>
      </c>
      <c r="E261" s="63">
        <f>IF(ข้อมูลสูตร!$A258="","",ข้อมูลสูตร!F258)</f>
        <v>0</v>
      </c>
      <c r="F261" s="63">
        <f>IF(ข้อมูลสูตร!$A258="","",ข้อมูลสูตร!G258)</f>
        <v>62.5</v>
      </c>
      <c r="G261" s="63">
        <f>IF(ข้อมูลสูตร!$A258="","",ข้อมูลสูตร!H258)</f>
        <v>18.8</v>
      </c>
      <c r="H261" s="63">
        <f>IF(ข้อมูลสูตร!$A258="","",ข้อมูลสูตร!I258)</f>
        <v>0</v>
      </c>
      <c r="I261" s="63">
        <f>IF(ข้อมูลสูตร!$A258="","",ข้อมูลสูตร!J258)</f>
        <v>24.6</v>
      </c>
      <c r="J261" s="63">
        <f>IF(ข้อมูลสูตร!$A258="","",ข้อมูลสูตร!K258)</f>
        <v>0</v>
      </c>
      <c r="K261" s="63">
        <f>IF(ข้อมูลสูตร!$A258="","",ข้อมูลสูตร!L258)</f>
        <v>0</v>
      </c>
      <c r="L261" s="63">
        <f>IF(ข้อมูลสูตร!$A258="","",ข้อมูลสูตร!M258)</f>
        <v>0</v>
      </c>
      <c r="M261" s="63">
        <f>IF(ข้อมูลสูตร!$A258="","",ข้อมูลสูตร!N258)</f>
        <v>0</v>
      </c>
      <c r="N261" s="63">
        <f>IF(ข้อมูลสูตร!$A258="","",ข้อมูลสูตร!O258)</f>
        <v>0</v>
      </c>
      <c r="O261" s="63">
        <f>IF(ข้อมูลสูตร!$A258="","",ข้อมูลสูตร!P258)</f>
        <v>0</v>
      </c>
      <c r="P261" s="63">
        <f>IF(ข้อมูลสูตร!$A258="","",ข้อมูลสูตร!Q258)</f>
        <v>0</v>
      </c>
      <c r="Q261" s="63">
        <f>IF(ข้อมูลสูตร!$A258="","",ข้อมูลสูตร!R258)</f>
        <v>62.5</v>
      </c>
      <c r="R261" s="63">
        <f>IF(ข้อมูลสูตร!$A258="","",ข้อมูลสูตร!S258)</f>
        <v>250</v>
      </c>
      <c r="S261" s="63">
        <f>IF(ข้อมูลสูตร!$A258="","",ข้อมูลสูตร!T258)</f>
        <v>0</v>
      </c>
      <c r="T261" s="63">
        <f>IF(ข้อมูลสูตร!$A258="","",ข้อมูลสูตร!U258)</f>
        <v>0</v>
      </c>
      <c r="U261" s="64">
        <f>IF(ข้อมูลสูตร!$A258="","",ข้อมูลสูตร!V258)</f>
        <v>249.70000000000002</v>
      </c>
      <c r="V261" s="8">
        <f>IF(ข้อมูลสูตร!$A258="","",ข้อมูลสูตร!W258)</f>
        <v>25.68</v>
      </c>
      <c r="W261" s="64">
        <f>IF(ข้อมูลสูตร!$A258="","",ข้อมูลสูตร!X258)</f>
        <v>70</v>
      </c>
      <c r="X261" s="23">
        <f>IF(ข้อมูลสูตร!$A258="","",ข้อมูลสูตร!Y258)</f>
        <v>0.63314285714285712</v>
      </c>
      <c r="Y261" s="48" t="str">
        <f>IF(ข้อมูลสูตร!$A258="","",ข้อมูลสูตร!Z258)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1" s="48" t="str">
        <f>ข้อมูลสูตร!$A258</f>
        <v>Whip Cheese|20 oz|25%</v>
      </c>
    </row>
    <row r="262" spans="1:26" x14ac:dyDescent="0.25">
      <c r="A262" s="4" t="str">
        <f>IF(ข้อมูลสูตร!$A259="","",ข้อมูลสูตร!B259)</f>
        <v>Whip Cheese</v>
      </c>
      <c r="B262" s="4" t="str">
        <f>IF(ข้อมูลสูตร!$A259="","",ข้อมูลสูตร!C259)</f>
        <v>20 oz</v>
      </c>
      <c r="C262" s="4" t="str">
        <f>IF(ข้อมูลสูตร!$A259="","",ข้อมูลสูตร!D259)</f>
        <v>50%</v>
      </c>
      <c r="D262" s="63">
        <f>IF(ข้อมูลสูตร!$A259="","",ข้อมูลสูตร!E259)</f>
        <v>143.80000000000001</v>
      </c>
      <c r="E262" s="63">
        <f>IF(ข้อมูลสูตร!$A259="","",ข้อมูลสูตร!F259)</f>
        <v>0</v>
      </c>
      <c r="F262" s="63">
        <f>IF(ข้อมูลสูตร!$A259="","",ข้อมูลสูตร!G259)</f>
        <v>62.5</v>
      </c>
      <c r="G262" s="63">
        <f>IF(ข้อมูลสูตร!$A259="","",ข้อมูลสูตร!H259)</f>
        <v>18.8</v>
      </c>
      <c r="H262" s="63">
        <f>IF(ข้อมูลสูตร!$A259="","",ข้อมูลสูตร!I259)</f>
        <v>0</v>
      </c>
      <c r="I262" s="63">
        <f>IF(ข้อมูลสูตร!$A259="","",ข้อมูลสูตร!J259)</f>
        <v>30.9</v>
      </c>
      <c r="J262" s="63">
        <f>IF(ข้อมูลสูตร!$A259="","",ข้อมูลสูตร!K259)</f>
        <v>0</v>
      </c>
      <c r="K262" s="63">
        <f>IF(ข้อมูลสูตร!$A259="","",ข้อมูลสูตร!L259)</f>
        <v>0</v>
      </c>
      <c r="L262" s="63">
        <f>IF(ข้อมูลสูตร!$A259="","",ข้อมูลสูตร!M259)</f>
        <v>0</v>
      </c>
      <c r="M262" s="63">
        <f>IF(ข้อมูลสูตร!$A259="","",ข้อมูลสูตร!N259)</f>
        <v>0</v>
      </c>
      <c r="N262" s="63">
        <f>IF(ข้อมูลสูตร!$A259="","",ข้อมูลสูตร!O259)</f>
        <v>0</v>
      </c>
      <c r="O262" s="63">
        <f>IF(ข้อมูลสูตร!$A259="","",ข้อมูลสูตร!P259)</f>
        <v>0</v>
      </c>
      <c r="P262" s="63">
        <f>IF(ข้อมูลสูตร!$A259="","",ข้อมูลสูตร!Q259)</f>
        <v>0</v>
      </c>
      <c r="Q262" s="63">
        <f>IF(ข้อมูลสูตร!$A259="","",ข้อมูลสูตร!R259)</f>
        <v>62.5</v>
      </c>
      <c r="R262" s="63">
        <f>IF(ข้อมูลสูตร!$A259="","",ข้อมูลสูตร!S259)</f>
        <v>250</v>
      </c>
      <c r="S262" s="63">
        <f>IF(ข้อมูลสูตร!$A259="","",ข้อมูลสูตร!T259)</f>
        <v>0</v>
      </c>
      <c r="T262" s="63">
        <f>IF(ข้อมูลสูตร!$A259="","",ข้อมูลสูตร!U259)</f>
        <v>0</v>
      </c>
      <c r="U262" s="64">
        <f>IF(ข้อมูลสูตร!$A259="","",ข้อมูลสูตร!V259)</f>
        <v>256</v>
      </c>
      <c r="V262" s="8">
        <f>IF(ข้อมูลสูตร!$A259="","",ข้อมูลสูตร!W259)</f>
        <v>25.79</v>
      </c>
      <c r="W262" s="64">
        <f>IF(ข้อมูลสูตร!$A259="","",ข้อมูลสูตร!X259)</f>
        <v>70</v>
      </c>
      <c r="X262" s="23">
        <f>IF(ข้อมูลสูตร!$A259="","",ข้อมูลสูตร!Y259)</f>
        <v>0.63157142857142856</v>
      </c>
      <c r="Y262" s="48" t="str">
        <f>IF(ข้อมูลสูตร!$A259="","",ข้อมูลสูตร!Z259)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2" s="48" t="str">
        <f>ข้อมูลสูตร!$A259</f>
        <v>Whip Cheese|20 oz|50%</v>
      </c>
    </row>
    <row r="263" spans="1:26" x14ac:dyDescent="0.25">
      <c r="A263" s="4" t="str">
        <f>IF(ข้อมูลสูตร!$A260="","",ข้อมูลสูตร!B260)</f>
        <v>Whip Cheese</v>
      </c>
      <c r="B263" s="4" t="str">
        <f>IF(ข้อมูลสูตร!$A260="","",ข้อมูลสูตร!C260)</f>
        <v>20 oz</v>
      </c>
      <c r="C263" s="4" t="str">
        <f>IF(ข้อมูลสูตร!$A260="","",ข้อมูลสูตร!D260)</f>
        <v>75%</v>
      </c>
      <c r="D263" s="63">
        <f>IF(ข้อมูลสูตร!$A260="","",ข้อมูลสูตร!E260)</f>
        <v>143.80000000000001</v>
      </c>
      <c r="E263" s="63">
        <f>IF(ข้อมูลสูตร!$A260="","",ข้อมูลสูตร!F260)</f>
        <v>0</v>
      </c>
      <c r="F263" s="63">
        <f>IF(ข้อมูลสูตร!$A260="","",ข้อมูลสูตร!G260)</f>
        <v>62.5</v>
      </c>
      <c r="G263" s="63">
        <f>IF(ข้อมูลสูตร!$A260="","",ข้อมูลสูตร!H260)</f>
        <v>18.8</v>
      </c>
      <c r="H263" s="63">
        <f>IF(ข้อมูลสูตร!$A260="","",ข้อมูลสูตร!I260)</f>
        <v>0</v>
      </c>
      <c r="I263" s="63">
        <f>IF(ข้อมูลสูตร!$A260="","",ข้อมูลสูตร!J260)</f>
        <v>37.1</v>
      </c>
      <c r="J263" s="63">
        <f>IF(ข้อมูลสูตร!$A260="","",ข้อมูลสูตร!K260)</f>
        <v>0</v>
      </c>
      <c r="K263" s="63">
        <f>IF(ข้อมูลสูตร!$A260="","",ข้อมูลสูตร!L260)</f>
        <v>0</v>
      </c>
      <c r="L263" s="63">
        <f>IF(ข้อมูลสูตร!$A260="","",ข้อมูลสูตร!M260)</f>
        <v>0</v>
      </c>
      <c r="M263" s="63">
        <f>IF(ข้อมูลสูตร!$A260="","",ข้อมูลสูตร!N260)</f>
        <v>0</v>
      </c>
      <c r="N263" s="63">
        <f>IF(ข้อมูลสูตร!$A260="","",ข้อมูลสูตร!O260)</f>
        <v>0</v>
      </c>
      <c r="O263" s="63">
        <f>IF(ข้อมูลสูตร!$A260="","",ข้อมูลสูตร!P260)</f>
        <v>0</v>
      </c>
      <c r="P263" s="63">
        <f>IF(ข้อมูลสูตร!$A260="","",ข้อมูลสูตร!Q260)</f>
        <v>0</v>
      </c>
      <c r="Q263" s="63">
        <f>IF(ข้อมูลสูตร!$A260="","",ข้อมูลสูตร!R260)</f>
        <v>62.5</v>
      </c>
      <c r="R263" s="63">
        <f>IF(ข้อมูลสูตร!$A260="","",ข้อมูลสูตร!S260)</f>
        <v>250</v>
      </c>
      <c r="S263" s="63">
        <f>IF(ข้อมูลสูตร!$A260="","",ข้อมูลสูตร!T260)</f>
        <v>0</v>
      </c>
      <c r="T263" s="63">
        <f>IF(ข้อมูลสูตร!$A260="","",ข้อมูลสูตร!U260)</f>
        <v>0</v>
      </c>
      <c r="U263" s="64">
        <f>IF(ข้อมูลสูตร!$A260="","",ข้อมูลสูตร!V260)</f>
        <v>262.20000000000005</v>
      </c>
      <c r="V263" s="8">
        <f>IF(ข้อมูลสูตร!$A260="","",ข้อมูลสูตร!W260)</f>
        <v>25.89</v>
      </c>
      <c r="W263" s="64">
        <f>IF(ข้อมูลสูตร!$A260="","",ข้อมูลสูตร!X260)</f>
        <v>70</v>
      </c>
      <c r="X263" s="23">
        <f>IF(ข้อมูลสูตร!$A260="","",ข้อมูลสูตร!Y260)</f>
        <v>0.63014285714285712</v>
      </c>
      <c r="Y263" s="48" t="str">
        <f>IF(ข้อมูลสูตร!$A260="","",ข้อมูลสูตร!Z260)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3" s="48" t="str">
        <f>ข้อมูลสูตร!$A260</f>
        <v>Whip Cheese|20 oz|75%</v>
      </c>
    </row>
    <row r="264" spans="1:26" x14ac:dyDescent="0.25">
      <c r="A264" s="4" t="str">
        <f>IF(ข้อมูลสูตร!$A261="","",ข้อมูลสูตร!B261)</f>
        <v>Whip Cheese</v>
      </c>
      <c r="B264" s="4" t="str">
        <f>IF(ข้อมูลสูตร!$A261="","",ข้อมูลสูตร!C261)</f>
        <v>20 oz</v>
      </c>
      <c r="C264" s="4" t="str">
        <f>IF(ข้อมูลสูตร!$A261="","",ข้อมูลสูตร!D261)</f>
        <v>100%</v>
      </c>
      <c r="D264" s="63">
        <f>IF(ข้อมูลสูตร!$A261="","",ข้อมูลสูตร!E261)</f>
        <v>143.80000000000001</v>
      </c>
      <c r="E264" s="63">
        <f>IF(ข้อมูลสูตร!$A261="","",ข้อมูลสูตร!F261)</f>
        <v>0</v>
      </c>
      <c r="F264" s="63">
        <f>IF(ข้อมูลสูตร!$A261="","",ข้อมูลสูตร!G261)</f>
        <v>62.5</v>
      </c>
      <c r="G264" s="63">
        <f>IF(ข้อมูลสูตร!$A261="","",ข้อมูลสูตร!H261)</f>
        <v>18.8</v>
      </c>
      <c r="H264" s="63">
        <f>IF(ข้อมูลสูตร!$A261="","",ข้อมูลสูตร!I261)</f>
        <v>0</v>
      </c>
      <c r="I264" s="63">
        <f>IF(ข้อมูลสูตร!$A261="","",ข้อมูลสูตร!J261)</f>
        <v>43.4</v>
      </c>
      <c r="J264" s="63">
        <f>IF(ข้อมูลสูตร!$A261="","",ข้อมูลสูตร!K261)</f>
        <v>0</v>
      </c>
      <c r="K264" s="63">
        <f>IF(ข้อมูลสูตร!$A261="","",ข้อมูลสูตร!L261)</f>
        <v>0</v>
      </c>
      <c r="L264" s="63">
        <f>IF(ข้อมูลสูตร!$A261="","",ข้อมูลสูตร!M261)</f>
        <v>0</v>
      </c>
      <c r="M264" s="63">
        <f>IF(ข้อมูลสูตร!$A261="","",ข้อมูลสูตร!N261)</f>
        <v>0</v>
      </c>
      <c r="N264" s="63">
        <f>IF(ข้อมูลสูตร!$A261="","",ข้อมูลสูตร!O261)</f>
        <v>0</v>
      </c>
      <c r="O264" s="63">
        <f>IF(ข้อมูลสูตร!$A261="","",ข้อมูลสูตร!P261)</f>
        <v>0</v>
      </c>
      <c r="P264" s="63">
        <f>IF(ข้อมูลสูตร!$A261="","",ข้อมูลสูตร!Q261)</f>
        <v>0</v>
      </c>
      <c r="Q264" s="63">
        <f>IF(ข้อมูลสูตร!$A261="","",ข้อมูลสูตร!R261)</f>
        <v>62.5</v>
      </c>
      <c r="R264" s="63">
        <f>IF(ข้อมูลสูตร!$A261="","",ข้อมูลสูตร!S261)</f>
        <v>250</v>
      </c>
      <c r="S264" s="63">
        <f>IF(ข้อมูลสูตร!$A261="","",ข้อมูลสูตร!T261)</f>
        <v>0</v>
      </c>
      <c r="T264" s="63">
        <f>IF(ข้อมูลสูตร!$A261="","",ข้อมูลสูตร!U261)</f>
        <v>0</v>
      </c>
      <c r="U264" s="64">
        <f>IF(ข้อมูลสูตร!$A261="","",ข้อมูลสูตร!V261)</f>
        <v>268.5</v>
      </c>
      <c r="V264" s="8">
        <f>IF(ข้อมูลสูตร!$A261="","",ข้อมูลสูตร!W261)</f>
        <v>25.99</v>
      </c>
      <c r="W264" s="64">
        <f>IF(ข้อมูลสูตร!$A261="","",ข้อมูลสูตร!X261)</f>
        <v>70</v>
      </c>
      <c r="X264" s="23">
        <f>IF(ข้อมูลสูตร!$A261="","",ข้อมูลสูตร!Y261)</f>
        <v>0.62871428571428578</v>
      </c>
      <c r="Y264" s="48" t="str">
        <f>IF(ข้อมูลสูตร!$A261="","",ข้อมูลสูตร!Z261)</f>
        <v>[20 oz = 16 oz x 1.25] แก้: (1) เดิมใช้ '3 g + น้ำร้อน 60 ml' ชงทีละแก้ว — เปลี่ยนเป็นชาเบสรวม เพราะชงหน้าร้านทีละแก้วทำให้รสไม่คงที่และช้า (2) 'นมผสม' เดิมไม่มีสูตร — แตกเป็นนมสด+นมข้นจืด ดูชีต 'เบสและซับสูตร' · ซ้ำซ้อนกับ Cream Cheese มาก แนะนำเลือกขายตัวเดียว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4" s="48" t="str">
        <f>ข้อมูลสูตร!$A261</f>
        <v>Whip Cheese|20 oz|100%</v>
      </c>
    </row>
    <row r="265" spans="1:26" x14ac:dyDescent="0.25">
      <c r="A265" s="4" t="str">
        <f>IF(ข้อมูลสูตร!$A262="","",ข้อมูลสูตร!B262)</f>
        <v>Orange Latte</v>
      </c>
      <c r="B265" s="4" t="str">
        <f>IF(ข้อมูลสูตร!$A262="","",ข้อมูลสูตร!C262)</f>
        <v>20 oz</v>
      </c>
      <c r="C265" s="4" t="str">
        <f>IF(ข้อมูลสูตร!$A262="","",ข้อมูลสูตร!D262)</f>
        <v>0%</v>
      </c>
      <c r="D265" s="63">
        <f>IF(ข้อมูลสูตร!$A262="","",ข้อมูลสูตร!E262)</f>
        <v>93.8</v>
      </c>
      <c r="E265" s="63">
        <f>IF(ข้อมูลสูตร!$A262="","",ข้อมูลสูตร!F262)</f>
        <v>0</v>
      </c>
      <c r="F265" s="63">
        <f>IF(ข้อมูลสูตร!$A262="","",ข้อมูลสูตร!G262)</f>
        <v>27.5</v>
      </c>
      <c r="G265" s="63">
        <f>IF(ข้อมูลสูตร!$A262="","",ข้อมูลสูตร!H262)</f>
        <v>22.5</v>
      </c>
      <c r="H265" s="63">
        <f>IF(ข้อมูลสูตร!$A262="","",ข้อมูลสูตร!I262)</f>
        <v>0</v>
      </c>
      <c r="I265" s="63">
        <f>IF(ข้อมูลสูตร!$A262="","",ข้อมูลสูตร!J262)</f>
        <v>0</v>
      </c>
      <c r="J265" s="63">
        <f>IF(ข้อมูลสูตร!$A262="","",ข้อมูลสูตร!K262)</f>
        <v>0</v>
      </c>
      <c r="K265" s="63">
        <f>IF(ข้อมูลสูตร!$A262="","",ข้อมูลสูตร!L262)</f>
        <v>0</v>
      </c>
      <c r="L265" s="63">
        <f>IF(ข้อมูลสูตร!$A262="","",ข้อมูลสูตร!M262)</f>
        <v>100</v>
      </c>
      <c r="M265" s="63">
        <f>IF(ข้อมูลสูตร!$A262="","",ข้อมูลสูตร!N262)</f>
        <v>0</v>
      </c>
      <c r="N265" s="63">
        <f>IF(ข้อมูลสูตร!$A262="","",ข้อมูลสูตร!O262)</f>
        <v>0</v>
      </c>
      <c r="O265" s="63">
        <f>IF(ข้อมูลสูตร!$A262="","",ข้อมูลสูตร!P262)</f>
        <v>0</v>
      </c>
      <c r="P265" s="63">
        <f>IF(ข้อมูลสูตร!$A262="","",ข้อมูลสูตร!Q262)</f>
        <v>0</v>
      </c>
      <c r="Q265" s="63">
        <f>IF(ข้อมูลสูตร!$A262="","",ข้อมูลสูตร!R262)</f>
        <v>0</v>
      </c>
      <c r="R265" s="63">
        <f>IF(ข้อมูลสูตร!$A262="","",ข้อมูลสูตร!S262)</f>
        <v>300</v>
      </c>
      <c r="S265" s="63">
        <f>IF(ข้อมูลสูตร!$A262="","",ข้อมูลสูตร!T262)</f>
        <v>0</v>
      </c>
      <c r="T265" s="63">
        <f>IF(ข้อมูลสูตร!$A262="","",ข้อมูลสูตร!U262)</f>
        <v>0</v>
      </c>
      <c r="U265" s="64">
        <f>IF(ข้อมูลสูตร!$A262="","",ข้อมูลสูตร!V262)</f>
        <v>243.8</v>
      </c>
      <c r="V265" s="8">
        <f>IF(ข้อมูลสูตร!$A262="","",ข้อมูลสูตร!W262)</f>
        <v>19.16</v>
      </c>
      <c r="W265" s="64">
        <f>IF(ข้อมูลสูตร!$A262="","",ข้อมูลสูตร!X262)</f>
        <v>60</v>
      </c>
      <c r="X265" s="23">
        <f>IF(ข้อมูลสูตร!$A262="","",ข้อมูลสูตร!Y262)</f>
        <v>0.68066666666666675</v>
      </c>
      <c r="Y265" s="48" t="str">
        <f>IF(ข้อมูลสูตร!$A262="","",ข้อมูลสูตร!Z262)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65" s="48" t="str">
        <f>ข้อมูลสูตร!$A262</f>
        <v>Orange Latte|20 oz|0%</v>
      </c>
    </row>
    <row r="266" spans="1:26" x14ac:dyDescent="0.25">
      <c r="A266" s="4" t="str">
        <f>IF(ข้อมูลสูตร!$A263="","",ข้อมูลสูตร!B263)</f>
        <v>Orange Latte</v>
      </c>
      <c r="B266" s="4" t="str">
        <f>IF(ข้อมูลสูตร!$A263="","",ข้อมูลสูตร!C263)</f>
        <v>20 oz</v>
      </c>
      <c r="C266" s="4" t="str">
        <f>IF(ข้อมูลสูตร!$A263="","",ข้อมูลสูตร!D263)</f>
        <v>25%</v>
      </c>
      <c r="D266" s="63">
        <f>IF(ข้อมูลสูตร!$A263="","",ข้อมูลสูตร!E263)</f>
        <v>93.8</v>
      </c>
      <c r="E266" s="63">
        <f>IF(ข้อมูลสูตร!$A263="","",ข้อมูลสูตร!F263)</f>
        <v>0</v>
      </c>
      <c r="F266" s="63">
        <f>IF(ข้อมูลสูตร!$A263="","",ข้อมูลสูตร!G263)</f>
        <v>27.5</v>
      </c>
      <c r="G266" s="63">
        <f>IF(ข้อมูลสูตร!$A263="","",ข้อมูลสูตร!H263)</f>
        <v>22.5</v>
      </c>
      <c r="H266" s="63">
        <f>IF(ข้อมูลสูตร!$A263="","",ข้อมูลสูตร!I263)</f>
        <v>6.3</v>
      </c>
      <c r="I266" s="63">
        <f>IF(ข้อมูลสูตร!$A263="","",ข้อมูลสูตร!J263)</f>
        <v>12</v>
      </c>
      <c r="J266" s="63">
        <f>IF(ข้อมูลสูตร!$A263="","",ข้อมูลสูตร!K263)</f>
        <v>0</v>
      </c>
      <c r="K266" s="63">
        <f>IF(ข้อมูลสูตร!$A263="","",ข้อมูลสูตร!L263)</f>
        <v>0</v>
      </c>
      <c r="L266" s="63">
        <f>IF(ข้อมูลสูตร!$A263="","",ข้อมูลสูตร!M263)</f>
        <v>100</v>
      </c>
      <c r="M266" s="63">
        <f>IF(ข้อมูลสูตร!$A263="","",ข้อมูลสูตร!N263)</f>
        <v>0</v>
      </c>
      <c r="N266" s="63">
        <f>IF(ข้อมูลสูตร!$A263="","",ข้อมูลสูตร!O263)</f>
        <v>0</v>
      </c>
      <c r="O266" s="63">
        <f>IF(ข้อมูลสูตร!$A263="","",ข้อมูลสูตร!P263)</f>
        <v>0</v>
      </c>
      <c r="P266" s="63">
        <f>IF(ข้อมูลสูตร!$A263="","",ข้อมูลสูตร!Q263)</f>
        <v>0</v>
      </c>
      <c r="Q266" s="63">
        <f>IF(ข้อมูลสูตร!$A263="","",ข้อมูลสูตร!R263)</f>
        <v>0</v>
      </c>
      <c r="R266" s="63">
        <f>IF(ข้อมูลสูตร!$A263="","",ข้อมูลสูตร!S263)</f>
        <v>300</v>
      </c>
      <c r="S266" s="63">
        <f>IF(ข้อมูลสูตร!$A263="","",ข้อมูลสูตร!T263)</f>
        <v>0</v>
      </c>
      <c r="T266" s="63">
        <f>IF(ข้อมูลสูตร!$A263="","",ข้อมูลสูตร!U263)</f>
        <v>0</v>
      </c>
      <c r="U266" s="64">
        <f>IF(ข้อมูลสูตร!$A263="","",ข้อมูลสูตร!V263)</f>
        <v>262.10000000000002</v>
      </c>
      <c r="V266" s="8">
        <f>IF(ข้อมูลสูตร!$A263="","",ข้อมูลสูตร!W263)</f>
        <v>19.8</v>
      </c>
      <c r="W266" s="64">
        <f>IF(ข้อมูลสูตร!$A263="","",ข้อมูลสูตร!X263)</f>
        <v>60</v>
      </c>
      <c r="X266" s="23">
        <f>IF(ข้อมูลสูตร!$A263="","",ข้อมูลสูตร!Y263)</f>
        <v>0.67</v>
      </c>
      <c r="Y266" s="48" t="str">
        <f>IF(ข้อมูลสูตร!$A263="","",ข้อมูลสูตร!Z263)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6" s="48" t="str">
        <f>ข้อมูลสูตร!$A263</f>
        <v>Orange Latte|20 oz|25%</v>
      </c>
    </row>
    <row r="267" spans="1:26" x14ac:dyDescent="0.25">
      <c r="A267" s="4" t="str">
        <f>IF(ข้อมูลสูตร!$A264="","",ข้อมูลสูตร!B264)</f>
        <v>Orange Latte</v>
      </c>
      <c r="B267" s="4" t="str">
        <f>IF(ข้อมูลสูตร!$A264="","",ข้อมูลสูตร!C264)</f>
        <v>20 oz</v>
      </c>
      <c r="C267" s="4" t="str">
        <f>IF(ข้อมูลสูตร!$A264="","",ข้อมูลสูตร!D264)</f>
        <v>50%</v>
      </c>
      <c r="D267" s="63">
        <f>IF(ข้อมูลสูตร!$A264="","",ข้อมูลสูตร!E264)</f>
        <v>93.8</v>
      </c>
      <c r="E267" s="63">
        <f>IF(ข้อมูลสูตร!$A264="","",ข้อมูลสูตร!F264)</f>
        <v>0</v>
      </c>
      <c r="F267" s="63">
        <f>IF(ข้อมูลสูตร!$A264="","",ข้อมูลสูตร!G264)</f>
        <v>27.5</v>
      </c>
      <c r="G267" s="63">
        <f>IF(ข้อมูลสูตร!$A264="","",ข้อมูลสูตร!H264)</f>
        <v>22.5</v>
      </c>
      <c r="H267" s="63">
        <f>IF(ข้อมูลสูตร!$A264="","",ข้อมูลสูตร!I264)</f>
        <v>12.5</v>
      </c>
      <c r="I267" s="63">
        <f>IF(ข้อมูลสูตร!$A264="","",ข้อมูลสูตร!J264)</f>
        <v>12</v>
      </c>
      <c r="J267" s="63">
        <f>IF(ข้อมูลสูตร!$A264="","",ข้อมูลสูตร!K264)</f>
        <v>0</v>
      </c>
      <c r="K267" s="63">
        <f>IF(ข้อมูลสูตร!$A264="","",ข้อมูลสูตร!L264)</f>
        <v>0</v>
      </c>
      <c r="L267" s="63">
        <f>IF(ข้อมูลสูตร!$A264="","",ข้อมูลสูตร!M264)</f>
        <v>100</v>
      </c>
      <c r="M267" s="63">
        <f>IF(ข้อมูลสูตร!$A264="","",ข้อมูลสูตร!N264)</f>
        <v>0</v>
      </c>
      <c r="N267" s="63">
        <f>IF(ข้อมูลสูตร!$A264="","",ข้อมูลสูตร!O264)</f>
        <v>0</v>
      </c>
      <c r="O267" s="63">
        <f>IF(ข้อมูลสูตร!$A264="","",ข้อมูลสูตร!P264)</f>
        <v>0</v>
      </c>
      <c r="P267" s="63">
        <f>IF(ข้อมูลสูตร!$A264="","",ข้อมูลสูตร!Q264)</f>
        <v>0</v>
      </c>
      <c r="Q267" s="63">
        <f>IF(ข้อมูลสูตร!$A264="","",ข้อมูลสูตร!R264)</f>
        <v>0</v>
      </c>
      <c r="R267" s="63">
        <f>IF(ข้อมูลสูตร!$A264="","",ข้อมูลสูตร!S264)</f>
        <v>300</v>
      </c>
      <c r="S267" s="63">
        <f>IF(ข้อมูลสูตร!$A264="","",ข้อมูลสูตร!T264)</f>
        <v>0</v>
      </c>
      <c r="T267" s="63">
        <f>IF(ข้อมูลสูตร!$A264="","",ข้อมูลสูตร!U264)</f>
        <v>0</v>
      </c>
      <c r="U267" s="64">
        <f>IF(ข้อมูลสูตร!$A264="","",ข้อมูลสูตร!V264)</f>
        <v>268.3</v>
      </c>
      <c r="V267" s="8">
        <f>IF(ข้อมูลสูตร!$A264="","",ข้อมูลสูตร!W264)</f>
        <v>20.23</v>
      </c>
      <c r="W267" s="64">
        <f>IF(ข้อมูลสูตร!$A264="","",ข้อมูลสูตร!X264)</f>
        <v>60</v>
      </c>
      <c r="X267" s="23">
        <f>IF(ข้อมูลสูตร!$A264="","",ข้อมูลสูตร!Y264)</f>
        <v>0.66283333333333327</v>
      </c>
      <c r="Y267" s="48" t="str">
        <f>IF(ข้อมูลสูตร!$A264="","",ข้อมูลสูตร!Z264)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7" s="48" t="str">
        <f>ข้อมูลสูตร!$A264</f>
        <v>Orange Latte|20 oz|50%</v>
      </c>
    </row>
    <row r="268" spans="1:26" x14ac:dyDescent="0.25">
      <c r="A268" s="4" t="str">
        <f>IF(ข้อมูลสูตร!$A265="","",ข้อมูลสูตร!B265)</f>
        <v>Orange Latte</v>
      </c>
      <c r="B268" s="4" t="str">
        <f>IF(ข้อมูลสูตร!$A265="","",ข้อมูลสูตร!C265)</f>
        <v>20 oz</v>
      </c>
      <c r="C268" s="4" t="str">
        <f>IF(ข้อมูลสูตร!$A265="","",ข้อมูลสูตร!D265)</f>
        <v>75%</v>
      </c>
      <c r="D268" s="63">
        <f>IF(ข้อมูลสูตร!$A265="","",ข้อมูลสูตร!E265)</f>
        <v>93.8</v>
      </c>
      <c r="E268" s="63">
        <f>IF(ข้อมูลสูตร!$A265="","",ข้อมูลสูตร!F265)</f>
        <v>0</v>
      </c>
      <c r="F268" s="63">
        <f>IF(ข้อมูลสูตร!$A265="","",ข้อมูลสูตร!G265)</f>
        <v>27.5</v>
      </c>
      <c r="G268" s="63">
        <f>IF(ข้อมูลสูตร!$A265="","",ข้อมูลสูตร!H265)</f>
        <v>22.5</v>
      </c>
      <c r="H268" s="63">
        <f>IF(ข้อมูลสูตร!$A265="","",ข้อมูลสูตร!I265)</f>
        <v>18.8</v>
      </c>
      <c r="I268" s="63">
        <f>IF(ข้อมูลสูตร!$A265="","",ข้อมูลสูตร!J265)</f>
        <v>12</v>
      </c>
      <c r="J268" s="63">
        <f>IF(ข้อมูลสูตร!$A265="","",ข้อมูลสูตร!K265)</f>
        <v>0</v>
      </c>
      <c r="K268" s="63">
        <f>IF(ข้อมูลสูตร!$A265="","",ข้อมูลสูตร!L265)</f>
        <v>0</v>
      </c>
      <c r="L268" s="63">
        <f>IF(ข้อมูลสูตร!$A265="","",ข้อมูลสูตร!M265)</f>
        <v>100</v>
      </c>
      <c r="M268" s="63">
        <f>IF(ข้อมูลสูตร!$A265="","",ข้อมูลสูตร!N265)</f>
        <v>0</v>
      </c>
      <c r="N268" s="63">
        <f>IF(ข้อมูลสูตร!$A265="","",ข้อมูลสูตร!O265)</f>
        <v>0</v>
      </c>
      <c r="O268" s="63">
        <f>IF(ข้อมูลสูตร!$A265="","",ข้อมูลสูตร!P265)</f>
        <v>0</v>
      </c>
      <c r="P268" s="63">
        <f>IF(ข้อมูลสูตร!$A265="","",ข้อมูลสูตร!Q265)</f>
        <v>0</v>
      </c>
      <c r="Q268" s="63">
        <f>IF(ข้อมูลสูตร!$A265="","",ข้อมูลสูตร!R265)</f>
        <v>0</v>
      </c>
      <c r="R268" s="63">
        <f>IF(ข้อมูลสูตร!$A265="","",ข้อมูลสูตร!S265)</f>
        <v>300</v>
      </c>
      <c r="S268" s="63">
        <f>IF(ข้อมูลสูตร!$A265="","",ข้อมูลสูตร!T265)</f>
        <v>0</v>
      </c>
      <c r="T268" s="63">
        <f>IF(ข้อมูลสูตร!$A265="","",ข้อมูลสูตร!U265)</f>
        <v>0</v>
      </c>
      <c r="U268" s="64">
        <f>IF(ข้อมูลสูตร!$A265="","",ข้อมูลสูตร!V265)</f>
        <v>274.60000000000002</v>
      </c>
      <c r="V268" s="8">
        <f>IF(ข้อมูลสูตร!$A265="","",ข้อมูลสูตร!W265)</f>
        <v>20.67</v>
      </c>
      <c r="W268" s="64">
        <f>IF(ข้อมูลสูตร!$A265="","",ข้อมูลสูตร!X265)</f>
        <v>60</v>
      </c>
      <c r="X268" s="23">
        <f>IF(ข้อมูลสูตร!$A265="","",ข้อมูลสูตร!Y265)</f>
        <v>0.65549999999999997</v>
      </c>
      <c r="Y268" s="48" t="str">
        <f>IF(ข้อมูลสูตร!$A265="","",ข้อมูลสูตร!Z265)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8" s="48" t="str">
        <f>ข้อมูลสูตร!$A265</f>
        <v>Orange Latte|20 oz|75%</v>
      </c>
    </row>
    <row r="269" spans="1:26" x14ac:dyDescent="0.25">
      <c r="A269" s="4" t="str">
        <f>IF(ข้อมูลสูตร!$A266="","",ข้อมูลสูตร!B266)</f>
        <v>Orange Latte</v>
      </c>
      <c r="B269" s="4" t="str">
        <f>IF(ข้อมูลสูตร!$A266="","",ข้อมูลสูตร!C266)</f>
        <v>20 oz</v>
      </c>
      <c r="C269" s="4" t="str">
        <f>IF(ข้อมูลสูตร!$A266="","",ข้อมูลสูตร!D266)</f>
        <v>100%</v>
      </c>
      <c r="D269" s="63">
        <f>IF(ข้อมูลสูตร!$A266="","",ข้อมูลสูตร!E266)</f>
        <v>93.8</v>
      </c>
      <c r="E269" s="63">
        <f>IF(ข้อมูลสูตร!$A266="","",ข้อมูลสูตร!F266)</f>
        <v>0</v>
      </c>
      <c r="F269" s="63">
        <f>IF(ข้อมูลสูตร!$A266="","",ข้อมูลสูตร!G266)</f>
        <v>27.5</v>
      </c>
      <c r="G269" s="63">
        <f>IF(ข้อมูลสูตร!$A266="","",ข้อมูลสูตร!H266)</f>
        <v>22.5</v>
      </c>
      <c r="H269" s="63">
        <f>IF(ข้อมูลสูตร!$A266="","",ข้อมูลสูตร!I266)</f>
        <v>25</v>
      </c>
      <c r="I269" s="63">
        <f>IF(ข้อมูลสูตร!$A266="","",ข้อมูลสูตร!J266)</f>
        <v>12</v>
      </c>
      <c r="J269" s="63">
        <f>IF(ข้อมูลสูตร!$A266="","",ข้อมูลสูตร!K266)</f>
        <v>0</v>
      </c>
      <c r="K269" s="63">
        <f>IF(ข้อมูลสูตร!$A266="","",ข้อมูลสูตร!L266)</f>
        <v>0</v>
      </c>
      <c r="L269" s="63">
        <f>IF(ข้อมูลสูตร!$A266="","",ข้อมูลสูตร!M266)</f>
        <v>100</v>
      </c>
      <c r="M269" s="63">
        <f>IF(ข้อมูลสูตร!$A266="","",ข้อมูลสูตร!N266)</f>
        <v>0</v>
      </c>
      <c r="N269" s="63">
        <f>IF(ข้อมูลสูตร!$A266="","",ข้อมูลสูตร!O266)</f>
        <v>0</v>
      </c>
      <c r="O269" s="63">
        <f>IF(ข้อมูลสูตร!$A266="","",ข้อมูลสูตร!P266)</f>
        <v>0</v>
      </c>
      <c r="P269" s="63">
        <f>IF(ข้อมูลสูตร!$A266="","",ข้อมูลสูตร!Q266)</f>
        <v>0</v>
      </c>
      <c r="Q269" s="63">
        <f>IF(ข้อมูลสูตร!$A266="","",ข้อมูลสูตร!R266)</f>
        <v>0</v>
      </c>
      <c r="R269" s="63">
        <f>IF(ข้อมูลสูตร!$A266="","",ข้อมูลสูตร!S266)</f>
        <v>300</v>
      </c>
      <c r="S269" s="63">
        <f>IF(ข้อมูลสูตร!$A266="","",ข้อมูลสูตร!T266)</f>
        <v>0</v>
      </c>
      <c r="T269" s="63">
        <f>IF(ข้อมูลสูตร!$A266="","",ข้อมูลสูตร!U266)</f>
        <v>0</v>
      </c>
      <c r="U269" s="64">
        <f>IF(ข้อมูลสูตร!$A266="","",ข้อมูลสูตร!V266)</f>
        <v>280.8</v>
      </c>
      <c r="V269" s="8">
        <f>IF(ข้อมูลสูตร!$A266="","",ข้อมูลสูตร!W266)</f>
        <v>21.1</v>
      </c>
      <c r="W269" s="64">
        <f>IF(ข้อมูลสูตร!$A266="","",ข้อมูลสูตร!X266)</f>
        <v>60</v>
      </c>
      <c r="X269" s="23">
        <f>IF(ข้อมูลสูตร!$A266="","",ข้อมูลสูตร!Y266)</f>
        <v>0.64833333333333332</v>
      </c>
      <c r="Y269" s="48" t="str">
        <f>IF(ข้อมูลสูตร!$A266="","",ข้อมูลสูตร!Z266)</f>
        <v>[20 oz = 16 oz x 1.25] ⚠ ความเสี่ยง: น้ำส้ม pH ~3.5 ทำให้โปรตีนนมตกตะกอน (curdling) — ลดนมสดลงและต้องเสิร์ฟทันที ดูวิธีป้องกันท้ายชีต 'เบสและซับสูตร'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69" s="48" t="str">
        <f>ข้อมูลสูตร!$A266</f>
        <v>Orange Latte|20 oz|100%</v>
      </c>
    </row>
    <row r="270" spans="1:26" x14ac:dyDescent="0.25">
      <c r="A270" s="4" t="str">
        <f>IF(ข้อมูลสูตร!$A267="","",ข้อมูลสูตร!B267)</f>
        <v>Cocoa</v>
      </c>
      <c r="B270" s="4" t="str">
        <f>IF(ข้อมูลสูตร!$A267="","",ข้อมูลสูตร!C267)</f>
        <v>20 oz</v>
      </c>
      <c r="C270" s="4" t="str">
        <f>IF(ข้อมูลสูตร!$A267="","",ข้อมูลสูตร!D267)</f>
        <v>0%</v>
      </c>
      <c r="D270" s="63">
        <f>IF(ข้อมูลสูตร!$A267="","",ข้อมูลสูตร!E267)</f>
        <v>156.30000000000001</v>
      </c>
      <c r="E270" s="63">
        <f>IF(ข้อมูลสูตร!$A267="","",ข้อมูลสูตร!F267)</f>
        <v>0</v>
      </c>
      <c r="F270" s="63">
        <f>IF(ข้อมูลสูตร!$A267="","",ข้อมูลสูตร!G267)</f>
        <v>43.8</v>
      </c>
      <c r="G270" s="63">
        <f>IF(ข้อมูลสูตร!$A267="","",ข้อมูลสูตร!H267)</f>
        <v>31.3</v>
      </c>
      <c r="H270" s="63">
        <f>IF(ข้อมูลสูตร!$A267="","",ข้อมูลสูตร!I267)</f>
        <v>0</v>
      </c>
      <c r="I270" s="63">
        <f>IF(ข้อมูลสูตร!$A267="","",ข้อมูลสูตร!J267)</f>
        <v>0</v>
      </c>
      <c r="J270" s="63">
        <f>IF(ข้อมูลสูตร!$A267="","",ข้อมูลสูตร!K267)</f>
        <v>0</v>
      </c>
      <c r="K270" s="63">
        <f>IF(ข้อมูลสูตร!$A267="","",ข้อมูลสูตร!L267)</f>
        <v>7.5</v>
      </c>
      <c r="L270" s="63">
        <f>IF(ข้อมูลสูตร!$A267="","",ข้อมูลสูตร!M267)</f>
        <v>0</v>
      </c>
      <c r="M270" s="63">
        <f>IF(ข้อมูลสูตร!$A267="","",ข้อมูลสูตร!N267)</f>
        <v>0</v>
      </c>
      <c r="N270" s="63">
        <f>IF(ข้อมูลสูตร!$A267="","",ข้อมูลสูตร!O267)</f>
        <v>0</v>
      </c>
      <c r="O270" s="63">
        <f>IF(ข้อมูลสูตร!$A267="","",ข้อมูลสูตร!P267)</f>
        <v>0</v>
      </c>
      <c r="P270" s="63">
        <f>IF(ข้อมูลสูตร!$A267="","",ข้อมูลสูตร!Q267)</f>
        <v>0</v>
      </c>
      <c r="Q270" s="63">
        <f>IF(ข้อมูลสูตร!$A267="","",ข้อมูลสูตร!R267)</f>
        <v>0</v>
      </c>
      <c r="R270" s="63">
        <f>IF(ข้อมูลสูตร!$A267="","",ข้อมูลสูตร!S267)</f>
        <v>300</v>
      </c>
      <c r="S270" s="63">
        <f>IF(ข้อมูลสูตร!$A267="","",ข้อมูลสูตร!T267)</f>
        <v>0</v>
      </c>
      <c r="T270" s="63">
        <f>IF(ข้อมูลสูตร!$A267="","",ข้อมูลสูตร!U267)</f>
        <v>0</v>
      </c>
      <c r="U270" s="64">
        <f>IF(ข้อมูลสูตร!$A267="","",ข้อมูลสูตร!V267)</f>
        <v>231.40000000000003</v>
      </c>
      <c r="V270" s="8">
        <f>IF(ข้อมูลสูตร!$A267="","",ข้อมูลสูตร!W267)</f>
        <v>20.85</v>
      </c>
      <c r="W270" s="64">
        <f>IF(ข้อมูลสูตร!$A267="","",ข้อมูลสูตร!X267)</f>
        <v>60</v>
      </c>
      <c r="X270" s="23">
        <f>IF(ข้อมูลสูตร!$A267="","",ข้อมูลสูตร!Y267)</f>
        <v>0.65249999999999997</v>
      </c>
      <c r="Y270" s="48" t="str">
        <f>IF(ข้อมูลสูตร!$A267="","",ข้อมูลสูตร!Z267)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70" s="48" t="str">
        <f>ข้อมูลสูตร!$A267</f>
        <v>Cocoa|20 oz|0%</v>
      </c>
    </row>
    <row r="271" spans="1:26" x14ac:dyDescent="0.25">
      <c r="A271" s="4" t="str">
        <f>IF(ข้อมูลสูตร!$A268="","",ข้อมูลสูตร!B268)</f>
        <v>Cocoa</v>
      </c>
      <c r="B271" s="4" t="str">
        <f>IF(ข้อมูลสูตร!$A268="","",ข้อมูลสูตร!C268)</f>
        <v>20 oz</v>
      </c>
      <c r="C271" s="4" t="str">
        <f>IF(ข้อมูลสูตร!$A268="","",ข้อมูลสูตร!D268)</f>
        <v>25%</v>
      </c>
      <c r="D271" s="63">
        <f>IF(ข้อมูลสูตร!$A268="","",ข้อมูลสูตร!E268)</f>
        <v>156.30000000000001</v>
      </c>
      <c r="E271" s="63">
        <f>IF(ข้อมูลสูตร!$A268="","",ข้อมูลสูตร!F268)</f>
        <v>0</v>
      </c>
      <c r="F271" s="63">
        <f>IF(ข้อมูลสูตร!$A268="","",ข้อมูลสูตร!G268)</f>
        <v>43.8</v>
      </c>
      <c r="G271" s="63">
        <f>IF(ข้อมูลสูตร!$A268="","",ข้อมูลสูตร!H268)</f>
        <v>31.3</v>
      </c>
      <c r="H271" s="63">
        <f>IF(ข้อมูลสูตร!$A268="","",ข้อมูลสูตร!I268)</f>
        <v>7.5</v>
      </c>
      <c r="I271" s="63">
        <f>IF(ข้อมูลสูตร!$A268="","",ข้อมูลสูตร!J268)</f>
        <v>20</v>
      </c>
      <c r="J271" s="63">
        <f>IF(ข้อมูลสูตร!$A268="","",ข้อมูลสูตร!K268)</f>
        <v>0</v>
      </c>
      <c r="K271" s="63">
        <f>IF(ข้อมูลสูตร!$A268="","",ข้อมูลสูตร!L268)</f>
        <v>7.5</v>
      </c>
      <c r="L271" s="63">
        <f>IF(ข้อมูลสูตร!$A268="","",ข้อมูลสูตร!M268)</f>
        <v>0</v>
      </c>
      <c r="M271" s="63">
        <f>IF(ข้อมูลสูตร!$A268="","",ข้อมูลสูตร!N268)</f>
        <v>0</v>
      </c>
      <c r="N271" s="63">
        <f>IF(ข้อมูลสูตร!$A268="","",ข้อมูลสูตร!O268)</f>
        <v>0</v>
      </c>
      <c r="O271" s="63">
        <f>IF(ข้อมูลสูตร!$A268="","",ข้อมูลสูตร!P268)</f>
        <v>0</v>
      </c>
      <c r="P271" s="63">
        <f>IF(ข้อมูลสูตร!$A268="","",ข้อมูลสูตร!Q268)</f>
        <v>0</v>
      </c>
      <c r="Q271" s="63">
        <f>IF(ข้อมูลสูตร!$A268="","",ข้อมูลสูตร!R268)</f>
        <v>0</v>
      </c>
      <c r="R271" s="63">
        <f>IF(ข้อมูลสูตร!$A268="","",ข้อมูลสูตร!S268)</f>
        <v>300</v>
      </c>
      <c r="S271" s="63">
        <f>IF(ข้อมูลสูตร!$A268="","",ข้อมูลสูตร!T268)</f>
        <v>0</v>
      </c>
      <c r="T271" s="63">
        <f>IF(ข้อมูลสูตร!$A268="","",ข้อมูลสูตร!U268)</f>
        <v>0</v>
      </c>
      <c r="U271" s="64">
        <f>IF(ข้อมูลสูตร!$A268="","",ข้อมูลสูตร!V268)</f>
        <v>258.90000000000003</v>
      </c>
      <c r="V271" s="8">
        <f>IF(ข้อมูลสูตร!$A268="","",ข้อมูลสูตร!W268)</f>
        <v>21.7</v>
      </c>
      <c r="W271" s="64">
        <f>IF(ข้อมูลสูตร!$A268="","",ข้อมูลสูตร!X268)</f>
        <v>60</v>
      </c>
      <c r="X271" s="23">
        <f>IF(ข้อมูลสูตร!$A268="","",ข้อมูลสูตร!Y268)</f>
        <v>0.63833333333333331</v>
      </c>
      <c r="Y271" s="48" t="str">
        <f>IF(ข้อมูลสูตร!$A268="","",ข้อมูลสูตร!Z268)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1" s="48" t="str">
        <f>ข้อมูลสูตร!$A268</f>
        <v>Cocoa|20 oz|25%</v>
      </c>
    </row>
    <row r="272" spans="1:26" x14ac:dyDescent="0.25">
      <c r="A272" s="4" t="str">
        <f>IF(ข้อมูลสูตร!$A269="","",ข้อมูลสูตร!B269)</f>
        <v>Cocoa</v>
      </c>
      <c r="B272" s="4" t="str">
        <f>IF(ข้อมูลสูตร!$A269="","",ข้อมูลสูตร!C269)</f>
        <v>20 oz</v>
      </c>
      <c r="C272" s="4" t="str">
        <f>IF(ข้อมูลสูตร!$A269="","",ข้อมูลสูตร!D269)</f>
        <v>50%</v>
      </c>
      <c r="D272" s="63">
        <f>IF(ข้อมูลสูตร!$A269="","",ข้อมูลสูตร!E269)</f>
        <v>156.30000000000001</v>
      </c>
      <c r="E272" s="63">
        <f>IF(ข้อมูลสูตร!$A269="","",ข้อมูลสูตร!F269)</f>
        <v>0</v>
      </c>
      <c r="F272" s="63">
        <f>IF(ข้อมูลสูตร!$A269="","",ข้อมูลสูตร!G269)</f>
        <v>43.8</v>
      </c>
      <c r="G272" s="63">
        <f>IF(ข้อมูลสูตร!$A269="","",ข้อมูลสูตร!H269)</f>
        <v>31.3</v>
      </c>
      <c r="H272" s="63">
        <f>IF(ข้อมูลสูตร!$A269="","",ข้อมูลสูตร!I269)</f>
        <v>15</v>
      </c>
      <c r="I272" s="63">
        <f>IF(ข้อมูลสูตร!$A269="","",ข้อมูลสูตร!J269)</f>
        <v>20</v>
      </c>
      <c r="J272" s="63">
        <f>IF(ข้อมูลสูตร!$A269="","",ข้อมูลสูตร!K269)</f>
        <v>0</v>
      </c>
      <c r="K272" s="63">
        <f>IF(ข้อมูลสูตร!$A269="","",ข้อมูลสูตร!L269)</f>
        <v>7.5</v>
      </c>
      <c r="L272" s="63">
        <f>IF(ข้อมูลสูตร!$A269="","",ข้อมูลสูตร!M269)</f>
        <v>0</v>
      </c>
      <c r="M272" s="63">
        <f>IF(ข้อมูลสูตร!$A269="","",ข้อมูลสูตร!N269)</f>
        <v>0</v>
      </c>
      <c r="N272" s="63">
        <f>IF(ข้อมูลสูตร!$A269="","",ข้อมูลสูตร!O269)</f>
        <v>0</v>
      </c>
      <c r="O272" s="63">
        <f>IF(ข้อมูลสูตร!$A269="","",ข้อมูลสูตร!P269)</f>
        <v>0</v>
      </c>
      <c r="P272" s="63">
        <f>IF(ข้อมูลสูตร!$A269="","",ข้อมูลสูตร!Q269)</f>
        <v>0</v>
      </c>
      <c r="Q272" s="63">
        <f>IF(ข้อมูลสูตร!$A269="","",ข้อมูลสูตร!R269)</f>
        <v>0</v>
      </c>
      <c r="R272" s="63">
        <f>IF(ข้อมูลสูตร!$A269="","",ข้อมูลสูตร!S269)</f>
        <v>300</v>
      </c>
      <c r="S272" s="63">
        <f>IF(ข้อมูลสูตร!$A269="","",ข้อมูลสูตร!T269)</f>
        <v>0</v>
      </c>
      <c r="T272" s="63">
        <f>IF(ข้อมูลสูตร!$A269="","",ข้อมูลสูตร!U269)</f>
        <v>0</v>
      </c>
      <c r="U272" s="64">
        <f>IF(ข้อมูลสูตร!$A269="","",ข้อมูลสูตร!V269)</f>
        <v>266.40000000000003</v>
      </c>
      <c r="V272" s="8">
        <f>IF(ข้อมูลสูตร!$A269="","",ข้อมูลสูตร!W269)</f>
        <v>22.22</v>
      </c>
      <c r="W272" s="64">
        <f>IF(ข้อมูลสูตร!$A269="","",ข้อมูลสูตร!X269)</f>
        <v>60</v>
      </c>
      <c r="X272" s="23">
        <f>IF(ข้อมูลสูตร!$A269="","",ข้อมูลสูตร!Y269)</f>
        <v>0.62966666666666671</v>
      </c>
      <c r="Y272" s="48" t="str">
        <f>IF(ข้อมูลสูตร!$A269="","",ข้อมูลสูตร!Z269)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2" s="48" t="str">
        <f>ข้อมูลสูตร!$A269</f>
        <v>Cocoa|20 oz|50%</v>
      </c>
    </row>
    <row r="273" spans="1:26" x14ac:dyDescent="0.25">
      <c r="A273" s="4" t="str">
        <f>IF(ข้อมูลสูตร!$A270="","",ข้อมูลสูตร!B270)</f>
        <v>Cocoa</v>
      </c>
      <c r="B273" s="4" t="str">
        <f>IF(ข้อมูลสูตร!$A270="","",ข้อมูลสูตร!C270)</f>
        <v>20 oz</v>
      </c>
      <c r="C273" s="4" t="str">
        <f>IF(ข้อมูลสูตร!$A270="","",ข้อมูลสูตร!D270)</f>
        <v>75%</v>
      </c>
      <c r="D273" s="63">
        <f>IF(ข้อมูลสูตร!$A270="","",ข้อมูลสูตร!E270)</f>
        <v>156.30000000000001</v>
      </c>
      <c r="E273" s="63">
        <f>IF(ข้อมูลสูตร!$A270="","",ข้อมูลสูตร!F270)</f>
        <v>0</v>
      </c>
      <c r="F273" s="63">
        <f>IF(ข้อมูลสูตร!$A270="","",ข้อมูลสูตร!G270)</f>
        <v>43.8</v>
      </c>
      <c r="G273" s="63">
        <f>IF(ข้อมูลสูตร!$A270="","",ข้อมูลสูตร!H270)</f>
        <v>31.3</v>
      </c>
      <c r="H273" s="63">
        <f>IF(ข้อมูลสูตร!$A270="","",ข้อมูลสูตร!I270)</f>
        <v>22.5</v>
      </c>
      <c r="I273" s="63">
        <f>IF(ข้อมูลสูตร!$A270="","",ข้อมูลสูตร!J270)</f>
        <v>20</v>
      </c>
      <c r="J273" s="63">
        <f>IF(ข้อมูลสูตร!$A270="","",ข้อมูลสูตร!K270)</f>
        <v>0</v>
      </c>
      <c r="K273" s="63">
        <f>IF(ข้อมูลสูตร!$A270="","",ข้อมูลสูตร!L270)</f>
        <v>7.5</v>
      </c>
      <c r="L273" s="63">
        <f>IF(ข้อมูลสูตร!$A270="","",ข้อมูลสูตร!M270)</f>
        <v>0</v>
      </c>
      <c r="M273" s="63">
        <f>IF(ข้อมูลสูตร!$A270="","",ข้อมูลสูตร!N270)</f>
        <v>0</v>
      </c>
      <c r="N273" s="63">
        <f>IF(ข้อมูลสูตร!$A270="","",ข้อมูลสูตร!O270)</f>
        <v>0</v>
      </c>
      <c r="O273" s="63">
        <f>IF(ข้อมูลสูตร!$A270="","",ข้อมูลสูตร!P270)</f>
        <v>0</v>
      </c>
      <c r="P273" s="63">
        <f>IF(ข้อมูลสูตร!$A270="","",ข้อมูลสูตร!Q270)</f>
        <v>0</v>
      </c>
      <c r="Q273" s="63">
        <f>IF(ข้อมูลสูตร!$A270="","",ข้อมูลสูตร!R270)</f>
        <v>0</v>
      </c>
      <c r="R273" s="63">
        <f>IF(ข้อมูลสูตร!$A270="","",ข้อมูลสูตร!S270)</f>
        <v>300</v>
      </c>
      <c r="S273" s="63">
        <f>IF(ข้อมูลสูตร!$A270="","",ข้อมูลสูตร!T270)</f>
        <v>0</v>
      </c>
      <c r="T273" s="63">
        <f>IF(ข้อมูลสูตร!$A270="","",ข้อมูลสูตร!U270)</f>
        <v>0</v>
      </c>
      <c r="U273" s="64">
        <f>IF(ข้อมูลสูตร!$A270="","",ข้อมูลสูตร!V270)</f>
        <v>273.90000000000003</v>
      </c>
      <c r="V273" s="8">
        <f>IF(ข้อมูลสูตร!$A270="","",ข้อมูลสูตร!W270)</f>
        <v>22.74</v>
      </c>
      <c r="W273" s="64">
        <f>IF(ข้อมูลสูตร!$A270="","",ข้อมูลสูตร!X270)</f>
        <v>60</v>
      </c>
      <c r="X273" s="23">
        <f>IF(ข้อมูลสูตร!$A270="","",ข้อมูลสูตร!Y270)</f>
        <v>0.62100000000000011</v>
      </c>
      <c r="Y273" s="48" t="str">
        <f>IF(ข้อมูลสูตร!$A270="","",ข้อมูลสูตร!Z270)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3" s="48" t="str">
        <f>ข้อมูลสูตร!$A270</f>
        <v>Cocoa|20 oz|75%</v>
      </c>
    </row>
    <row r="274" spans="1:26" x14ac:dyDescent="0.25">
      <c r="A274" s="4" t="str">
        <f>IF(ข้อมูลสูตร!$A271="","",ข้อมูลสูตร!B271)</f>
        <v>Cocoa</v>
      </c>
      <c r="B274" s="4" t="str">
        <f>IF(ข้อมูลสูตร!$A271="","",ข้อมูลสูตร!C271)</f>
        <v>20 oz</v>
      </c>
      <c r="C274" s="4" t="str">
        <f>IF(ข้อมูลสูตร!$A271="","",ข้อมูลสูตร!D271)</f>
        <v>100%</v>
      </c>
      <c r="D274" s="63">
        <f>IF(ข้อมูลสูตร!$A271="","",ข้อมูลสูตร!E271)</f>
        <v>156.30000000000001</v>
      </c>
      <c r="E274" s="63">
        <f>IF(ข้อมูลสูตร!$A271="","",ข้อมูลสูตร!F271)</f>
        <v>0</v>
      </c>
      <c r="F274" s="63">
        <f>IF(ข้อมูลสูตร!$A271="","",ข้อมูลสูตร!G271)</f>
        <v>43.8</v>
      </c>
      <c r="G274" s="63">
        <f>IF(ข้อมูลสูตร!$A271="","",ข้อมูลสูตร!H271)</f>
        <v>31.3</v>
      </c>
      <c r="H274" s="63">
        <f>IF(ข้อมูลสูตร!$A271="","",ข้อมูลสูตร!I271)</f>
        <v>30</v>
      </c>
      <c r="I274" s="63">
        <f>IF(ข้อมูลสูตร!$A271="","",ข้อมูลสูตร!J271)</f>
        <v>20</v>
      </c>
      <c r="J274" s="63">
        <f>IF(ข้อมูลสูตร!$A271="","",ข้อมูลสูตร!K271)</f>
        <v>0</v>
      </c>
      <c r="K274" s="63">
        <f>IF(ข้อมูลสูตร!$A271="","",ข้อมูลสูตร!L271)</f>
        <v>7.5</v>
      </c>
      <c r="L274" s="63">
        <f>IF(ข้อมูลสูตร!$A271="","",ข้อมูลสูตร!M271)</f>
        <v>0</v>
      </c>
      <c r="M274" s="63">
        <f>IF(ข้อมูลสูตร!$A271="","",ข้อมูลสูตร!N271)</f>
        <v>0</v>
      </c>
      <c r="N274" s="63">
        <f>IF(ข้อมูลสูตร!$A271="","",ข้อมูลสูตร!O271)</f>
        <v>0</v>
      </c>
      <c r="O274" s="63">
        <f>IF(ข้อมูลสูตร!$A271="","",ข้อมูลสูตร!P271)</f>
        <v>0</v>
      </c>
      <c r="P274" s="63">
        <f>IF(ข้อมูลสูตร!$A271="","",ข้อมูลสูตร!Q271)</f>
        <v>0</v>
      </c>
      <c r="Q274" s="63">
        <f>IF(ข้อมูลสูตร!$A271="","",ข้อมูลสูตร!R271)</f>
        <v>0</v>
      </c>
      <c r="R274" s="63">
        <f>IF(ข้อมูลสูตร!$A271="","",ข้อมูลสูตร!S271)</f>
        <v>300</v>
      </c>
      <c r="S274" s="63">
        <f>IF(ข้อมูลสูตร!$A271="","",ข้อมูลสูตร!T271)</f>
        <v>0</v>
      </c>
      <c r="T274" s="63">
        <f>IF(ข้อมูลสูตร!$A271="","",ข้อมูลสูตร!U271)</f>
        <v>0</v>
      </c>
      <c r="U274" s="64">
        <f>IF(ข้อมูลสูตร!$A271="","",ข้อมูลสูตร!V271)</f>
        <v>281.40000000000003</v>
      </c>
      <c r="V274" s="8">
        <f>IF(ข้อมูลสูตร!$A271="","",ข้อมูลสูตร!W271)</f>
        <v>23.26</v>
      </c>
      <c r="W274" s="64">
        <f>IF(ข้อมูลสูตร!$A271="","",ข้อมูลสูตร!X271)</f>
        <v>60</v>
      </c>
      <c r="X274" s="23">
        <f>IF(ข้อมูลสูตร!$A271="","",ข้อมูลสูตร!Y271)</f>
        <v>0.61233333333333329</v>
      </c>
      <c r="Y274" s="48" t="str">
        <f>IF(ข้อมูลสูตร!$A271="","",ข้อมูลสูตร!Z271)</f>
        <v>[20 oz = 16 oz x 1.25] แก้: (1) เดิม 22 oz ระบุ '6–7 g' เป็นช่วง ทำมาตรฐานไม่ได้ — ล็อกเป็น 16 oz = 6 g, 22 oz = 8 g (2) เพิ่มชาเบสเป็น 125 ml เพราะโกโก้กลบรสชาง่าย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4" s="48" t="str">
        <f>ข้อมูลสูตร!$A271</f>
        <v>Cocoa|20 oz|100%</v>
      </c>
    </row>
    <row r="275" spans="1:26" x14ac:dyDescent="0.25">
      <c r="A275" s="4" t="str">
        <f>IF(ข้อมูลสูตร!$A272="","",ข้อมูลสูตร!B272)</f>
        <v>Thai Tea Frappe</v>
      </c>
      <c r="B275" s="4" t="str">
        <f>IF(ข้อมูลสูตร!$A272="","",ข้อมูลสูตร!C272)</f>
        <v>20 oz</v>
      </c>
      <c r="C275" s="4" t="str">
        <f>IF(ข้อมูลสูตร!$A272="","",ข้อมูลสูตร!D272)</f>
        <v>0%</v>
      </c>
      <c r="D275" s="63">
        <f>IF(ข้อมูลสูตร!$A272="","",ข้อมูลสูตร!E272)</f>
        <v>112.5</v>
      </c>
      <c r="E275" s="63">
        <f>IF(ข้อมูลสูตร!$A272="","",ข้อมูลสูตร!F272)</f>
        <v>0</v>
      </c>
      <c r="F275" s="63">
        <f>IF(ข้อมูลสูตร!$A272="","",ข้อมูลสูตร!G272)</f>
        <v>87.5</v>
      </c>
      <c r="G275" s="63">
        <f>IF(ข้อมูลสูตร!$A272="","",ข้อมูลสูตร!H272)</f>
        <v>25</v>
      </c>
      <c r="H275" s="63">
        <f>IF(ข้อมูลสูตร!$A272="","",ข้อมูลสูตร!I272)</f>
        <v>0</v>
      </c>
      <c r="I275" s="63">
        <f>IF(ข้อมูลสูตร!$A272="","",ข้อมูลสูตร!J272)</f>
        <v>0</v>
      </c>
      <c r="J275" s="63">
        <f>IF(ข้อมูลสูตร!$A272="","",ข้อมูลสูตร!K272)</f>
        <v>0</v>
      </c>
      <c r="K275" s="63">
        <f>IF(ข้อมูลสูตร!$A272="","",ข้อมูลสูตร!L272)</f>
        <v>0</v>
      </c>
      <c r="L275" s="63">
        <f>IF(ข้อมูลสูตร!$A272="","",ข้อมูลสูตร!M272)</f>
        <v>0</v>
      </c>
      <c r="M275" s="63">
        <f>IF(ข้อมูลสูตร!$A272="","",ข้อมูลสูตร!N272)</f>
        <v>0</v>
      </c>
      <c r="N275" s="63">
        <f>IF(ข้อมูลสูตร!$A272="","",ข้อมูลสูตร!O272)</f>
        <v>0</v>
      </c>
      <c r="O275" s="63">
        <f>IF(ข้อมูลสูตร!$A272="","",ข้อมูลสูตร!P272)</f>
        <v>0</v>
      </c>
      <c r="P275" s="63">
        <f>IF(ข้อมูลสูตร!$A272="","",ข้อมูลสูตร!Q272)</f>
        <v>0</v>
      </c>
      <c r="Q275" s="63">
        <f>IF(ข้อมูลสูตร!$A272="","",ข้อมูลสูตร!R272)</f>
        <v>0</v>
      </c>
      <c r="R275" s="63">
        <f>IF(ข้อมูลสูตร!$A272="","",ข้อมูลสูตร!S272)</f>
        <v>250</v>
      </c>
      <c r="S275" s="63">
        <f>IF(ข้อมูลสูตร!$A272="","",ข้อมูลสูตร!T272)</f>
        <v>0</v>
      </c>
      <c r="T275" s="63">
        <f>IF(ข้อมูลสูตร!$A272="","",ข้อมูลสูตร!U272)</f>
        <v>0</v>
      </c>
      <c r="U275" s="64">
        <f>IF(ข้อมูลสูตร!$A272="","",ข้อมูลสูตร!V272)</f>
        <v>225</v>
      </c>
      <c r="V275" s="8">
        <f>IF(ข้อมูลสูตร!$A272="","",ข้อมูลสูตร!W272)</f>
        <v>16.399999999999999</v>
      </c>
      <c r="W275" s="64">
        <f>IF(ข้อมูลสูตร!$A272="","",ข้อมูลสูตร!X272)</f>
        <v>70</v>
      </c>
      <c r="X275" s="23">
        <f>IF(ข้อมูลสูตร!$A272="","",ข้อมูลสูตร!Y272)</f>
        <v>0.76571428571428568</v>
      </c>
      <c r="Y275" s="48" t="str">
        <f>IF(ข้อมูลสูตร!$A272="","",ข้อมูลสูตร!Z272)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75" s="48" t="str">
        <f>ข้อมูลสูตร!$A272</f>
        <v>Thai Tea Frappe|20 oz|0%</v>
      </c>
    </row>
    <row r="276" spans="1:26" x14ac:dyDescent="0.25">
      <c r="A276" s="4" t="str">
        <f>IF(ข้อมูลสูตร!$A273="","",ข้อมูลสูตร!B273)</f>
        <v>Thai Tea Frappe</v>
      </c>
      <c r="B276" s="4" t="str">
        <f>IF(ข้อมูลสูตร!$A273="","",ข้อมูลสูตร!C273)</f>
        <v>20 oz</v>
      </c>
      <c r="C276" s="4" t="str">
        <f>IF(ข้อมูลสูตร!$A273="","",ข้อมูลสูตร!D273)</f>
        <v>25%</v>
      </c>
      <c r="D276" s="63">
        <f>IF(ข้อมูลสูตร!$A273="","",ข้อมูลสูตร!E273)</f>
        <v>112.5</v>
      </c>
      <c r="E276" s="63">
        <f>IF(ข้อมูลสูตร!$A273="","",ข้อมูลสูตร!F273)</f>
        <v>0</v>
      </c>
      <c r="F276" s="63">
        <f>IF(ข้อมูลสูตร!$A273="","",ข้อมูลสูตร!G273)</f>
        <v>87.5</v>
      </c>
      <c r="G276" s="63">
        <f>IF(ข้อมูลสูตร!$A273="","",ข้อมูลสูตร!H273)</f>
        <v>25</v>
      </c>
      <c r="H276" s="63">
        <f>IF(ข้อมูลสูตร!$A273="","",ข้อมูลสูตร!I273)</f>
        <v>10</v>
      </c>
      <c r="I276" s="63">
        <f>IF(ข้อมูลสูตร!$A273="","",ข้อมูลสูตร!J273)</f>
        <v>14.4</v>
      </c>
      <c r="J276" s="63">
        <f>IF(ข้อมูลสูตร!$A273="","",ข้อมูลสูตร!K273)</f>
        <v>0</v>
      </c>
      <c r="K276" s="63">
        <f>IF(ข้อมูลสูตร!$A273="","",ข้อมูลสูตร!L273)</f>
        <v>0</v>
      </c>
      <c r="L276" s="63">
        <f>IF(ข้อมูลสูตร!$A273="","",ข้อมูลสูตร!M273)</f>
        <v>0</v>
      </c>
      <c r="M276" s="63">
        <f>IF(ข้อมูลสูตร!$A273="","",ข้อมูลสูตร!N273)</f>
        <v>0</v>
      </c>
      <c r="N276" s="63">
        <f>IF(ข้อมูลสูตร!$A273="","",ข้อมูลสูตร!O273)</f>
        <v>0</v>
      </c>
      <c r="O276" s="63">
        <f>IF(ข้อมูลสูตร!$A273="","",ข้อมูลสูตร!P273)</f>
        <v>0</v>
      </c>
      <c r="P276" s="63">
        <f>IF(ข้อมูลสูตร!$A273="","",ข้อมูลสูตร!Q273)</f>
        <v>0</v>
      </c>
      <c r="Q276" s="63">
        <f>IF(ข้อมูลสูตร!$A273="","",ข้อมูลสูตร!R273)</f>
        <v>0</v>
      </c>
      <c r="R276" s="63">
        <f>IF(ข้อมูลสูตร!$A273="","",ข้อมูลสูตร!S273)</f>
        <v>250</v>
      </c>
      <c r="S276" s="63">
        <f>IF(ข้อมูลสูตร!$A273="","",ข้อมูลสูตร!T273)</f>
        <v>0</v>
      </c>
      <c r="T276" s="63">
        <f>IF(ข้อมูลสูตร!$A273="","",ข้อมูลสูตร!U273)</f>
        <v>0</v>
      </c>
      <c r="U276" s="64">
        <f>IF(ข้อมูลสูตร!$A273="","",ข้อมูลสูตร!V273)</f>
        <v>249.4</v>
      </c>
      <c r="V276" s="8">
        <f>IF(ข้อมูลสูตร!$A273="","",ข้อมูลสูตร!W273)</f>
        <v>17.34</v>
      </c>
      <c r="W276" s="64">
        <f>IF(ข้อมูลสูตร!$A273="","",ข้อมูลสูตร!X273)</f>
        <v>70</v>
      </c>
      <c r="X276" s="23">
        <f>IF(ข้อมูลสูตร!$A273="","",ข้อมูลสูตร!Y273)</f>
        <v>0.75228571428571422</v>
      </c>
      <c r="Y276" s="48" t="str">
        <f>IF(ข้อมูลสูตร!$A273="","",ข้อมูลสูตร!Z273)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6" s="48" t="str">
        <f>ข้อมูลสูตร!$A273</f>
        <v>Thai Tea Frappe|20 oz|25%</v>
      </c>
    </row>
    <row r="277" spans="1:26" x14ac:dyDescent="0.25">
      <c r="A277" s="4" t="str">
        <f>IF(ข้อมูลสูตร!$A274="","",ข้อมูลสูตร!B274)</f>
        <v>Thai Tea Frappe</v>
      </c>
      <c r="B277" s="4" t="str">
        <f>IF(ข้อมูลสูตร!$A274="","",ข้อมูลสูตร!C274)</f>
        <v>20 oz</v>
      </c>
      <c r="C277" s="4" t="str">
        <f>IF(ข้อมูลสูตร!$A274="","",ข้อมูลสูตร!D274)</f>
        <v>50%</v>
      </c>
      <c r="D277" s="63">
        <f>IF(ข้อมูลสูตร!$A274="","",ข้อมูลสูตร!E274)</f>
        <v>112.5</v>
      </c>
      <c r="E277" s="63">
        <f>IF(ข้อมูลสูตร!$A274="","",ข้อมูลสูตร!F274)</f>
        <v>0</v>
      </c>
      <c r="F277" s="63">
        <f>IF(ข้อมูลสูตร!$A274="","",ข้อมูลสูตร!G274)</f>
        <v>87.5</v>
      </c>
      <c r="G277" s="63">
        <f>IF(ข้อมูลสูตร!$A274="","",ข้อมูลสูตร!H274)</f>
        <v>25</v>
      </c>
      <c r="H277" s="63">
        <f>IF(ข้อมูลสูตร!$A274="","",ข้อมูลสูตร!I274)</f>
        <v>20</v>
      </c>
      <c r="I277" s="63">
        <f>IF(ข้อมูลสูตร!$A274="","",ข้อมูลสูตร!J274)</f>
        <v>14.4</v>
      </c>
      <c r="J277" s="63">
        <f>IF(ข้อมูลสูตร!$A274="","",ข้อมูลสูตร!K274)</f>
        <v>0</v>
      </c>
      <c r="K277" s="63">
        <f>IF(ข้อมูลสูตร!$A274="","",ข้อมูลสูตร!L274)</f>
        <v>0</v>
      </c>
      <c r="L277" s="63">
        <f>IF(ข้อมูลสูตร!$A274="","",ข้อมูลสูตร!M274)</f>
        <v>0</v>
      </c>
      <c r="M277" s="63">
        <f>IF(ข้อมูลสูตร!$A274="","",ข้อมูลสูตร!N274)</f>
        <v>0</v>
      </c>
      <c r="N277" s="63">
        <f>IF(ข้อมูลสูตร!$A274="","",ข้อมูลสูตร!O274)</f>
        <v>0</v>
      </c>
      <c r="O277" s="63">
        <f>IF(ข้อมูลสูตร!$A274="","",ข้อมูลสูตร!P274)</f>
        <v>0</v>
      </c>
      <c r="P277" s="63">
        <f>IF(ข้อมูลสูตร!$A274="","",ข้อมูลสูตร!Q274)</f>
        <v>0</v>
      </c>
      <c r="Q277" s="63">
        <f>IF(ข้อมูลสูตร!$A274="","",ข้อมูลสูตร!R274)</f>
        <v>0</v>
      </c>
      <c r="R277" s="63">
        <f>IF(ข้อมูลสูตร!$A274="","",ข้อมูลสูตร!S274)</f>
        <v>250</v>
      </c>
      <c r="S277" s="63">
        <f>IF(ข้อมูลสูตร!$A274="","",ข้อมูลสูตร!T274)</f>
        <v>0</v>
      </c>
      <c r="T277" s="63">
        <f>IF(ข้อมูลสูตร!$A274="","",ข้อมูลสูตร!U274)</f>
        <v>0</v>
      </c>
      <c r="U277" s="64">
        <f>IF(ข้อมูลสูตร!$A274="","",ข้อมูลสูตร!V274)</f>
        <v>259.39999999999998</v>
      </c>
      <c r="V277" s="8">
        <f>IF(ข้อมูลสูตร!$A274="","",ข้อมูลสูตร!W274)</f>
        <v>18.03</v>
      </c>
      <c r="W277" s="64">
        <f>IF(ข้อมูลสูตร!$A274="","",ข้อมูลสูตร!X274)</f>
        <v>70</v>
      </c>
      <c r="X277" s="23">
        <f>IF(ข้อมูลสูตร!$A274="","",ข้อมูลสูตร!Y274)</f>
        <v>0.74242857142857144</v>
      </c>
      <c r="Y277" s="48" t="str">
        <f>IF(ข้อมูลสูตร!$A274="","",ข้อมูลสูตร!Z274)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7" s="48" t="str">
        <f>ข้อมูลสูตร!$A274</f>
        <v>Thai Tea Frappe|20 oz|50%</v>
      </c>
    </row>
    <row r="278" spans="1:26" x14ac:dyDescent="0.25">
      <c r="A278" s="4" t="str">
        <f>IF(ข้อมูลสูตร!$A275="","",ข้อมูลสูตร!B275)</f>
        <v>Thai Tea Frappe</v>
      </c>
      <c r="B278" s="4" t="str">
        <f>IF(ข้อมูลสูตร!$A275="","",ข้อมูลสูตร!C275)</f>
        <v>20 oz</v>
      </c>
      <c r="C278" s="4" t="str">
        <f>IF(ข้อมูลสูตร!$A275="","",ข้อมูลสูตร!D275)</f>
        <v>75%</v>
      </c>
      <c r="D278" s="63">
        <f>IF(ข้อมูลสูตร!$A275="","",ข้อมูลสูตร!E275)</f>
        <v>112.5</v>
      </c>
      <c r="E278" s="63">
        <f>IF(ข้อมูลสูตร!$A275="","",ข้อมูลสูตร!F275)</f>
        <v>0</v>
      </c>
      <c r="F278" s="63">
        <f>IF(ข้อมูลสูตร!$A275="","",ข้อมูลสูตร!G275)</f>
        <v>87.5</v>
      </c>
      <c r="G278" s="63">
        <f>IF(ข้อมูลสูตร!$A275="","",ข้อมูลสูตร!H275)</f>
        <v>25</v>
      </c>
      <c r="H278" s="63">
        <f>IF(ข้อมูลสูตร!$A275="","",ข้อมูลสูตร!I275)</f>
        <v>30</v>
      </c>
      <c r="I278" s="63">
        <f>IF(ข้อมูลสูตร!$A275="","",ข้อมูลสูตร!J275)</f>
        <v>14.4</v>
      </c>
      <c r="J278" s="63">
        <f>IF(ข้อมูลสูตร!$A275="","",ข้อมูลสูตร!K275)</f>
        <v>0</v>
      </c>
      <c r="K278" s="63">
        <f>IF(ข้อมูลสูตร!$A275="","",ข้อมูลสูตร!L275)</f>
        <v>0</v>
      </c>
      <c r="L278" s="63">
        <f>IF(ข้อมูลสูตร!$A275="","",ข้อมูลสูตร!M275)</f>
        <v>0</v>
      </c>
      <c r="M278" s="63">
        <f>IF(ข้อมูลสูตร!$A275="","",ข้อมูลสูตร!N275)</f>
        <v>0</v>
      </c>
      <c r="N278" s="63">
        <f>IF(ข้อมูลสูตร!$A275="","",ข้อมูลสูตร!O275)</f>
        <v>0</v>
      </c>
      <c r="O278" s="63">
        <f>IF(ข้อมูลสูตร!$A275="","",ข้อมูลสูตร!P275)</f>
        <v>0</v>
      </c>
      <c r="P278" s="63">
        <f>IF(ข้อมูลสูตร!$A275="","",ข้อมูลสูตร!Q275)</f>
        <v>0</v>
      </c>
      <c r="Q278" s="63">
        <f>IF(ข้อมูลสูตร!$A275="","",ข้อมูลสูตร!R275)</f>
        <v>0</v>
      </c>
      <c r="R278" s="63">
        <f>IF(ข้อมูลสูตร!$A275="","",ข้อมูลสูตร!S275)</f>
        <v>250</v>
      </c>
      <c r="S278" s="63">
        <f>IF(ข้อมูลสูตร!$A275="","",ข้อมูลสูตร!T275)</f>
        <v>0</v>
      </c>
      <c r="T278" s="63">
        <f>IF(ข้อมูลสูตร!$A275="","",ข้อมูลสูตร!U275)</f>
        <v>0</v>
      </c>
      <c r="U278" s="64">
        <f>IF(ข้อมูลสูตร!$A275="","",ข้อมูลสูตร!V275)</f>
        <v>269.39999999999998</v>
      </c>
      <c r="V278" s="8">
        <f>IF(ข้อมูลสูตร!$A275="","",ข้อมูลสูตร!W275)</f>
        <v>18.72</v>
      </c>
      <c r="W278" s="64">
        <f>IF(ข้อมูลสูตร!$A275="","",ข้อมูลสูตร!X275)</f>
        <v>70</v>
      </c>
      <c r="X278" s="23">
        <f>IF(ข้อมูลสูตร!$A275="","",ข้อมูลสูตร!Y275)</f>
        <v>0.73257142857142854</v>
      </c>
      <c r="Y278" s="48" t="str">
        <f>IF(ข้อมูลสูตร!$A275="","",ข้อมูลสูตร!Z275)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8" s="48" t="str">
        <f>ข้อมูลสูตร!$A275</f>
        <v>Thai Tea Frappe|20 oz|75%</v>
      </c>
    </row>
    <row r="279" spans="1:26" x14ac:dyDescent="0.25">
      <c r="A279" s="4" t="str">
        <f>IF(ข้อมูลสูตร!$A276="","",ข้อมูลสูตร!B276)</f>
        <v>Thai Tea Frappe</v>
      </c>
      <c r="B279" s="4" t="str">
        <f>IF(ข้อมูลสูตร!$A276="","",ข้อมูลสูตร!C276)</f>
        <v>20 oz</v>
      </c>
      <c r="C279" s="4" t="str">
        <f>IF(ข้อมูลสูตร!$A276="","",ข้อมูลสูตร!D276)</f>
        <v>100%</v>
      </c>
      <c r="D279" s="63">
        <f>IF(ข้อมูลสูตร!$A276="","",ข้อมูลสูตร!E276)</f>
        <v>112.5</v>
      </c>
      <c r="E279" s="63">
        <f>IF(ข้อมูลสูตร!$A276="","",ข้อมูลสูตร!F276)</f>
        <v>0</v>
      </c>
      <c r="F279" s="63">
        <f>IF(ข้อมูลสูตร!$A276="","",ข้อมูลสูตร!G276)</f>
        <v>87.5</v>
      </c>
      <c r="G279" s="63">
        <f>IF(ข้อมูลสูตร!$A276="","",ข้อมูลสูตร!H276)</f>
        <v>25</v>
      </c>
      <c r="H279" s="63">
        <f>IF(ข้อมูลสูตร!$A276="","",ข้อมูลสูตร!I276)</f>
        <v>40</v>
      </c>
      <c r="I279" s="63">
        <f>IF(ข้อมูลสูตร!$A276="","",ข้อมูลสูตร!J276)</f>
        <v>14.4</v>
      </c>
      <c r="J279" s="63">
        <f>IF(ข้อมูลสูตร!$A276="","",ข้อมูลสูตร!K276)</f>
        <v>0</v>
      </c>
      <c r="K279" s="63">
        <f>IF(ข้อมูลสูตร!$A276="","",ข้อมูลสูตร!L276)</f>
        <v>0</v>
      </c>
      <c r="L279" s="63">
        <f>IF(ข้อมูลสูตร!$A276="","",ข้อมูลสูตร!M276)</f>
        <v>0</v>
      </c>
      <c r="M279" s="63">
        <f>IF(ข้อมูลสูตร!$A276="","",ข้อมูลสูตร!N276)</f>
        <v>0</v>
      </c>
      <c r="N279" s="63">
        <f>IF(ข้อมูลสูตร!$A276="","",ข้อมูลสูตร!O276)</f>
        <v>0</v>
      </c>
      <c r="O279" s="63">
        <f>IF(ข้อมูลสูตร!$A276="","",ข้อมูลสูตร!P276)</f>
        <v>0</v>
      </c>
      <c r="P279" s="63">
        <f>IF(ข้อมูลสูตร!$A276="","",ข้อมูลสูตร!Q276)</f>
        <v>0</v>
      </c>
      <c r="Q279" s="63">
        <f>IF(ข้อมูลสูตร!$A276="","",ข้อมูลสูตร!R276)</f>
        <v>0</v>
      </c>
      <c r="R279" s="63">
        <f>IF(ข้อมูลสูตร!$A276="","",ข้อมูลสูตร!S276)</f>
        <v>250</v>
      </c>
      <c r="S279" s="63">
        <f>IF(ข้อมูลสูตร!$A276="","",ข้อมูลสูตร!T276)</f>
        <v>0</v>
      </c>
      <c r="T279" s="63">
        <f>IF(ข้อมูลสูตร!$A276="","",ข้อมูลสูตร!U276)</f>
        <v>0</v>
      </c>
      <c r="U279" s="64">
        <f>IF(ข้อมูลสูตร!$A276="","",ข้อมูลสูตร!V276)</f>
        <v>279.39999999999998</v>
      </c>
      <c r="V279" s="8">
        <f>IF(ข้อมูลสูตร!$A276="","",ข้อมูลสูตร!W276)</f>
        <v>19.420000000000002</v>
      </c>
      <c r="W279" s="64">
        <f>IF(ข้อมูลสูตร!$A276="","",ข้อมูลสูตร!X276)</f>
        <v>70</v>
      </c>
      <c r="X279" s="23">
        <f>IF(ข้อมูลสูตร!$A276="","",ข้อมูลสูตร!Y276)</f>
        <v>0.72257142857142853</v>
      </c>
      <c r="Y279" s="48" t="str">
        <f>IF(ข้อมูลสูตร!$A276="","",ข้อมูลสูตร!Z276)</f>
        <v>[20 oz = 16 oz x 1.25] แก้บั๊กใหญ่: เดิม 16 oz ทั้ง 5 ระดับความหวานเหมือนกันหมด (ลูกค้าเลือก 0% ก็ได้แก้วเดียวกับ 100%) — ใส่สเกลความหวานจริงครบทุกระดับแล้ว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79" s="48" t="str">
        <f>ข้อมูลสูตร!$A276</f>
        <v>Thai Tea Frappe|20 oz|100%</v>
      </c>
    </row>
    <row r="280" spans="1:26" x14ac:dyDescent="0.25">
      <c r="A280" s="4" t="str">
        <f>IF(ข้อมูลสูตร!$A277="","",ข้อมูลสูตร!B277)</f>
        <v>Coconut Frappe</v>
      </c>
      <c r="B280" s="4" t="str">
        <f>IF(ข้อมูลสูตร!$A277="","",ข้อมูลสูตร!C277)</f>
        <v>20 oz</v>
      </c>
      <c r="C280" s="4" t="str">
        <f>IF(ข้อมูลสูตร!$A277="","",ข้อมูลสูตร!D277)</f>
        <v>0%</v>
      </c>
      <c r="D280" s="63">
        <f>IF(ข้อมูลสูตร!$A277="","",ข้อมูลสูตร!E277)</f>
        <v>93.8</v>
      </c>
      <c r="E280" s="63">
        <f>IF(ข้อมูลสูตร!$A277="","",ข้อมูลสูตร!F277)</f>
        <v>0</v>
      </c>
      <c r="F280" s="63">
        <f>IF(ข้อมูลสูตร!$A277="","",ข้อมูลสูตร!G277)</f>
        <v>43.8</v>
      </c>
      <c r="G280" s="63">
        <f>IF(ข้อมูลสูตร!$A277="","",ข้อมูลสูตร!H277)</f>
        <v>0</v>
      </c>
      <c r="H280" s="63">
        <f>IF(ข้อมูลสูตร!$A277="","",ข้อมูลสูตร!I277)</f>
        <v>0</v>
      </c>
      <c r="I280" s="63">
        <f>IF(ข้อมูลสูตร!$A277="","",ข้อมูลสูตร!J277)</f>
        <v>0</v>
      </c>
      <c r="J280" s="63">
        <f>IF(ข้อมูลสูตร!$A277="","",ข้อมูลสูตร!K277)</f>
        <v>0</v>
      </c>
      <c r="K280" s="63">
        <f>IF(ข้อมูลสูตร!$A277="","",ข้อมูลสูตร!L277)</f>
        <v>0</v>
      </c>
      <c r="L280" s="63">
        <f>IF(ข้อมูลสูตร!$A277="","",ข้อมูลสูตร!M277)</f>
        <v>0</v>
      </c>
      <c r="M280" s="63">
        <f>IF(ข้อมูลสูตร!$A277="","",ข้อมูลสูตร!N277)</f>
        <v>106.3</v>
      </c>
      <c r="N280" s="63">
        <f>IF(ข้อมูลสูตร!$A277="","",ข้อมูลสูตร!O277)</f>
        <v>0</v>
      </c>
      <c r="O280" s="63">
        <f>IF(ข้อมูลสูตร!$A277="","",ข้อมูลสูตร!P277)</f>
        <v>0</v>
      </c>
      <c r="P280" s="63">
        <f>IF(ข้อมูลสูตร!$A277="","",ข้อมูลสูตร!Q277)</f>
        <v>0</v>
      </c>
      <c r="Q280" s="63">
        <f>IF(ข้อมูลสูตร!$A277="","",ข้อมูลสูตร!R277)</f>
        <v>0</v>
      </c>
      <c r="R280" s="63">
        <f>IF(ข้อมูลสูตร!$A277="","",ข้อมูลสูตร!S277)</f>
        <v>250</v>
      </c>
      <c r="S280" s="63">
        <f>IF(ข้อมูลสูตร!$A277="","",ข้อมูลสูตร!T277)</f>
        <v>0</v>
      </c>
      <c r="T280" s="63">
        <f>IF(ข้อมูลสูตร!$A277="","",ข้อมูลสูตร!U277)</f>
        <v>0</v>
      </c>
      <c r="U280" s="64">
        <f>IF(ข้อมูลสูตร!$A277="","",ข้อมูลสูตร!V277)</f>
        <v>243.89999999999998</v>
      </c>
      <c r="V280" s="8">
        <f>IF(ข้อมูลสูตร!$A277="","",ข้อมูลสูตร!W277)</f>
        <v>19.89</v>
      </c>
      <c r="W280" s="64">
        <f>IF(ข้อมูลสูตร!$A277="","",ข้อมูลสูตร!X277)</f>
        <v>75</v>
      </c>
      <c r="X280" s="23">
        <f>IF(ข้อมูลสูตร!$A277="","",ข้อมูลสูตร!Y277)</f>
        <v>0.73480000000000001</v>
      </c>
      <c r="Y280" s="48" t="str">
        <f>IF(ข้อมูลสูตร!$A277="","",ข้อมูลสูตร!Z277)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80" s="48" t="str">
        <f>ข้อมูลสูตร!$A277</f>
        <v>Coconut Frappe|20 oz|0%</v>
      </c>
    </row>
    <row r="281" spans="1:26" x14ac:dyDescent="0.25">
      <c r="A281" s="4" t="str">
        <f>IF(ข้อมูลสูตร!$A278="","",ข้อมูลสูตร!B278)</f>
        <v>Coconut Frappe</v>
      </c>
      <c r="B281" s="4" t="str">
        <f>IF(ข้อมูลสูตร!$A278="","",ข้อมูลสูตร!C278)</f>
        <v>20 oz</v>
      </c>
      <c r="C281" s="4" t="str">
        <f>IF(ข้อมูลสูตร!$A278="","",ข้อมูลสูตร!D278)</f>
        <v>25%</v>
      </c>
      <c r="D281" s="63">
        <f>IF(ข้อมูลสูตร!$A278="","",ข้อมูลสูตร!E278)</f>
        <v>93.8</v>
      </c>
      <c r="E281" s="63">
        <f>IF(ข้อมูลสูตร!$A278="","",ข้อมูลสูตร!F278)</f>
        <v>0</v>
      </c>
      <c r="F281" s="63">
        <f>IF(ข้อมูลสูตร!$A278="","",ข้อมูลสูตร!G278)</f>
        <v>43.8</v>
      </c>
      <c r="G281" s="63">
        <f>IF(ข้อมูลสูตร!$A278="","",ข้อมูลสูตร!H278)</f>
        <v>0</v>
      </c>
      <c r="H281" s="63">
        <f>IF(ข้อมูลสูตร!$A278="","",ข้อมูลสูตร!I278)</f>
        <v>7.5</v>
      </c>
      <c r="I281" s="63">
        <f>IF(ข้อมูลสูตร!$A278="","",ข้อมูลสูตร!J278)</f>
        <v>12</v>
      </c>
      <c r="J281" s="63">
        <f>IF(ข้อมูลสูตร!$A278="","",ข้อมูลสูตร!K278)</f>
        <v>0</v>
      </c>
      <c r="K281" s="63">
        <f>IF(ข้อมูลสูตร!$A278="","",ข้อมูลสูตร!L278)</f>
        <v>0</v>
      </c>
      <c r="L281" s="63">
        <f>IF(ข้อมูลสูตร!$A278="","",ข้อมูลสูตร!M278)</f>
        <v>0</v>
      </c>
      <c r="M281" s="63">
        <f>IF(ข้อมูลสูตร!$A278="","",ข้อมูลสูตร!N278)</f>
        <v>106.3</v>
      </c>
      <c r="N281" s="63">
        <f>IF(ข้อมูลสูตร!$A278="","",ข้อมูลสูตร!O278)</f>
        <v>0</v>
      </c>
      <c r="O281" s="63">
        <f>IF(ข้อมูลสูตร!$A278="","",ข้อมูลสูตร!P278)</f>
        <v>0</v>
      </c>
      <c r="P281" s="63">
        <f>IF(ข้อมูลสูตร!$A278="","",ข้อมูลสูตร!Q278)</f>
        <v>0</v>
      </c>
      <c r="Q281" s="63">
        <f>IF(ข้อมูลสูตร!$A278="","",ข้อมูลสูตร!R278)</f>
        <v>0</v>
      </c>
      <c r="R281" s="63">
        <f>IF(ข้อมูลสูตร!$A278="","",ข้อมูลสูตร!S278)</f>
        <v>250</v>
      </c>
      <c r="S281" s="63">
        <f>IF(ข้อมูลสูตร!$A278="","",ข้อมูลสูตร!T278)</f>
        <v>0</v>
      </c>
      <c r="T281" s="63">
        <f>IF(ข้อมูลสูตร!$A278="","",ข้อมูลสูตร!U278)</f>
        <v>0</v>
      </c>
      <c r="U281" s="64">
        <f>IF(ข้อมูลสูตร!$A278="","",ข้อมูลสูตร!V278)</f>
        <v>263.39999999999998</v>
      </c>
      <c r="V281" s="8">
        <f>IF(ข้อมูลสูตร!$A278="","",ข้อมูลสูตร!W278)</f>
        <v>20.62</v>
      </c>
      <c r="W281" s="64">
        <f>IF(ข้อมูลสูตร!$A278="","",ข้อมูลสูตร!X278)</f>
        <v>75</v>
      </c>
      <c r="X281" s="23">
        <f>IF(ข้อมูลสูตร!$A278="","",ข้อมูลสูตร!Y278)</f>
        <v>0.72506666666666664</v>
      </c>
      <c r="Y281" s="48" t="str">
        <f>IF(ข้อมูลสูตร!$A278="","",ข้อมูลสูตร!Z278)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81" s="48" t="str">
        <f>ข้อมูลสูตร!$A278</f>
        <v>Coconut Frappe|20 oz|25%</v>
      </c>
    </row>
    <row r="282" spans="1:26" x14ac:dyDescent="0.25">
      <c r="A282" s="4" t="str">
        <f>IF(ข้อมูลสูตร!$A279="","",ข้อมูลสูตร!B279)</f>
        <v>Coconut Frappe</v>
      </c>
      <c r="B282" s="4" t="str">
        <f>IF(ข้อมูลสูตร!$A279="","",ข้อมูลสูตร!C279)</f>
        <v>20 oz</v>
      </c>
      <c r="C282" s="4" t="str">
        <f>IF(ข้อมูลสูตร!$A279="","",ข้อมูลสูตร!D279)</f>
        <v>50%</v>
      </c>
      <c r="D282" s="63">
        <f>IF(ข้อมูลสูตร!$A279="","",ข้อมูลสูตร!E279)</f>
        <v>93.8</v>
      </c>
      <c r="E282" s="63">
        <f>IF(ข้อมูลสูตร!$A279="","",ข้อมูลสูตร!F279)</f>
        <v>0</v>
      </c>
      <c r="F282" s="63">
        <f>IF(ข้อมูลสูตร!$A279="","",ข้อมูลสูตร!G279)</f>
        <v>43.8</v>
      </c>
      <c r="G282" s="63">
        <f>IF(ข้อมูลสูตร!$A279="","",ข้อมูลสูตร!H279)</f>
        <v>0</v>
      </c>
      <c r="H282" s="63">
        <f>IF(ข้อมูลสูตร!$A279="","",ข้อมูลสูตร!I279)</f>
        <v>15</v>
      </c>
      <c r="I282" s="63">
        <f>IF(ข้อมูลสูตร!$A279="","",ข้อมูลสูตร!J279)</f>
        <v>12</v>
      </c>
      <c r="J282" s="63">
        <f>IF(ข้อมูลสูตร!$A279="","",ข้อมูลสูตร!K279)</f>
        <v>0</v>
      </c>
      <c r="K282" s="63">
        <f>IF(ข้อมูลสูตร!$A279="","",ข้อมูลสูตร!L279)</f>
        <v>0</v>
      </c>
      <c r="L282" s="63">
        <f>IF(ข้อมูลสูตร!$A279="","",ข้อมูลสูตร!M279)</f>
        <v>0</v>
      </c>
      <c r="M282" s="63">
        <f>IF(ข้อมูลสูตร!$A279="","",ข้อมูลสูตร!N279)</f>
        <v>106.3</v>
      </c>
      <c r="N282" s="63">
        <f>IF(ข้อมูลสูตร!$A279="","",ข้อมูลสูตร!O279)</f>
        <v>0</v>
      </c>
      <c r="O282" s="63">
        <f>IF(ข้อมูลสูตร!$A279="","",ข้อมูลสูตร!P279)</f>
        <v>0</v>
      </c>
      <c r="P282" s="63">
        <f>IF(ข้อมูลสูตร!$A279="","",ข้อมูลสูตร!Q279)</f>
        <v>0</v>
      </c>
      <c r="Q282" s="63">
        <f>IF(ข้อมูลสูตร!$A279="","",ข้อมูลสูตร!R279)</f>
        <v>0</v>
      </c>
      <c r="R282" s="63">
        <f>IF(ข้อมูลสูตร!$A279="","",ข้อมูลสูตร!S279)</f>
        <v>250</v>
      </c>
      <c r="S282" s="63">
        <f>IF(ข้อมูลสูตร!$A279="","",ข้อมูลสูตร!T279)</f>
        <v>0</v>
      </c>
      <c r="T282" s="63">
        <f>IF(ข้อมูลสูตร!$A279="","",ข้อมูลสูตร!U279)</f>
        <v>0</v>
      </c>
      <c r="U282" s="64">
        <f>IF(ข้อมูลสูตร!$A279="","",ข้อมูลสูตร!V279)</f>
        <v>270.89999999999998</v>
      </c>
      <c r="V282" s="8">
        <f>IF(ข้อมูลสูตร!$A279="","",ข้อมูลสูตร!W279)</f>
        <v>21.14</v>
      </c>
      <c r="W282" s="64">
        <f>IF(ข้อมูลสูตร!$A279="","",ข้อมูลสูตร!X279)</f>
        <v>75</v>
      </c>
      <c r="X282" s="23">
        <f>IF(ข้อมูลสูตร!$A279="","",ข้อมูลสูตร!Y279)</f>
        <v>0.71813333333333329</v>
      </c>
      <c r="Y282" s="48" t="str">
        <f>IF(ข้อมูลสูตร!$A279="","",ข้อมูลสูตร!Z279)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82" s="48" t="str">
        <f>ข้อมูลสูตร!$A279</f>
        <v>Coconut Frappe|20 oz|50%</v>
      </c>
    </row>
    <row r="283" spans="1:26" x14ac:dyDescent="0.25">
      <c r="A283" s="4" t="str">
        <f>IF(ข้อมูลสูตร!$A280="","",ข้อมูลสูตร!B280)</f>
        <v>Coconut Frappe</v>
      </c>
      <c r="B283" s="4" t="str">
        <f>IF(ข้อมูลสูตร!$A280="","",ข้อมูลสูตร!C280)</f>
        <v>20 oz</v>
      </c>
      <c r="C283" s="4" t="str">
        <f>IF(ข้อมูลสูตร!$A280="","",ข้อมูลสูตร!D280)</f>
        <v>75%</v>
      </c>
      <c r="D283" s="63">
        <f>IF(ข้อมูลสูตร!$A280="","",ข้อมูลสูตร!E280)</f>
        <v>93.8</v>
      </c>
      <c r="E283" s="63">
        <f>IF(ข้อมูลสูตร!$A280="","",ข้อมูลสูตร!F280)</f>
        <v>0</v>
      </c>
      <c r="F283" s="63">
        <f>IF(ข้อมูลสูตร!$A280="","",ข้อมูลสูตร!G280)</f>
        <v>43.8</v>
      </c>
      <c r="G283" s="63">
        <f>IF(ข้อมูลสูตร!$A280="","",ข้อมูลสูตร!H280)</f>
        <v>0</v>
      </c>
      <c r="H283" s="63">
        <f>IF(ข้อมูลสูตร!$A280="","",ข้อมูลสูตร!I280)</f>
        <v>22.5</v>
      </c>
      <c r="I283" s="63">
        <f>IF(ข้อมูลสูตร!$A280="","",ข้อมูลสูตร!J280)</f>
        <v>12</v>
      </c>
      <c r="J283" s="63">
        <f>IF(ข้อมูลสูตร!$A280="","",ข้อมูลสูตร!K280)</f>
        <v>0</v>
      </c>
      <c r="K283" s="63">
        <f>IF(ข้อมูลสูตร!$A280="","",ข้อมูลสูตร!L280)</f>
        <v>0</v>
      </c>
      <c r="L283" s="63">
        <f>IF(ข้อมูลสูตร!$A280="","",ข้อมูลสูตร!M280)</f>
        <v>0</v>
      </c>
      <c r="M283" s="63">
        <f>IF(ข้อมูลสูตร!$A280="","",ข้อมูลสูตร!N280)</f>
        <v>106.3</v>
      </c>
      <c r="N283" s="63">
        <f>IF(ข้อมูลสูตร!$A280="","",ข้อมูลสูตร!O280)</f>
        <v>0</v>
      </c>
      <c r="O283" s="63">
        <f>IF(ข้อมูลสูตร!$A280="","",ข้อมูลสูตร!P280)</f>
        <v>0</v>
      </c>
      <c r="P283" s="63">
        <f>IF(ข้อมูลสูตร!$A280="","",ข้อมูลสูตร!Q280)</f>
        <v>0</v>
      </c>
      <c r="Q283" s="63">
        <f>IF(ข้อมูลสูตร!$A280="","",ข้อมูลสูตร!R280)</f>
        <v>0</v>
      </c>
      <c r="R283" s="63">
        <f>IF(ข้อมูลสูตร!$A280="","",ข้อมูลสูตร!S280)</f>
        <v>250</v>
      </c>
      <c r="S283" s="63">
        <f>IF(ข้อมูลสูตร!$A280="","",ข้อมูลสูตร!T280)</f>
        <v>0</v>
      </c>
      <c r="T283" s="63">
        <f>IF(ข้อมูลสูตร!$A280="","",ข้อมูลสูตร!U280)</f>
        <v>0</v>
      </c>
      <c r="U283" s="64">
        <f>IF(ข้อมูลสูตร!$A280="","",ข้อมูลสูตร!V280)</f>
        <v>278.39999999999998</v>
      </c>
      <c r="V283" s="8">
        <f>IF(ข้อมูลสูตร!$A280="","",ข้อมูลสูตร!W280)</f>
        <v>21.65</v>
      </c>
      <c r="W283" s="64">
        <f>IF(ข้อมูลสูตร!$A280="","",ข้อมูลสูตร!X280)</f>
        <v>75</v>
      </c>
      <c r="X283" s="23">
        <f>IF(ข้อมูลสูตร!$A280="","",ข้อมูลสูตร!Y280)</f>
        <v>0.71133333333333337</v>
      </c>
      <c r="Y283" s="48" t="str">
        <f>IF(ข้อมูลสูตร!$A280="","",ข้อมูลสูตร!Z280)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83" s="48" t="str">
        <f>ข้อมูลสูตร!$A280</f>
        <v>Coconut Frappe|20 oz|75%</v>
      </c>
    </row>
    <row r="284" spans="1:26" x14ac:dyDescent="0.25">
      <c r="A284" s="4" t="str">
        <f>IF(ข้อมูลสูตร!$A281="","",ข้อมูลสูตร!B281)</f>
        <v>Coconut Frappe</v>
      </c>
      <c r="B284" s="4" t="str">
        <f>IF(ข้อมูลสูตร!$A281="","",ข้อมูลสูตร!C281)</f>
        <v>20 oz</v>
      </c>
      <c r="C284" s="4" t="str">
        <f>IF(ข้อมูลสูตร!$A281="","",ข้อมูลสูตร!D281)</f>
        <v>100%</v>
      </c>
      <c r="D284" s="63">
        <f>IF(ข้อมูลสูตร!$A281="","",ข้อมูลสูตร!E281)</f>
        <v>93.8</v>
      </c>
      <c r="E284" s="63">
        <f>IF(ข้อมูลสูตร!$A281="","",ข้อมูลสูตร!F281)</f>
        <v>0</v>
      </c>
      <c r="F284" s="63">
        <f>IF(ข้อมูลสูตร!$A281="","",ข้อมูลสูตร!G281)</f>
        <v>43.8</v>
      </c>
      <c r="G284" s="63">
        <f>IF(ข้อมูลสูตร!$A281="","",ข้อมูลสูตร!H281)</f>
        <v>0</v>
      </c>
      <c r="H284" s="63">
        <f>IF(ข้อมูลสูตร!$A281="","",ข้อมูลสูตร!I281)</f>
        <v>30</v>
      </c>
      <c r="I284" s="63">
        <f>IF(ข้อมูลสูตร!$A281="","",ข้อมูลสูตร!J281)</f>
        <v>12</v>
      </c>
      <c r="J284" s="63">
        <f>IF(ข้อมูลสูตร!$A281="","",ข้อมูลสูตร!K281)</f>
        <v>0</v>
      </c>
      <c r="K284" s="63">
        <f>IF(ข้อมูลสูตร!$A281="","",ข้อมูลสูตร!L281)</f>
        <v>0</v>
      </c>
      <c r="L284" s="63">
        <f>IF(ข้อมูลสูตร!$A281="","",ข้อมูลสูตร!M281)</f>
        <v>0</v>
      </c>
      <c r="M284" s="63">
        <f>IF(ข้อมูลสูตร!$A281="","",ข้อมูลสูตร!N281)</f>
        <v>106.3</v>
      </c>
      <c r="N284" s="63">
        <f>IF(ข้อมูลสูตร!$A281="","",ข้อมูลสูตร!O281)</f>
        <v>0</v>
      </c>
      <c r="O284" s="63">
        <f>IF(ข้อมูลสูตร!$A281="","",ข้อมูลสูตร!P281)</f>
        <v>0</v>
      </c>
      <c r="P284" s="63">
        <f>IF(ข้อมูลสูตร!$A281="","",ข้อมูลสูตร!Q281)</f>
        <v>0</v>
      </c>
      <c r="Q284" s="63">
        <f>IF(ข้อมูลสูตร!$A281="","",ข้อมูลสูตร!R281)</f>
        <v>0</v>
      </c>
      <c r="R284" s="63">
        <f>IF(ข้อมูลสูตร!$A281="","",ข้อมูลสูตร!S281)</f>
        <v>250</v>
      </c>
      <c r="S284" s="63">
        <f>IF(ข้อมูลสูตร!$A281="","",ข้อมูลสูตร!T281)</f>
        <v>0</v>
      </c>
      <c r="T284" s="63">
        <f>IF(ข้อมูลสูตร!$A281="","",ข้อมูลสูตร!U281)</f>
        <v>0</v>
      </c>
      <c r="U284" s="64">
        <f>IF(ข้อมูลสูตร!$A281="","",ข้อมูลสูตร!V281)</f>
        <v>285.89999999999998</v>
      </c>
      <c r="V284" s="8">
        <f>IF(ข้อมูลสูตร!$A281="","",ข้อมูลสูตร!W281)</f>
        <v>22.17</v>
      </c>
      <c r="W284" s="64">
        <f>IF(ข้อมูลสูตร!$A281="","",ข้อมูลสูตร!X281)</f>
        <v>75</v>
      </c>
      <c r="X284" s="23">
        <f>IF(ข้อมูลสูตร!$A281="","",ข้อมูลสูตร!Y281)</f>
        <v>0.70440000000000003</v>
      </c>
      <c r="Y284" s="48" t="str">
        <f>IF(ข้อมูลสูตร!$A281="","",ข้อมูลสูตร!Z281)</f>
        <v>[20 oz = 16 oz x 1.25] แก้: (1) เดิม 16 oz ไม่มีสเกลความหวาน — เพิ่มให้แล้ว (2) '150 ml*' มีดอกจันแต่ไม่มีเชิงอรรถ — แทนด้วย 'เบสมะพร้าว' ที่มีสูตรชัดเจน ซึ่งมีไซรัปมะพร้าวอยู่แล้ว จึงยังคงกลิ่นมะพร้าวแม้สั่ง 0% ตามที่ตั้งใจไว้เดิม · รอบ 6: เบสชาไทยไม่มีน้ำตาลแล้ว จึงเติมน้ำเชื่อม 1:1 ชดเชย = 0.128 × ปริมาณเบสชา เพื่อให้ความหวานเท่าสูตรเดิม</v>
      </c>
      <c r="Z284" s="48" t="str">
        <f>ข้อมูลสูตร!$A281</f>
        <v>Coconut Frappe|20 oz|100%</v>
      </c>
    </row>
    <row r="285" spans="1:26" x14ac:dyDescent="0.25">
      <c r="A285" s="4" t="str">
        <f>IF(ข้อมูลสูตร!$A282="","",ข้อมูลสูตร!B282)</f>
        <v>Honey Milk</v>
      </c>
      <c r="B285" s="4" t="str">
        <f>IF(ข้อมูลสูตร!$A282="","",ข้อมูลสูตร!C282)</f>
        <v>20 oz</v>
      </c>
      <c r="C285" s="4" t="str">
        <f>IF(ข้อมูลสูตร!$A282="","",ข้อมูลสูตร!D282)</f>
        <v>0%</v>
      </c>
      <c r="D285" s="63">
        <f>IF(ข้อมูลสูตร!$A282="","",ข้อมูลสูตร!E282)</f>
        <v>150</v>
      </c>
      <c r="E285" s="63">
        <f>IF(ข้อมูลสูตร!$A282="","",ข้อมูลสูตร!F282)</f>
        <v>0</v>
      </c>
      <c r="F285" s="63">
        <f>IF(ข้อมูลสูตร!$A282="","",ข้อมูลสูตร!G282)</f>
        <v>68.8</v>
      </c>
      <c r="G285" s="63">
        <f>IF(ข้อมูลสูตร!$A282="","",ข้อมูลสูตร!H282)</f>
        <v>22.5</v>
      </c>
      <c r="H285" s="63">
        <f>IF(ข้อมูลสูตร!$A282="","",ข้อมูลสูตร!I282)</f>
        <v>0</v>
      </c>
      <c r="I285" s="63">
        <f>IF(ข้อมูลสูตร!$A282="","",ข้อมูลสูตร!J282)</f>
        <v>0</v>
      </c>
      <c r="J285" s="63">
        <f>IF(ข้อมูลสูตร!$A282="","",ข้อมูลสูตร!K282)</f>
        <v>0</v>
      </c>
      <c r="K285" s="63">
        <f>IF(ข้อมูลสูตร!$A282="","",ข้อมูลสูตร!L282)</f>
        <v>0</v>
      </c>
      <c r="L285" s="63">
        <f>IF(ข้อมูลสูตร!$A282="","",ข้อมูลสูตร!M282)</f>
        <v>0</v>
      </c>
      <c r="M285" s="63">
        <f>IF(ข้อมูลสูตร!$A282="","",ข้อมูลสูตร!N282)</f>
        <v>0</v>
      </c>
      <c r="N285" s="63">
        <f>IF(ข้อมูลสูตร!$A282="","",ข้อมูลสูตร!O282)</f>
        <v>0</v>
      </c>
      <c r="O285" s="63">
        <f>IF(ข้อมูลสูตร!$A282="","",ข้อมูลสูตร!P282)</f>
        <v>0</v>
      </c>
      <c r="P285" s="63">
        <f>IF(ข้อมูลสูตร!$A282="","",ข้อมูลสูตร!Q282)</f>
        <v>0</v>
      </c>
      <c r="Q285" s="63">
        <f>IF(ข้อมูลสูตร!$A282="","",ข้อมูลสูตร!R282)</f>
        <v>0</v>
      </c>
      <c r="R285" s="63">
        <f>IF(ข้อมูลสูตร!$A282="","",ข้อมูลสูตร!S282)</f>
        <v>300</v>
      </c>
      <c r="S285" s="63">
        <f>IF(ข้อมูลสูตร!$A282="","",ข้อมูลสูตร!T282)</f>
        <v>0</v>
      </c>
      <c r="T285" s="63">
        <f>IF(ข้อมูลสูตร!$A282="","",ข้อมูลสูตร!U282)</f>
        <v>0</v>
      </c>
      <c r="U285" s="64">
        <f>IF(ข้อมูลสูตร!$A282="","",ข้อมูลสูตร!V282)</f>
        <v>241.3</v>
      </c>
      <c r="V285" s="8">
        <f>IF(ข้อมูลสูตร!$A282="","",ข้อมูลสูตร!W282)</f>
        <v>16.77</v>
      </c>
      <c r="W285" s="64">
        <f>IF(ข้อมูลสูตร!$A282="","",ข้อมูลสูตร!X282)</f>
        <v>55</v>
      </c>
      <c r="X285" s="23">
        <f>IF(ข้อมูลสูตร!$A282="","",ข้อมูลสูตร!Y282)</f>
        <v>0.6950909090909092</v>
      </c>
      <c r="Y285" s="48" t="str">
        <f>IF(ข้อมูลสูตร!$A282="","",ข้อมูลสูตร!Z282)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85" s="48" t="str">
        <f>ข้อมูลสูตร!$A282</f>
        <v>Honey Milk|20 oz|0%</v>
      </c>
    </row>
    <row r="286" spans="1:26" x14ac:dyDescent="0.25">
      <c r="A286" s="4" t="str">
        <f>IF(ข้อมูลสูตร!$A283="","",ข้อมูลสูตร!B283)</f>
        <v>Honey Milk</v>
      </c>
      <c r="B286" s="4" t="str">
        <f>IF(ข้อมูลสูตร!$A283="","",ข้อมูลสูตร!C283)</f>
        <v>20 oz</v>
      </c>
      <c r="C286" s="4" t="str">
        <f>IF(ข้อมูลสูตร!$A283="","",ข้อมูลสูตร!D283)</f>
        <v>25%</v>
      </c>
      <c r="D286" s="63">
        <f>IF(ข้อมูลสูตร!$A283="","",ข้อมูลสูตร!E283)</f>
        <v>150</v>
      </c>
      <c r="E286" s="63">
        <f>IF(ข้อมูลสูตร!$A283="","",ข้อมูลสูตร!F283)</f>
        <v>0</v>
      </c>
      <c r="F286" s="63">
        <f>IF(ข้อมูลสูตร!$A283="","",ข้อมูลสูตร!G283)</f>
        <v>49.5</v>
      </c>
      <c r="G286" s="63">
        <f>IF(ข้อมูลสูตร!$A283="","",ข้อมูลสูตร!H283)</f>
        <v>22.5</v>
      </c>
      <c r="H286" s="63">
        <f>IF(ข้อมูลสูตร!$A283="","",ข้อมูลสูตร!I283)</f>
        <v>0</v>
      </c>
      <c r="I286" s="63">
        <f>IF(ข้อมูลสูตร!$A283="","",ข้อมูลสูตร!J283)</f>
        <v>23</v>
      </c>
      <c r="J286" s="63">
        <f>IF(ข้อมูลสูตร!$A283="","",ข้อมูลสูตร!K283)</f>
        <v>5</v>
      </c>
      <c r="K286" s="63">
        <f>IF(ข้อมูลสูตร!$A283="","",ข้อมูลสูตร!L283)</f>
        <v>0</v>
      </c>
      <c r="L286" s="63">
        <f>IF(ข้อมูลสูตร!$A283="","",ข้อมูลสูตร!M283)</f>
        <v>0</v>
      </c>
      <c r="M286" s="63">
        <f>IF(ข้อมูลสูตร!$A283="","",ข้อมูลสูตร!N283)</f>
        <v>0</v>
      </c>
      <c r="N286" s="63">
        <f>IF(ข้อมูลสูตร!$A283="","",ข้อมูลสูตร!O283)</f>
        <v>0</v>
      </c>
      <c r="O286" s="63">
        <f>IF(ข้อมูลสูตร!$A283="","",ข้อมูลสูตร!P283)</f>
        <v>0</v>
      </c>
      <c r="P286" s="63">
        <f>IF(ข้อมูลสูตร!$A283="","",ข้อมูลสูตร!Q283)</f>
        <v>0</v>
      </c>
      <c r="Q286" s="63">
        <f>IF(ข้อมูลสูตร!$A283="","",ข้อมูลสูตร!R283)</f>
        <v>0</v>
      </c>
      <c r="R286" s="63">
        <f>IF(ข้อมูลสูตร!$A283="","",ข้อมูลสูตร!S283)</f>
        <v>300</v>
      </c>
      <c r="S286" s="63">
        <f>IF(ข้อมูลสูตร!$A283="","",ข้อมูลสูตร!T283)</f>
        <v>0</v>
      </c>
      <c r="T286" s="63">
        <f>IF(ข้อมูลสูตร!$A283="","",ข้อมูลสูตร!U283)</f>
        <v>0</v>
      </c>
      <c r="U286" s="64">
        <f>IF(ข้อมูลสูตร!$A283="","",ข้อมูลสูตร!V283)</f>
        <v>250</v>
      </c>
      <c r="V286" s="8">
        <f>IF(ข้อมูลสูตร!$A283="","",ข้อมูลสูตร!W283)</f>
        <v>17.399999999999999</v>
      </c>
      <c r="W286" s="64">
        <f>IF(ข้อมูลสูตร!$A283="","",ข้อมูลสูตร!X283)</f>
        <v>55</v>
      </c>
      <c r="X286" s="23">
        <f>IF(ข้อมูลสูตร!$A283="","",ข้อมูลสูตร!Y283)</f>
        <v>0.68363636363636371</v>
      </c>
      <c r="Y286" s="48" t="str">
        <f>IF(ข้อมูลสูตร!$A283="","",ข้อมูลสูตร!Z283)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86" s="48" t="str">
        <f>ข้อมูลสูตร!$A283</f>
        <v>Honey Milk|20 oz|25%</v>
      </c>
    </row>
    <row r="287" spans="1:26" x14ac:dyDescent="0.25">
      <c r="A287" s="4" t="str">
        <f>IF(ข้อมูลสูตร!$A284="","",ข้อมูลสูตร!B284)</f>
        <v>Honey Milk</v>
      </c>
      <c r="B287" s="4" t="str">
        <f>IF(ข้อมูลสูตร!$A284="","",ข้อมูลสูตร!C284)</f>
        <v>20 oz</v>
      </c>
      <c r="C287" s="4" t="str">
        <f>IF(ข้อมูลสูตร!$A284="","",ข้อมูลสูตร!D284)</f>
        <v>50%</v>
      </c>
      <c r="D287" s="63">
        <f>IF(ข้อมูลสูตร!$A284="","",ข้อมูลสูตร!E284)</f>
        <v>150</v>
      </c>
      <c r="E287" s="63">
        <f>IF(ข้อมูลสูตร!$A284="","",ข้อมูลสูตร!F284)</f>
        <v>0</v>
      </c>
      <c r="F287" s="63">
        <f>IF(ข้อมูลสูตร!$A284="","",ข้อมูลสูตร!G284)</f>
        <v>49.5</v>
      </c>
      <c r="G287" s="63">
        <f>IF(ข้อมูลสูตร!$A284="","",ข้อมูลสูตร!H284)</f>
        <v>22.5</v>
      </c>
      <c r="H287" s="63">
        <f>IF(ข้อมูลสูตร!$A284="","",ข้อมูลสูตร!I284)</f>
        <v>0</v>
      </c>
      <c r="I287" s="63">
        <f>IF(ข้อมูลสูตร!$A284="","",ข้อมูลสูตร!J284)</f>
        <v>26.8</v>
      </c>
      <c r="J287" s="63">
        <f>IF(ข้อมูลสูตร!$A284="","",ข้อมูลสูตร!K284)</f>
        <v>10</v>
      </c>
      <c r="K287" s="63">
        <f>IF(ข้อมูลสูตร!$A284="","",ข้อมูลสูตร!L284)</f>
        <v>0</v>
      </c>
      <c r="L287" s="63">
        <f>IF(ข้อมูลสูตร!$A284="","",ข้อมูลสูตร!M284)</f>
        <v>0</v>
      </c>
      <c r="M287" s="63">
        <f>IF(ข้อมูลสูตร!$A284="","",ข้อมูลสูตร!N284)</f>
        <v>0</v>
      </c>
      <c r="N287" s="63">
        <f>IF(ข้อมูลสูตร!$A284="","",ข้อมูลสูตร!O284)</f>
        <v>0</v>
      </c>
      <c r="O287" s="63">
        <f>IF(ข้อมูลสูตร!$A284="","",ข้อมูลสูตร!P284)</f>
        <v>0</v>
      </c>
      <c r="P287" s="63">
        <f>IF(ข้อมูลสูตร!$A284="","",ข้อมูลสูตร!Q284)</f>
        <v>0</v>
      </c>
      <c r="Q287" s="63">
        <f>IF(ข้อมูลสูตร!$A284="","",ข้อมูลสูตร!R284)</f>
        <v>0</v>
      </c>
      <c r="R287" s="63">
        <f>IF(ข้อมูลสูตร!$A284="","",ข้อมูลสูตร!S284)</f>
        <v>300</v>
      </c>
      <c r="S287" s="63">
        <f>IF(ข้อมูลสูตร!$A284="","",ข้อมูลสูตร!T284)</f>
        <v>0</v>
      </c>
      <c r="T287" s="63">
        <f>IF(ข้อมูลสูตร!$A284="","",ข้อมูลสูตร!U284)</f>
        <v>0</v>
      </c>
      <c r="U287" s="64">
        <f>IF(ข้อมูลสูตร!$A284="","",ข้อมูลสูตร!V284)</f>
        <v>258.8</v>
      </c>
      <c r="V287" s="8">
        <f>IF(ข้อมูลสูตร!$A284="","",ข้อมูลสูตร!W284)</f>
        <v>18.63</v>
      </c>
      <c r="W287" s="64">
        <f>IF(ข้อมูลสูตร!$A284="","",ข้อมูลสูตร!X284)</f>
        <v>55</v>
      </c>
      <c r="X287" s="23">
        <f>IF(ข้อมูลสูตร!$A284="","",ข้อมูลสูตร!Y284)</f>
        <v>0.66127272727272735</v>
      </c>
      <c r="Y287" s="48" t="str">
        <f>IF(ข้อมูลสูตร!$A284="","",ข้อมูลสูตร!Z284)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87" s="48" t="str">
        <f>ข้อมูลสูตร!$A284</f>
        <v>Honey Milk|20 oz|50%</v>
      </c>
    </row>
    <row r="288" spans="1:26" x14ac:dyDescent="0.25">
      <c r="A288" s="4" t="str">
        <f>IF(ข้อมูลสูตร!$A285="","",ข้อมูลสูตร!B285)</f>
        <v>Honey Milk</v>
      </c>
      <c r="B288" s="4" t="str">
        <f>IF(ข้อมูลสูตร!$A285="","",ข้อมูลสูตร!C285)</f>
        <v>20 oz</v>
      </c>
      <c r="C288" s="4" t="str">
        <f>IF(ข้อมูลสูตร!$A285="","",ข้อมูลสูตร!D285)</f>
        <v>75%</v>
      </c>
      <c r="D288" s="63">
        <f>IF(ข้อมูลสูตร!$A285="","",ข้อมูลสูตร!E285)</f>
        <v>150</v>
      </c>
      <c r="E288" s="63">
        <f>IF(ข้อมูลสูตร!$A285="","",ข้อมูลสูตร!F285)</f>
        <v>0</v>
      </c>
      <c r="F288" s="63">
        <f>IF(ข้อมูลสูตร!$A285="","",ข้อมูลสูตร!G285)</f>
        <v>49.5</v>
      </c>
      <c r="G288" s="63">
        <f>IF(ข้อมูลสูตร!$A285="","",ข้อมูลสูตร!H285)</f>
        <v>22.5</v>
      </c>
      <c r="H288" s="63">
        <f>IF(ข้อมูลสูตร!$A285="","",ข้อมูลสูตร!I285)</f>
        <v>0</v>
      </c>
      <c r="I288" s="63">
        <f>IF(ข้อมูลสูตร!$A285="","",ข้อมูลสูตร!J285)</f>
        <v>30.5</v>
      </c>
      <c r="J288" s="63">
        <f>IF(ข้อมูลสูตร!$A285="","",ข้อมูลสูตร!K285)</f>
        <v>15</v>
      </c>
      <c r="K288" s="63">
        <f>IF(ข้อมูลสูตร!$A285="","",ข้อมูลสูตร!L285)</f>
        <v>0</v>
      </c>
      <c r="L288" s="63">
        <f>IF(ข้อมูลสูตร!$A285="","",ข้อมูลสูตร!M285)</f>
        <v>0</v>
      </c>
      <c r="M288" s="63">
        <f>IF(ข้อมูลสูตร!$A285="","",ข้อมูลสูตร!N285)</f>
        <v>0</v>
      </c>
      <c r="N288" s="63">
        <f>IF(ข้อมูลสูตร!$A285="","",ข้อมูลสูตร!O285)</f>
        <v>0</v>
      </c>
      <c r="O288" s="63">
        <f>IF(ข้อมูลสูตร!$A285="","",ข้อมูลสูตร!P285)</f>
        <v>0</v>
      </c>
      <c r="P288" s="63">
        <f>IF(ข้อมูลสูตร!$A285="","",ข้อมูลสูตร!Q285)</f>
        <v>0</v>
      </c>
      <c r="Q288" s="63">
        <f>IF(ข้อมูลสูตร!$A285="","",ข้อมูลสูตร!R285)</f>
        <v>0</v>
      </c>
      <c r="R288" s="63">
        <f>IF(ข้อมูลสูตร!$A285="","",ข้อมูลสูตร!S285)</f>
        <v>300</v>
      </c>
      <c r="S288" s="63">
        <f>IF(ข้อมูลสูตร!$A285="","",ข้อมูลสูตร!T285)</f>
        <v>0</v>
      </c>
      <c r="T288" s="63">
        <f>IF(ข้อมูลสูตร!$A285="","",ข้อมูลสูตร!U285)</f>
        <v>0</v>
      </c>
      <c r="U288" s="64">
        <f>IF(ข้อมูลสูตร!$A285="","",ข้อมูลสูตร!V285)</f>
        <v>267.5</v>
      </c>
      <c r="V288" s="8">
        <f>IF(ข้อมูลสูตร!$A285="","",ข้อมูลสูตร!W285)</f>
        <v>19.86</v>
      </c>
      <c r="W288" s="64">
        <f>IF(ข้อมูลสูตร!$A285="","",ข้อมูลสูตร!X285)</f>
        <v>55</v>
      </c>
      <c r="X288" s="23">
        <f>IF(ข้อมูลสูตร!$A285="","",ข้อมูลสูตร!Y285)</f>
        <v>0.63890909090909087</v>
      </c>
      <c r="Y288" s="48" t="str">
        <f>IF(ข้อมูลสูตร!$A285="","",ข้อมูลสูตร!Z285)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88" s="48" t="str">
        <f>ข้อมูลสูตร!$A285</f>
        <v>Honey Milk|20 oz|75%</v>
      </c>
    </row>
    <row r="289" spans="1:26" x14ac:dyDescent="0.25">
      <c r="A289" s="4" t="str">
        <f>IF(ข้อมูลสูตร!$A286="","",ข้อมูลสูตร!B286)</f>
        <v>Honey Milk</v>
      </c>
      <c r="B289" s="4" t="str">
        <f>IF(ข้อมูลสูตร!$A286="","",ข้อมูลสูตร!C286)</f>
        <v>20 oz</v>
      </c>
      <c r="C289" s="4" t="str">
        <f>IF(ข้อมูลสูตร!$A286="","",ข้อมูลสูตร!D286)</f>
        <v>100%</v>
      </c>
      <c r="D289" s="63">
        <f>IF(ข้อมูลสูตร!$A286="","",ข้อมูลสูตร!E286)</f>
        <v>150</v>
      </c>
      <c r="E289" s="63">
        <f>IF(ข้อมูลสูตร!$A286="","",ข้อมูลสูตร!F286)</f>
        <v>0</v>
      </c>
      <c r="F289" s="63">
        <f>IF(ข้อมูลสูตร!$A286="","",ข้อมูลสูตร!G286)</f>
        <v>49.5</v>
      </c>
      <c r="G289" s="63">
        <f>IF(ข้อมูลสูตร!$A286="","",ข้อมูลสูตร!H286)</f>
        <v>22.5</v>
      </c>
      <c r="H289" s="63">
        <f>IF(ข้อมูลสูตร!$A286="","",ข้อมูลสูตร!I286)</f>
        <v>0</v>
      </c>
      <c r="I289" s="63">
        <f>IF(ข้อมูลสูตร!$A286="","",ข้อมูลสูตร!J286)</f>
        <v>34.299999999999997</v>
      </c>
      <c r="J289" s="63">
        <f>IF(ข้อมูลสูตร!$A286="","",ข้อมูลสูตร!K286)</f>
        <v>20</v>
      </c>
      <c r="K289" s="63">
        <f>IF(ข้อมูลสูตร!$A286="","",ข้อมูลสูตร!L286)</f>
        <v>0</v>
      </c>
      <c r="L289" s="63">
        <f>IF(ข้อมูลสูตร!$A286="","",ข้อมูลสูตร!M286)</f>
        <v>0</v>
      </c>
      <c r="M289" s="63">
        <f>IF(ข้อมูลสูตร!$A286="","",ข้อมูลสูตร!N286)</f>
        <v>0</v>
      </c>
      <c r="N289" s="63">
        <f>IF(ข้อมูลสูตร!$A286="","",ข้อมูลสูตร!O286)</f>
        <v>0</v>
      </c>
      <c r="O289" s="63">
        <f>IF(ข้อมูลสูตร!$A286="","",ข้อมูลสูตร!P286)</f>
        <v>0</v>
      </c>
      <c r="P289" s="63">
        <f>IF(ข้อมูลสูตร!$A286="","",ข้อมูลสูตร!Q286)</f>
        <v>0</v>
      </c>
      <c r="Q289" s="63">
        <f>IF(ข้อมูลสูตร!$A286="","",ข้อมูลสูตร!R286)</f>
        <v>0</v>
      </c>
      <c r="R289" s="63">
        <f>IF(ข้อมูลสูตร!$A286="","",ข้อมูลสูตร!S286)</f>
        <v>300</v>
      </c>
      <c r="S289" s="63">
        <f>IF(ข้อมูลสูตร!$A286="","",ข้อมูลสูตร!T286)</f>
        <v>0</v>
      </c>
      <c r="T289" s="63">
        <f>IF(ข้อมูลสูตร!$A286="","",ข้อมูลสูตร!U286)</f>
        <v>0</v>
      </c>
      <c r="U289" s="64">
        <f>IF(ข้อมูลสูตร!$A286="","",ข้อมูลสูตร!V286)</f>
        <v>276.3</v>
      </c>
      <c r="V289" s="8">
        <f>IF(ข้อมูลสูตร!$A286="","",ข้อมูลสูตร!W286)</f>
        <v>21.09</v>
      </c>
      <c r="W289" s="64">
        <f>IF(ข้อมูลสูตร!$A286="","",ข้อมูลสูตร!X286)</f>
        <v>55</v>
      </c>
      <c r="X289" s="23">
        <f>IF(ข้อมูลสูตร!$A286="","",ข้อมูลสูตร!Y286)</f>
        <v>0.61654545454545451</v>
      </c>
      <c r="Y289" s="48" t="str">
        <f>IF(ข้อมูลสูตร!$A286="","",ข้อมูลสูตร!Z286)</f>
        <v>[20 oz = 16 oz x 1.25] แก้บั๊ก: เดิม 16 oz ที่ 0% ยังใส่น้ำผึ้ง 15 ml + นมข้นหวาน '10–15 ml' ขัดกับคำว่า 0% · และเปลี่ยนเป็น 'น้ำผึ้งให้กลิ่น + น้ำเชื่อมให้ความหวาน' เพราะน้ำผึ้งต้นทุน 0.23฿/ml ถ้าดันความหวานด้วยน้ำผึ้งล้วน GP ที่ 100% จะตกเหลือ 55% · รอบ 6: เบสชาไทยไม่มีน้ำตาลแล้ว จึงเติมน้ำเชื่อม 1:1 ชดเชย และลด นมสด ลงเท่ากัน เพื่อคุมปริมาตรแก้วให้เท่าเดิม</v>
      </c>
      <c r="Z289" s="48" t="str">
        <f>ข้อมูลสูตร!$A286</f>
        <v>Honey Milk|20 oz|100%</v>
      </c>
    </row>
    <row r="290" spans="1:26" x14ac:dyDescent="0.25">
      <c r="A290" s="4" t="str">
        <f>IF(ข้อมูลสูตร!$A287="","",ข้อมูลสูตร!B287)</f>
        <v>Coconut Tea</v>
      </c>
      <c r="B290" s="4" t="str">
        <f>IF(ข้อมูลสูตร!$A287="","",ข้อมูลสูตร!C287)</f>
        <v>20 oz</v>
      </c>
      <c r="C290" s="4" t="str">
        <f>IF(ข้อมูลสูตร!$A287="","",ข้อมูลสูตร!D287)</f>
        <v>0%</v>
      </c>
      <c r="D290" s="63">
        <f>IF(ข้อมูลสูตร!$A287="","",ข้อมูลสูตร!E287)</f>
        <v>125</v>
      </c>
      <c r="E290" s="63">
        <f>IF(ข้อมูลสูตร!$A287="","",ข้อมูลสูตร!F287)</f>
        <v>0</v>
      </c>
      <c r="F290" s="63">
        <f>IF(ข้อมูลสูตร!$A287="","",ข้อมูลสูตร!G287)</f>
        <v>0</v>
      </c>
      <c r="G290" s="63">
        <f>IF(ข้อมูลสูตร!$A287="","",ข้อมูลสูตร!H287)</f>
        <v>15</v>
      </c>
      <c r="H290" s="63">
        <f>IF(ข้อมูลสูตร!$A287="","",ข้อมูลสูตร!I287)</f>
        <v>0</v>
      </c>
      <c r="I290" s="63">
        <f>IF(ข้อมูลสูตร!$A287="","",ข้อมูลสูตร!J287)</f>
        <v>0</v>
      </c>
      <c r="J290" s="63">
        <f>IF(ข้อมูลสูตร!$A287="","",ข้อมูลสูตร!K287)</f>
        <v>0</v>
      </c>
      <c r="K290" s="63">
        <f>IF(ข้อมูลสูตร!$A287="","",ข้อมูลสูตร!L287)</f>
        <v>0</v>
      </c>
      <c r="L290" s="63">
        <f>IF(ข้อมูลสูตร!$A287="","",ข้อมูลสูตร!M287)</f>
        <v>0</v>
      </c>
      <c r="M290" s="63">
        <f>IF(ข้อมูลสูตร!$A287="","",ข้อมูลสูตร!N287)</f>
        <v>118.8</v>
      </c>
      <c r="N290" s="63">
        <f>IF(ข้อมูลสูตร!$A287="","",ข้อมูลสูตร!O287)</f>
        <v>0</v>
      </c>
      <c r="O290" s="63">
        <f>IF(ข้อมูลสูตร!$A287="","",ข้อมูลสูตร!P287)</f>
        <v>0</v>
      </c>
      <c r="P290" s="63">
        <f>IF(ข้อมูลสูตร!$A287="","",ข้อมูลสูตร!Q287)</f>
        <v>0</v>
      </c>
      <c r="Q290" s="63">
        <f>IF(ข้อมูลสูตร!$A287="","",ข้อมูลสูตร!R287)</f>
        <v>0</v>
      </c>
      <c r="R290" s="63">
        <f>IF(ข้อมูลสูตร!$A287="","",ข้อมูลสูตร!S287)</f>
        <v>275</v>
      </c>
      <c r="S290" s="63">
        <f>IF(ข้อมูลสูตร!$A287="","",ข้อมูลสูตร!T287)</f>
        <v>0</v>
      </c>
      <c r="T290" s="63">
        <f>IF(ข้อมูลสูตร!$A287="","",ข้อมูลสูตร!U287)</f>
        <v>0</v>
      </c>
      <c r="U290" s="64">
        <f>IF(ข้อมูลสูตร!$A287="","",ข้อมูลสูตร!V287)</f>
        <v>258.8</v>
      </c>
      <c r="V290" s="8">
        <f>IF(ข้อมูลสูตร!$A287="","",ข้อมูลสูตร!W287)</f>
        <v>20.8</v>
      </c>
      <c r="W290" s="64">
        <f>IF(ข้อมูลสูตร!$A287="","",ข้อมูลสูตร!X287)</f>
        <v>65</v>
      </c>
      <c r="X290" s="23">
        <f>IF(ข้อมูลสูตร!$A287="","",ข้อมูลสูตร!Y287)</f>
        <v>0.68</v>
      </c>
      <c r="Y290" s="48" t="str">
        <f>IF(ข้อมูลสูตร!$A287="","",ข้อมูลสูตร!Z287)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90" s="48" t="str">
        <f>ข้อมูลสูตร!$A287</f>
        <v>Coconut Tea|20 oz|0%</v>
      </c>
    </row>
    <row r="291" spans="1:26" x14ac:dyDescent="0.25">
      <c r="A291" s="4" t="str">
        <f>IF(ข้อมูลสูตร!$A288="","",ข้อมูลสูตร!B288)</f>
        <v>Coconut Tea</v>
      </c>
      <c r="B291" s="4" t="str">
        <f>IF(ข้อมูลสูตร!$A288="","",ข้อมูลสูตร!C288)</f>
        <v>20 oz</v>
      </c>
      <c r="C291" s="4" t="str">
        <f>IF(ข้อมูลสูตร!$A288="","",ข้อมูลสูตร!D288)</f>
        <v>25%</v>
      </c>
      <c r="D291" s="63">
        <f>IF(ข้อมูลสูตร!$A288="","",ข้อมูลสูตร!E288)</f>
        <v>125</v>
      </c>
      <c r="E291" s="63">
        <f>IF(ข้อมูลสูตร!$A288="","",ข้อมูลสูตร!F288)</f>
        <v>0</v>
      </c>
      <c r="F291" s="63">
        <f>IF(ข้อมูลสูตร!$A288="","",ข้อมูลสูตร!G288)</f>
        <v>0</v>
      </c>
      <c r="G291" s="63">
        <f>IF(ข้อมูลสูตร!$A288="","",ข้อมูลสูตร!H288)</f>
        <v>15</v>
      </c>
      <c r="H291" s="63">
        <f>IF(ข้อมูลสูตร!$A288="","",ข้อมูลสูตร!I288)</f>
        <v>6.3</v>
      </c>
      <c r="I291" s="63">
        <f>IF(ข้อมูลสูตร!$A288="","",ข้อมูลสูตร!J288)</f>
        <v>16</v>
      </c>
      <c r="J291" s="63">
        <f>IF(ข้อมูลสูตร!$A288="","",ข้อมูลสูตร!K288)</f>
        <v>0</v>
      </c>
      <c r="K291" s="63">
        <f>IF(ข้อมูลสูตร!$A288="","",ข้อมูลสูตร!L288)</f>
        <v>0</v>
      </c>
      <c r="L291" s="63">
        <f>IF(ข้อมูลสูตร!$A288="","",ข้อมูลสูตร!M288)</f>
        <v>0</v>
      </c>
      <c r="M291" s="63">
        <f>IF(ข้อมูลสูตร!$A288="","",ข้อมูลสูตร!N288)</f>
        <v>102.8</v>
      </c>
      <c r="N291" s="63">
        <f>IF(ข้อมูลสูตร!$A288="","",ข้อมูลสูตร!O288)</f>
        <v>0</v>
      </c>
      <c r="O291" s="63">
        <f>IF(ข้อมูลสูตร!$A288="","",ข้อมูลสูตร!P288)</f>
        <v>0</v>
      </c>
      <c r="P291" s="63">
        <f>IF(ข้อมูลสูตร!$A288="","",ข้อมูลสูตร!Q288)</f>
        <v>0</v>
      </c>
      <c r="Q291" s="63">
        <f>IF(ข้อมูลสูตร!$A288="","",ข้อมูลสูตร!R288)</f>
        <v>0</v>
      </c>
      <c r="R291" s="63">
        <f>IF(ข้อมูลสูตร!$A288="","",ข้อมูลสูตร!S288)</f>
        <v>275</v>
      </c>
      <c r="S291" s="63">
        <f>IF(ข้อมูลสูตร!$A288="","",ข้อมูลสูตร!T288)</f>
        <v>0</v>
      </c>
      <c r="T291" s="63">
        <f>IF(ข้อมูลสูตร!$A288="","",ข้อมูลสูตร!U288)</f>
        <v>0</v>
      </c>
      <c r="U291" s="64">
        <f>IF(ข้อมูลสูตร!$A288="","",ข้อมูลสูตร!V288)</f>
        <v>265.10000000000002</v>
      </c>
      <c r="V291" s="8">
        <f>IF(ข้อมูลสูตร!$A288="","",ข้อมูลสูตร!W288)</f>
        <v>20.32</v>
      </c>
      <c r="W291" s="64">
        <f>IF(ข้อมูลสูตร!$A288="","",ข้อมูลสูตร!X288)</f>
        <v>65</v>
      </c>
      <c r="X291" s="23">
        <f>IF(ข้อมูลสูตร!$A288="","",ข้อมูลสูตร!Y288)</f>
        <v>0.68738461538461537</v>
      </c>
      <c r="Y291" s="48" t="str">
        <f>IF(ข้อมูลสูตร!$A288="","",ข้อมูลสูตร!Z288)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291" s="48" t="str">
        <f>ข้อมูลสูตร!$A288</f>
        <v>Coconut Tea|20 oz|25%</v>
      </c>
    </row>
    <row r="292" spans="1:26" x14ac:dyDescent="0.25">
      <c r="A292" s="4" t="str">
        <f>IF(ข้อมูลสูตร!$A289="","",ข้อมูลสูตร!B289)</f>
        <v>Coconut Tea</v>
      </c>
      <c r="B292" s="4" t="str">
        <f>IF(ข้อมูลสูตร!$A289="","",ข้อมูลสูตร!C289)</f>
        <v>20 oz</v>
      </c>
      <c r="C292" s="4" t="str">
        <f>IF(ข้อมูลสูตร!$A289="","",ข้อมูลสูตร!D289)</f>
        <v>50%</v>
      </c>
      <c r="D292" s="63">
        <f>IF(ข้อมูลสูตร!$A289="","",ข้อมูลสูตร!E289)</f>
        <v>125</v>
      </c>
      <c r="E292" s="63">
        <f>IF(ข้อมูลสูตร!$A289="","",ข้อมูลสูตร!F289)</f>
        <v>0</v>
      </c>
      <c r="F292" s="63">
        <f>IF(ข้อมูลสูตร!$A289="","",ข้อมูลสูตร!G289)</f>
        <v>0</v>
      </c>
      <c r="G292" s="63">
        <f>IF(ข้อมูลสูตร!$A289="","",ข้อมูลสูตร!H289)</f>
        <v>15</v>
      </c>
      <c r="H292" s="63">
        <f>IF(ข้อมูลสูตร!$A289="","",ข้อมูลสูตร!I289)</f>
        <v>12.5</v>
      </c>
      <c r="I292" s="63">
        <f>IF(ข้อมูลสูตร!$A289="","",ข้อมูลสูตร!J289)</f>
        <v>16</v>
      </c>
      <c r="J292" s="63">
        <f>IF(ข้อมูลสูตร!$A289="","",ข้อมูลสูตร!K289)</f>
        <v>0</v>
      </c>
      <c r="K292" s="63">
        <f>IF(ข้อมูลสูตร!$A289="","",ข้อมูลสูตร!L289)</f>
        <v>0</v>
      </c>
      <c r="L292" s="63">
        <f>IF(ข้อมูลสูตร!$A289="","",ข้อมูลสูตร!M289)</f>
        <v>0</v>
      </c>
      <c r="M292" s="63">
        <f>IF(ข้อมูลสูตร!$A289="","",ข้อมูลสูตร!N289)</f>
        <v>102.8</v>
      </c>
      <c r="N292" s="63">
        <f>IF(ข้อมูลสูตร!$A289="","",ข้อมูลสูตร!O289)</f>
        <v>0</v>
      </c>
      <c r="O292" s="63">
        <f>IF(ข้อมูลสูตร!$A289="","",ข้อมูลสูตร!P289)</f>
        <v>0</v>
      </c>
      <c r="P292" s="63">
        <f>IF(ข้อมูลสูตร!$A289="","",ข้อมูลสูตร!Q289)</f>
        <v>0</v>
      </c>
      <c r="Q292" s="63">
        <f>IF(ข้อมูลสูตร!$A289="","",ข้อมูลสูตร!R289)</f>
        <v>0</v>
      </c>
      <c r="R292" s="63">
        <f>IF(ข้อมูลสูตร!$A289="","",ข้อมูลสูตร!S289)</f>
        <v>275</v>
      </c>
      <c r="S292" s="63">
        <f>IF(ข้อมูลสูตร!$A289="","",ข้อมูลสูตร!T289)</f>
        <v>0</v>
      </c>
      <c r="T292" s="63">
        <f>IF(ข้อมูลสูตร!$A289="","",ข้อมูลสูตร!U289)</f>
        <v>0</v>
      </c>
      <c r="U292" s="64">
        <f>IF(ข้อมูลสูตร!$A289="","",ข้อมูลสูตร!V289)</f>
        <v>271.3</v>
      </c>
      <c r="V292" s="8">
        <f>IF(ข้อมูลสูตร!$A289="","",ข้อมูลสูตร!W289)</f>
        <v>20.75</v>
      </c>
      <c r="W292" s="64">
        <f>IF(ข้อมูลสูตร!$A289="","",ข้อมูลสูตร!X289)</f>
        <v>65</v>
      </c>
      <c r="X292" s="23">
        <f>IF(ข้อมูลสูตร!$A289="","",ข้อมูลสูตร!Y289)</f>
        <v>0.68076923076923079</v>
      </c>
      <c r="Y292" s="48" t="str">
        <f>IF(ข้อมูลสูตร!$A289="","",ข้อมูลสูตร!Z289)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292" s="48" t="str">
        <f>ข้อมูลสูตร!$A289</f>
        <v>Coconut Tea|20 oz|50%</v>
      </c>
    </row>
    <row r="293" spans="1:26" x14ac:dyDescent="0.25">
      <c r="A293" s="4" t="str">
        <f>IF(ข้อมูลสูตร!$A290="","",ข้อมูลสูตร!B290)</f>
        <v>Coconut Tea</v>
      </c>
      <c r="B293" s="4" t="str">
        <f>IF(ข้อมูลสูตร!$A290="","",ข้อมูลสูตร!C290)</f>
        <v>20 oz</v>
      </c>
      <c r="C293" s="4" t="str">
        <f>IF(ข้อมูลสูตร!$A290="","",ข้อมูลสูตร!D290)</f>
        <v>75%</v>
      </c>
      <c r="D293" s="63">
        <f>IF(ข้อมูลสูตร!$A290="","",ข้อมูลสูตร!E290)</f>
        <v>125</v>
      </c>
      <c r="E293" s="63">
        <f>IF(ข้อมูลสูตร!$A290="","",ข้อมูลสูตร!F290)</f>
        <v>0</v>
      </c>
      <c r="F293" s="63">
        <f>IF(ข้อมูลสูตร!$A290="","",ข้อมูลสูตร!G290)</f>
        <v>0</v>
      </c>
      <c r="G293" s="63">
        <f>IF(ข้อมูลสูตร!$A290="","",ข้อมูลสูตร!H290)</f>
        <v>15</v>
      </c>
      <c r="H293" s="63">
        <f>IF(ข้อมูลสูตร!$A290="","",ข้อมูลสูตร!I290)</f>
        <v>18.8</v>
      </c>
      <c r="I293" s="63">
        <f>IF(ข้อมูลสูตร!$A290="","",ข้อมูลสูตร!J290)</f>
        <v>16</v>
      </c>
      <c r="J293" s="63">
        <f>IF(ข้อมูลสูตร!$A290="","",ข้อมูลสูตร!K290)</f>
        <v>0</v>
      </c>
      <c r="K293" s="63">
        <f>IF(ข้อมูลสูตร!$A290="","",ข้อมูลสูตร!L290)</f>
        <v>0</v>
      </c>
      <c r="L293" s="63">
        <f>IF(ข้อมูลสูตร!$A290="","",ข้อมูลสูตร!M290)</f>
        <v>0</v>
      </c>
      <c r="M293" s="63">
        <f>IF(ข้อมูลสูตร!$A290="","",ข้อมูลสูตร!N290)</f>
        <v>102.8</v>
      </c>
      <c r="N293" s="63">
        <f>IF(ข้อมูลสูตร!$A290="","",ข้อมูลสูตร!O290)</f>
        <v>0</v>
      </c>
      <c r="O293" s="63">
        <f>IF(ข้อมูลสูตร!$A290="","",ข้อมูลสูตร!P290)</f>
        <v>0</v>
      </c>
      <c r="P293" s="63">
        <f>IF(ข้อมูลสูตร!$A290="","",ข้อมูลสูตร!Q290)</f>
        <v>0</v>
      </c>
      <c r="Q293" s="63">
        <f>IF(ข้อมูลสูตร!$A290="","",ข้อมูลสูตร!R290)</f>
        <v>0</v>
      </c>
      <c r="R293" s="63">
        <f>IF(ข้อมูลสูตร!$A290="","",ข้อมูลสูตร!S290)</f>
        <v>275</v>
      </c>
      <c r="S293" s="63">
        <f>IF(ข้อมูลสูตร!$A290="","",ข้อมูลสูตร!T290)</f>
        <v>0</v>
      </c>
      <c r="T293" s="63">
        <f>IF(ข้อมูลสูตร!$A290="","",ข้อมูลสูตร!U290)</f>
        <v>0</v>
      </c>
      <c r="U293" s="64">
        <f>IF(ข้อมูลสูตร!$A290="","",ข้อมูลสูตร!V290)</f>
        <v>277.60000000000002</v>
      </c>
      <c r="V293" s="8">
        <f>IF(ข้อมูลสูตร!$A290="","",ข้อมูลสูตร!W290)</f>
        <v>21.19</v>
      </c>
      <c r="W293" s="64">
        <f>IF(ข้อมูลสูตร!$A290="","",ข้อมูลสูตร!X290)</f>
        <v>65</v>
      </c>
      <c r="X293" s="23">
        <f>IF(ข้อมูลสูตร!$A290="","",ข้อมูลสูตร!Y290)</f>
        <v>0.67400000000000004</v>
      </c>
      <c r="Y293" s="48" t="str">
        <f>IF(ข้อมูลสูตร!$A290="","",ข้อมูลสูตร!Z290)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293" s="48" t="str">
        <f>ข้อมูลสูตร!$A290</f>
        <v>Coconut Tea|20 oz|75%</v>
      </c>
    </row>
    <row r="294" spans="1:26" x14ac:dyDescent="0.25">
      <c r="A294" s="4" t="str">
        <f>IF(ข้อมูลสูตร!$A291="","",ข้อมูลสูตร!B291)</f>
        <v>Coconut Tea</v>
      </c>
      <c r="B294" s="4" t="str">
        <f>IF(ข้อมูลสูตร!$A291="","",ข้อมูลสูตร!C291)</f>
        <v>20 oz</v>
      </c>
      <c r="C294" s="4" t="str">
        <f>IF(ข้อมูลสูตร!$A291="","",ข้อมูลสูตร!D291)</f>
        <v>100%</v>
      </c>
      <c r="D294" s="63">
        <f>IF(ข้อมูลสูตร!$A291="","",ข้อมูลสูตร!E291)</f>
        <v>125</v>
      </c>
      <c r="E294" s="63">
        <f>IF(ข้อมูลสูตร!$A291="","",ข้อมูลสูตร!F291)</f>
        <v>0</v>
      </c>
      <c r="F294" s="63">
        <f>IF(ข้อมูลสูตร!$A291="","",ข้อมูลสูตร!G291)</f>
        <v>0</v>
      </c>
      <c r="G294" s="63">
        <f>IF(ข้อมูลสูตร!$A291="","",ข้อมูลสูตร!H291)</f>
        <v>15</v>
      </c>
      <c r="H294" s="63">
        <f>IF(ข้อมูลสูตร!$A291="","",ข้อมูลสูตร!I291)</f>
        <v>25</v>
      </c>
      <c r="I294" s="63">
        <f>IF(ข้อมูลสูตร!$A291="","",ข้อมูลสูตร!J291)</f>
        <v>16</v>
      </c>
      <c r="J294" s="63">
        <f>IF(ข้อมูลสูตร!$A291="","",ข้อมูลสูตร!K291)</f>
        <v>0</v>
      </c>
      <c r="K294" s="63">
        <f>IF(ข้อมูลสูตร!$A291="","",ข้อมูลสูตร!L291)</f>
        <v>0</v>
      </c>
      <c r="L294" s="63">
        <f>IF(ข้อมูลสูตร!$A291="","",ข้อมูลสูตร!M291)</f>
        <v>0</v>
      </c>
      <c r="M294" s="63">
        <f>IF(ข้อมูลสูตร!$A291="","",ข้อมูลสูตร!N291)</f>
        <v>102.8</v>
      </c>
      <c r="N294" s="63">
        <f>IF(ข้อมูลสูตร!$A291="","",ข้อมูลสูตร!O291)</f>
        <v>0</v>
      </c>
      <c r="O294" s="63">
        <f>IF(ข้อมูลสูตร!$A291="","",ข้อมูลสูตร!P291)</f>
        <v>0</v>
      </c>
      <c r="P294" s="63">
        <f>IF(ข้อมูลสูตร!$A291="","",ข้อมูลสูตร!Q291)</f>
        <v>0</v>
      </c>
      <c r="Q294" s="63">
        <f>IF(ข้อมูลสูตร!$A291="","",ข้อมูลสูตร!R291)</f>
        <v>0</v>
      </c>
      <c r="R294" s="63">
        <f>IF(ข้อมูลสูตร!$A291="","",ข้อมูลสูตร!S291)</f>
        <v>275</v>
      </c>
      <c r="S294" s="63">
        <f>IF(ข้อมูลสูตร!$A291="","",ข้อมูลสูตร!T291)</f>
        <v>0</v>
      </c>
      <c r="T294" s="63">
        <f>IF(ข้อมูลสูตร!$A291="","",ข้อมูลสูตร!U291)</f>
        <v>0</v>
      </c>
      <c r="U294" s="64">
        <f>IF(ข้อมูลสูตร!$A291="","",ข้อมูลสูตร!V291)</f>
        <v>283.8</v>
      </c>
      <c r="V294" s="8">
        <f>IF(ข้อมูลสูตร!$A291="","",ข้อมูลสูตร!W291)</f>
        <v>21.62</v>
      </c>
      <c r="W294" s="64">
        <f>IF(ข้อมูลสูตร!$A291="","",ข้อมูลสูตร!X291)</f>
        <v>65</v>
      </c>
      <c r="X294" s="23">
        <f>IF(ข้อมูลสูตร!$A291="","",ข้อมูลสูตร!Y291)</f>
        <v>0.66738461538461535</v>
      </c>
      <c r="Y294" s="48" t="str">
        <f>IF(ข้อมูลสูตร!$A291="","",ข้อมูลสูตร!Z291)</f>
        <v>[20 oz = 16 oz x 1.25] เมนูใหม่ — ตัวชูโรง: เดิมมีแต่เวอร์ชันปั่นซึ่งทำ 90–120 วิ/แก้ว ขายที่ตลาดนัดไม่ทัน เวอร์ชันเย็นใช้ ~25 วิ ต้นทุนใกล้กัน และแยกชั้นสวยกว่า เหมาะเป็นเมนูถ่ายรูป · รอบ 6: เบสชาไทยไม่มีน้ำตาลแล้ว จึงเติมน้ำเชื่อม 1:1 ชดเชย และลด เบสมะพร้าว ลงเท่ากัน เพื่อคุมปริมาตรแก้วให้เท่าเดิม</v>
      </c>
      <c r="Z294" s="48" t="str">
        <f>ข้อมูลสูตร!$A291</f>
        <v>Coconut Tea|20 oz|100%</v>
      </c>
    </row>
    <row r="295" spans="1:26" x14ac:dyDescent="0.25">
      <c r="A295" s="4" t="str">
        <f>IF(ข้อมูลสูตร!$A292="","",ข้อมูลสูตร!B292)</f>
        <v>Lemon Tea</v>
      </c>
      <c r="B295" s="4" t="str">
        <f>IF(ข้อมูลสูตร!$A292="","",ข้อมูลสูตร!C292)</f>
        <v>20 oz</v>
      </c>
      <c r="C295" s="4" t="str">
        <f>IF(ข้อมูลสูตร!$A292="","",ข้อมูลสูตร!D292)</f>
        <v>0%</v>
      </c>
      <c r="D295" s="63">
        <f>IF(ข้อมูลสูตร!$A292="","",ข้อมูลสูตร!E292)</f>
        <v>206.3</v>
      </c>
      <c r="E295" s="63">
        <f>IF(ข้อมูลสูตร!$A292="","",ข้อมูลสูตร!F292)</f>
        <v>0</v>
      </c>
      <c r="F295" s="63">
        <f>IF(ข้อมูลสูตร!$A292="","",ข้อมูลสูตร!G292)</f>
        <v>0</v>
      </c>
      <c r="G295" s="63">
        <f>IF(ข้อมูลสูตร!$A292="","",ข้อมูลสูตร!H292)</f>
        <v>0</v>
      </c>
      <c r="H295" s="63">
        <f>IF(ข้อมูลสูตร!$A292="","",ข้อมูลสูตร!I292)</f>
        <v>0</v>
      </c>
      <c r="I295" s="63">
        <f>IF(ข้อมูลสูตร!$A292="","",ข้อมูลสูตร!J292)</f>
        <v>0</v>
      </c>
      <c r="J295" s="63">
        <f>IF(ข้อมูลสูตร!$A292="","",ข้อมูลสูตร!K292)</f>
        <v>0</v>
      </c>
      <c r="K295" s="63">
        <f>IF(ข้อมูลสูตร!$A292="","",ข้อมูลสูตร!L292)</f>
        <v>0</v>
      </c>
      <c r="L295" s="63">
        <f>IF(ข้อมูลสูตร!$A292="","",ข้อมูลสูตร!M292)</f>
        <v>0</v>
      </c>
      <c r="M295" s="63">
        <f>IF(ข้อมูลสูตร!$A292="","",ข้อมูลสูตร!N292)</f>
        <v>0</v>
      </c>
      <c r="N295" s="63">
        <f>IF(ข้อมูลสูตร!$A292="","",ข้อมูลสูตร!O292)</f>
        <v>0</v>
      </c>
      <c r="O295" s="63">
        <f>IF(ข้อมูลสูตร!$A292="","",ข้อมูลสูตร!P292)</f>
        <v>18.8</v>
      </c>
      <c r="P295" s="63">
        <f>IF(ข้อมูลสูตร!$A292="","",ข้อมูลสูตร!Q292)</f>
        <v>0</v>
      </c>
      <c r="Q295" s="63">
        <f>IF(ข้อมูลสูตร!$A292="","",ข้อมูลสูตร!R292)</f>
        <v>0</v>
      </c>
      <c r="R295" s="63">
        <f>IF(ข้อมูลสูตร!$A292="","",ข้อมูลสูตร!S292)</f>
        <v>300</v>
      </c>
      <c r="S295" s="63">
        <f>IF(ข้อมูลสูตร!$A292="","",ข้อมูลสูตร!T292)</f>
        <v>0</v>
      </c>
      <c r="T295" s="63">
        <f>IF(ข้อมูลสูตร!$A292="","",ข้อมูลสูตร!U292)</f>
        <v>0</v>
      </c>
      <c r="U295" s="64">
        <f>IF(ข้อมูลสูตร!$A292="","",ข้อมูลสูตร!V292)</f>
        <v>225.10000000000002</v>
      </c>
      <c r="V295" s="8">
        <f>IF(ข้อมูลสูตร!$A292="","",ข้อมูลสูตร!W292)</f>
        <v>17.440000000000001</v>
      </c>
      <c r="W295" s="64">
        <f>IF(ข้อมูลสูตร!$A292="","",ข้อมูลสูตร!X292)</f>
        <v>49</v>
      </c>
      <c r="X295" s="23">
        <f>IF(ข้อมูลสูตร!$A292="","",ข้อมูลสูตร!Y292)</f>
        <v>0.64408163265306118</v>
      </c>
      <c r="Y295" s="48" t="str">
        <f>IF(ข้อมูลสูตร!$A292="","",ข้อมูลสูตร!Z292)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— ระดับ 0% จึงไม่มีน้ำตาลเพิ่มจริง (เดิมยังมีน้ำตาลจากเบส ~10 g) รสจะเปลี่ยนจากเดิม</v>
      </c>
      <c r="Z295" s="48" t="str">
        <f>ข้อมูลสูตร!$A292</f>
        <v>Lemon Tea|20 oz|0%</v>
      </c>
    </row>
    <row r="296" spans="1:26" x14ac:dyDescent="0.25">
      <c r="A296" s="4" t="str">
        <f>IF(ข้อมูลสูตร!$A293="","",ข้อมูลสูตร!B293)</f>
        <v>Lemon Tea</v>
      </c>
      <c r="B296" s="4" t="str">
        <f>IF(ข้อมูลสูตร!$A293="","",ข้อมูลสูตร!C293)</f>
        <v>20 oz</v>
      </c>
      <c r="C296" s="4" t="str">
        <f>IF(ข้อมูลสูตร!$A293="","",ข้อมูลสูตร!D293)</f>
        <v>25%</v>
      </c>
      <c r="D296" s="63">
        <f>IF(ข้อมูลสูตร!$A293="","",ข้อมูลสูตร!E293)</f>
        <v>182.9</v>
      </c>
      <c r="E296" s="63">
        <f>IF(ข้อมูลสูตร!$A293="","",ข้อมูลสูตร!F293)</f>
        <v>0</v>
      </c>
      <c r="F296" s="63">
        <f>IF(ข้อมูลสูตร!$A293="","",ข้อมูลสูตร!G293)</f>
        <v>0</v>
      </c>
      <c r="G296" s="63">
        <f>IF(ข้อมูลสูตร!$A293="","",ข้อมูลสูตร!H293)</f>
        <v>0</v>
      </c>
      <c r="H296" s="63">
        <f>IF(ข้อมูลสูตร!$A293="","",ข้อมูลสูตร!I293)</f>
        <v>0</v>
      </c>
      <c r="I296" s="63">
        <f>IF(ข้อมูลสูตร!$A293="","",ข้อมูลสูตร!J293)</f>
        <v>33.4</v>
      </c>
      <c r="J296" s="63">
        <f>IF(ข้อมูลสูตร!$A293="","",ข้อมูลสูตร!K293)</f>
        <v>0</v>
      </c>
      <c r="K296" s="63">
        <f>IF(ข้อมูลสูตร!$A293="","",ข้อมูลสูตร!L293)</f>
        <v>0</v>
      </c>
      <c r="L296" s="63">
        <f>IF(ข้อมูลสูตร!$A293="","",ข้อมูลสูตร!M293)</f>
        <v>0</v>
      </c>
      <c r="M296" s="63">
        <f>IF(ข้อมูลสูตร!$A293="","",ข้อมูลสูตร!N293)</f>
        <v>0</v>
      </c>
      <c r="N296" s="63">
        <f>IF(ข้อมูลสูตร!$A293="","",ข้อมูลสูตร!O293)</f>
        <v>0</v>
      </c>
      <c r="O296" s="63">
        <f>IF(ข้อมูลสูตร!$A293="","",ข้อมูลสูตร!P293)</f>
        <v>18.8</v>
      </c>
      <c r="P296" s="63">
        <f>IF(ข้อมูลสูตร!$A293="","",ข้อมูลสูตร!Q293)</f>
        <v>0</v>
      </c>
      <c r="Q296" s="63">
        <f>IF(ข้อมูลสูตร!$A293="","",ข้อมูลสูตร!R293)</f>
        <v>0</v>
      </c>
      <c r="R296" s="63">
        <f>IF(ข้อมูลสูตร!$A293="","",ข้อมูลสูตร!S293)</f>
        <v>300</v>
      </c>
      <c r="S296" s="63">
        <f>IF(ข้อมูลสูตร!$A293="","",ข้อมูลสูตร!T293)</f>
        <v>0</v>
      </c>
      <c r="T296" s="63">
        <f>IF(ข้อมูลสูตร!$A293="","",ข้อมูลสูตร!U293)</f>
        <v>0</v>
      </c>
      <c r="U296" s="64">
        <f>IF(ข้อมูลสูตร!$A293="","",ข้อมูลสูตร!V293)</f>
        <v>235.10000000000002</v>
      </c>
      <c r="V296" s="8">
        <f>IF(ข้อมูลสูตร!$A293="","",ข้อมูลสูตร!W293)</f>
        <v>17.53</v>
      </c>
      <c r="W296" s="64">
        <f>IF(ข้อมูลสูตร!$A293="","",ข้อมูลสูตร!X293)</f>
        <v>49</v>
      </c>
      <c r="X296" s="23">
        <f>IF(ข้อมูลสูตร!$A293="","",ข้อมูลสูตร!Y293)</f>
        <v>0.6422448979591836</v>
      </c>
      <c r="Y296" s="48" t="str">
        <f>IF(ข้อมูลสูตร!$A293="","",ข้อมูลสูตร!Z293)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296" s="48" t="str">
        <f>ข้อมูลสูตร!$A293</f>
        <v>Lemon Tea|20 oz|25%</v>
      </c>
    </row>
    <row r="297" spans="1:26" x14ac:dyDescent="0.25">
      <c r="A297" s="4" t="str">
        <f>IF(ข้อมูลสูตร!$A294="","",ข้อมูลสูตร!B294)</f>
        <v>Lemon Tea</v>
      </c>
      <c r="B297" s="4" t="str">
        <f>IF(ข้อมูลสูตร!$A294="","",ข้อมูลสูตร!C294)</f>
        <v>20 oz</v>
      </c>
      <c r="C297" s="4" t="str">
        <f>IF(ข้อมูลสูตร!$A294="","",ข้อมูลสูตร!D294)</f>
        <v>50%</v>
      </c>
      <c r="D297" s="63">
        <f>IF(ข้อมูลสูตร!$A294="","",ข้อมูลสูตร!E294)</f>
        <v>182.9</v>
      </c>
      <c r="E297" s="63">
        <f>IF(ข้อมูลสูตร!$A294="","",ข้อมูลสูตร!F294)</f>
        <v>0</v>
      </c>
      <c r="F297" s="63">
        <f>IF(ข้อมูลสูตร!$A294="","",ข้อมูลสูตร!G294)</f>
        <v>0</v>
      </c>
      <c r="G297" s="63">
        <f>IF(ข้อมูลสูตร!$A294="","",ข้อมูลสูตร!H294)</f>
        <v>0</v>
      </c>
      <c r="H297" s="63">
        <f>IF(ข้อมูลสูตร!$A294="","",ข้อมูลสูตร!I294)</f>
        <v>0</v>
      </c>
      <c r="I297" s="63">
        <f>IF(ข้อมูลสูตร!$A294="","",ข้อมูลสูตร!J294)</f>
        <v>43.4</v>
      </c>
      <c r="J297" s="63">
        <f>IF(ข้อมูลสูตร!$A294="","",ข้อมูลสูตร!K294)</f>
        <v>0</v>
      </c>
      <c r="K297" s="63">
        <f>IF(ข้อมูลสูตร!$A294="","",ข้อมูลสูตร!L294)</f>
        <v>0</v>
      </c>
      <c r="L297" s="63">
        <f>IF(ข้อมูลสูตร!$A294="","",ข้อมูลสูตร!M294)</f>
        <v>0</v>
      </c>
      <c r="M297" s="63">
        <f>IF(ข้อมูลสูตร!$A294="","",ข้อมูลสูตร!N294)</f>
        <v>0</v>
      </c>
      <c r="N297" s="63">
        <f>IF(ข้อมูลสูตร!$A294="","",ข้อมูลสูตร!O294)</f>
        <v>0</v>
      </c>
      <c r="O297" s="63">
        <f>IF(ข้อมูลสูตร!$A294="","",ข้อมูลสูตร!P294)</f>
        <v>18.8</v>
      </c>
      <c r="P297" s="63">
        <f>IF(ข้อมูลสูตร!$A294="","",ข้อมูลสูตร!Q294)</f>
        <v>0</v>
      </c>
      <c r="Q297" s="63">
        <f>IF(ข้อมูลสูตร!$A294="","",ข้อมูลสูตร!R294)</f>
        <v>0</v>
      </c>
      <c r="R297" s="63">
        <f>IF(ข้อมูลสูตร!$A294="","",ข้อมูลสูตร!S294)</f>
        <v>300</v>
      </c>
      <c r="S297" s="63">
        <f>IF(ข้อมูลสูตร!$A294="","",ข้อมูลสูตร!T294)</f>
        <v>0</v>
      </c>
      <c r="T297" s="63">
        <f>IF(ข้อมูลสูตร!$A294="","",ข้อมูลสูตร!U294)</f>
        <v>0</v>
      </c>
      <c r="U297" s="64">
        <f>IF(ข้อมูลสูตร!$A294="","",ข้อมูลสูตร!V294)</f>
        <v>245.10000000000002</v>
      </c>
      <c r="V297" s="8">
        <f>IF(ข้อมูลสูตร!$A294="","",ข้อมูลสูตร!W294)</f>
        <v>17.7</v>
      </c>
      <c r="W297" s="64">
        <f>IF(ข้อมูลสูตร!$A294="","",ข้อมูลสูตร!X294)</f>
        <v>49</v>
      </c>
      <c r="X297" s="23">
        <f>IF(ข้อมูลสูตร!$A294="","",ข้อมูลสูตร!Y294)</f>
        <v>0.63877551020408163</v>
      </c>
      <c r="Y297" s="48" t="str">
        <f>IF(ข้อมูลสูตร!$A294="","",ข้อมูลสูตร!Z294)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297" s="48" t="str">
        <f>ข้อมูลสูตร!$A294</f>
        <v>Lemon Tea|20 oz|50%</v>
      </c>
    </row>
    <row r="298" spans="1:26" x14ac:dyDescent="0.25">
      <c r="A298" s="4" t="str">
        <f>IF(ข้อมูลสูตร!$A295="","",ข้อมูลสูตร!B295)</f>
        <v>Lemon Tea</v>
      </c>
      <c r="B298" s="4" t="str">
        <f>IF(ข้อมูลสูตร!$A295="","",ข้อมูลสูตร!C295)</f>
        <v>20 oz</v>
      </c>
      <c r="C298" s="4" t="str">
        <f>IF(ข้อมูลสูตร!$A295="","",ข้อมูลสูตร!D295)</f>
        <v>75%</v>
      </c>
      <c r="D298" s="63">
        <f>IF(ข้อมูลสูตร!$A295="","",ข้อมูลสูตร!E295)</f>
        <v>182.9</v>
      </c>
      <c r="E298" s="63">
        <f>IF(ข้อมูลสูตร!$A295="","",ข้อมูลสูตร!F295)</f>
        <v>0</v>
      </c>
      <c r="F298" s="63">
        <f>IF(ข้อมูลสูตร!$A295="","",ข้อมูลสูตร!G295)</f>
        <v>0</v>
      </c>
      <c r="G298" s="63">
        <f>IF(ข้อมูลสูตร!$A295="","",ข้อมูลสูตร!H295)</f>
        <v>0</v>
      </c>
      <c r="H298" s="63">
        <f>IF(ข้อมูลสูตร!$A295="","",ข้อมูลสูตร!I295)</f>
        <v>0</v>
      </c>
      <c r="I298" s="63">
        <f>IF(ข้อมูลสูตร!$A295="","",ข้อมูลสูตร!J295)</f>
        <v>53.4</v>
      </c>
      <c r="J298" s="63">
        <f>IF(ข้อมูลสูตร!$A295="","",ข้อมูลสูตร!K295)</f>
        <v>0</v>
      </c>
      <c r="K298" s="63">
        <f>IF(ข้อมูลสูตร!$A295="","",ข้อมูลสูตร!L295)</f>
        <v>0</v>
      </c>
      <c r="L298" s="63">
        <f>IF(ข้อมูลสูตร!$A295="","",ข้อมูลสูตร!M295)</f>
        <v>0</v>
      </c>
      <c r="M298" s="63">
        <f>IF(ข้อมูลสูตร!$A295="","",ข้อมูลสูตร!N295)</f>
        <v>0</v>
      </c>
      <c r="N298" s="63">
        <f>IF(ข้อมูลสูตร!$A295="","",ข้อมูลสูตร!O295)</f>
        <v>0</v>
      </c>
      <c r="O298" s="63">
        <f>IF(ข้อมูลสูตร!$A295="","",ข้อมูลสูตร!P295)</f>
        <v>18.8</v>
      </c>
      <c r="P298" s="63">
        <f>IF(ข้อมูลสูตร!$A295="","",ข้อมูลสูตร!Q295)</f>
        <v>0</v>
      </c>
      <c r="Q298" s="63">
        <f>IF(ข้อมูลสูตร!$A295="","",ข้อมูลสูตร!R295)</f>
        <v>0</v>
      </c>
      <c r="R298" s="63">
        <f>IF(ข้อมูลสูตร!$A295="","",ข้อมูลสูตร!S295)</f>
        <v>300</v>
      </c>
      <c r="S298" s="63">
        <f>IF(ข้อมูลสูตร!$A295="","",ข้อมูลสูตร!T295)</f>
        <v>0</v>
      </c>
      <c r="T298" s="63">
        <f>IF(ข้อมูลสูตร!$A295="","",ข้อมูลสูตร!U295)</f>
        <v>0</v>
      </c>
      <c r="U298" s="64">
        <f>IF(ข้อมูลสูตร!$A295="","",ข้อมูลสูตร!V295)</f>
        <v>255.10000000000002</v>
      </c>
      <c r="V298" s="8">
        <f>IF(ข้อมูลสูตร!$A295="","",ข้อมูลสูตร!W295)</f>
        <v>17.86</v>
      </c>
      <c r="W298" s="64">
        <f>IF(ข้อมูลสูตร!$A295="","",ข้อมูลสูตร!X295)</f>
        <v>49</v>
      </c>
      <c r="X298" s="23">
        <f>IF(ข้อมูลสูตร!$A295="","",ข้อมูลสูตร!Y295)</f>
        <v>0.63551020408163261</v>
      </c>
      <c r="Y298" s="48" t="str">
        <f>IF(ข้อมูลสูตร!$A295="","",ข้อมูลสูตร!Z295)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298" s="48" t="str">
        <f>ข้อมูลสูตร!$A295</f>
        <v>Lemon Tea|20 oz|75%</v>
      </c>
    </row>
    <row r="299" spans="1:26" x14ac:dyDescent="0.25">
      <c r="A299" s="4" t="str">
        <f>IF(ข้อมูลสูตร!$A296="","",ข้อมูลสูตร!B296)</f>
        <v>Lemon Tea</v>
      </c>
      <c r="B299" s="4" t="str">
        <f>IF(ข้อมูลสูตร!$A296="","",ข้อมูลสูตร!C296)</f>
        <v>20 oz</v>
      </c>
      <c r="C299" s="4" t="str">
        <f>IF(ข้อมูลสูตร!$A296="","",ข้อมูลสูตร!D296)</f>
        <v>100%</v>
      </c>
      <c r="D299" s="63">
        <f>IF(ข้อมูลสูตร!$A296="","",ข้อมูลสูตร!E296)</f>
        <v>182.9</v>
      </c>
      <c r="E299" s="63">
        <f>IF(ข้อมูลสูตร!$A296="","",ข้อมูลสูตร!F296)</f>
        <v>0</v>
      </c>
      <c r="F299" s="63">
        <f>IF(ข้อมูลสูตร!$A296="","",ข้อมูลสูตร!G296)</f>
        <v>0</v>
      </c>
      <c r="G299" s="63">
        <f>IF(ข้อมูลสูตร!$A296="","",ข้อมูลสูตร!H296)</f>
        <v>0</v>
      </c>
      <c r="H299" s="63">
        <f>IF(ข้อมูลสูตร!$A296="","",ข้อมูลสูตร!I296)</f>
        <v>0</v>
      </c>
      <c r="I299" s="63">
        <f>IF(ข้อมูลสูตร!$A296="","",ข้อมูลสูตร!J296)</f>
        <v>63.4</v>
      </c>
      <c r="J299" s="63">
        <f>IF(ข้อมูลสูตร!$A296="","",ข้อมูลสูตร!K296)</f>
        <v>0</v>
      </c>
      <c r="K299" s="63">
        <f>IF(ข้อมูลสูตร!$A296="","",ข้อมูลสูตร!L296)</f>
        <v>0</v>
      </c>
      <c r="L299" s="63">
        <f>IF(ข้อมูลสูตร!$A296="","",ข้อมูลสูตร!M296)</f>
        <v>0</v>
      </c>
      <c r="M299" s="63">
        <f>IF(ข้อมูลสูตร!$A296="","",ข้อมูลสูตร!N296)</f>
        <v>0</v>
      </c>
      <c r="N299" s="63">
        <f>IF(ข้อมูลสูตร!$A296="","",ข้อมูลสูตร!O296)</f>
        <v>0</v>
      </c>
      <c r="O299" s="63">
        <f>IF(ข้อมูลสูตร!$A296="","",ข้อมูลสูตร!P296)</f>
        <v>18.8</v>
      </c>
      <c r="P299" s="63">
        <f>IF(ข้อมูลสูตร!$A296="","",ข้อมูลสูตร!Q296)</f>
        <v>0</v>
      </c>
      <c r="Q299" s="63">
        <f>IF(ข้อมูลสูตร!$A296="","",ข้อมูลสูตร!R296)</f>
        <v>0</v>
      </c>
      <c r="R299" s="63">
        <f>IF(ข้อมูลสูตร!$A296="","",ข้อมูลสูตร!S296)</f>
        <v>300</v>
      </c>
      <c r="S299" s="63">
        <f>IF(ข้อมูลสูตร!$A296="","",ข้อมูลสูตร!T296)</f>
        <v>0</v>
      </c>
      <c r="T299" s="63">
        <f>IF(ข้อมูลสูตร!$A296="","",ข้อมูลสูตร!U296)</f>
        <v>0</v>
      </c>
      <c r="U299" s="64">
        <f>IF(ข้อมูลสูตร!$A296="","",ข้อมูลสูตร!V296)</f>
        <v>265.10000000000002</v>
      </c>
      <c r="V299" s="8">
        <f>IF(ข้อมูลสูตร!$A296="","",ข้อมูลสูตร!W296)</f>
        <v>18.03</v>
      </c>
      <c r="W299" s="64">
        <f>IF(ข้อมูลสูตร!$A296="","",ข้อมูลสูตร!X296)</f>
        <v>49</v>
      </c>
      <c r="X299" s="23">
        <f>IF(ข้อมูลสูตร!$A296="","",ข้อมูลสูตร!Y296)</f>
        <v>0.63204081632653064</v>
      </c>
      <c r="Y299" s="48" t="str">
        <f>IF(ข้อมูลสูตร!$A296="","",ข้อมูลสูตร!Z296)</f>
        <v>[20 oz = 16 oz x 1.25] เมนูใหม่ — อุดช่องโหว่: เดิม 9 เมนูมีนมทุกตัว ไม่มีทางเลือกให้คนแพ้แลคโตส/มังสวิรัติ · ตั้งราคา 40 ไม่ใช่ 35 เพราะมะนาวสด 0.25฿/ml ทำให้ต้นทุนไม่ได้ถูกอย่างที่คิด (ที่ 35 บาท GP เหลือ 51%) · รอบ 6: เบสชาไทยไม่มีน้ำตาลแล้ว จึงเติมน้ำเชื่อม 1:1 ชดเชย และลด ชาไทยเบส (เบสใหม่เข้มขึ้น 50% จึงยังได้เนื้อชามากกว่าสูตรเดิม) ลงเท่ากัน เพื่อคุมปริมาตรแก้วให้เท่าเดิม</v>
      </c>
      <c r="Z299" s="48" t="str">
        <f>ข้อมูลสูตร!$A296</f>
        <v>Lemon Tea|20 oz|100%</v>
      </c>
    </row>
    <row r="300" spans="1:26" x14ac:dyDescent="0.25">
      <c r="A300" s="4" t="str">
        <f>IF(ข้อมูลสูตร!$A297="","",ข้อมูลสูตร!B297)</f>
        <v>Green Tea</v>
      </c>
      <c r="B300" s="4" t="str">
        <f>IF(ข้อมูลสูตร!$A297="","",ข้อมูลสูตร!C297)</f>
        <v>20 oz</v>
      </c>
      <c r="C300" s="4" t="str">
        <f>IF(ข้อมูลสูตร!$A297="","",ข้อมูลสูตร!D297)</f>
        <v>0%</v>
      </c>
      <c r="D300" s="63">
        <f>IF(ข้อมูลสูตร!$A297="","",ข้อมูลสูตร!E297)</f>
        <v>0</v>
      </c>
      <c r="E300" s="63">
        <f>IF(ข้อมูลสูตร!$A297="","",ข้อมูลสูตร!F297)</f>
        <v>168.8</v>
      </c>
      <c r="F300" s="63">
        <f>IF(ข้อมูลสูตร!$A297="","",ข้อมูลสูตร!G297)</f>
        <v>0</v>
      </c>
      <c r="G300" s="63">
        <f>IF(ข้อมูลสูตร!$A297="","",ข้อมูลสูตร!H297)</f>
        <v>70</v>
      </c>
      <c r="H300" s="63">
        <f>IF(ข้อมูลสูตร!$A297="","",ข้อมูลสูตร!I297)</f>
        <v>0</v>
      </c>
      <c r="I300" s="63">
        <f>IF(ข้อมูลสูตร!$A297="","",ข้อมูลสูตร!J297)</f>
        <v>0</v>
      </c>
      <c r="J300" s="63">
        <f>IF(ข้อมูลสูตร!$A297="","",ข้อมูลสูตร!K297)</f>
        <v>0</v>
      </c>
      <c r="K300" s="63">
        <f>IF(ข้อมูลสูตร!$A297="","",ข้อมูลสูตร!L297)</f>
        <v>0</v>
      </c>
      <c r="L300" s="63">
        <f>IF(ข้อมูลสูตร!$A297="","",ข้อมูลสูตร!M297)</f>
        <v>0</v>
      </c>
      <c r="M300" s="63">
        <f>IF(ข้อมูลสูตร!$A297="","",ข้อมูลสูตร!N297)</f>
        <v>0</v>
      </c>
      <c r="N300" s="63">
        <f>IF(ข้อมูลสูตร!$A297="","",ข้อมูลสูตร!O297)</f>
        <v>0</v>
      </c>
      <c r="O300" s="63">
        <f>IF(ข้อมูลสูตร!$A297="","",ข้อมูลสูตร!P297)</f>
        <v>0</v>
      </c>
      <c r="P300" s="63">
        <f>IF(ข้อมูลสูตร!$A297="","",ข้อมูลสูตร!Q297)</f>
        <v>0</v>
      </c>
      <c r="Q300" s="63">
        <f>IF(ข้อมูลสูตร!$A297="","",ข้อมูลสูตร!R297)</f>
        <v>0</v>
      </c>
      <c r="R300" s="63">
        <f>IF(ข้อมูลสูตร!$A297="","",ข้อมูลสูตร!S297)</f>
        <v>300</v>
      </c>
      <c r="S300" s="63">
        <f>IF(ข้อมูลสูตร!$A297="","",ข้อมูลสูตร!T297)</f>
        <v>0</v>
      </c>
      <c r="T300" s="63">
        <f>IF(ข้อมูลสูตร!$A297="","",ข้อมูลสูตร!U297)</f>
        <v>0</v>
      </c>
      <c r="U300" s="64">
        <f>IF(ข้อมูลสูตร!$A297="","",ข้อมูลสูตร!V297)</f>
        <v>238.8</v>
      </c>
      <c r="V300" s="8">
        <f>IF(ข้อมูลสูตร!$A297="","",ข้อมูลสูตร!W297)</f>
        <v>18.09</v>
      </c>
      <c r="W300" s="64">
        <f>IF(ข้อมูลสูตร!$A297="","",ข้อมูลสูตร!X297)</f>
        <v>50</v>
      </c>
      <c r="X300" s="23">
        <f>IF(ข้อมูลสูตร!$A297="","",ข้อมูลสูตร!Y297)</f>
        <v>0.63819999999999999</v>
      </c>
      <c r="Y300" s="48" t="str">
        <f>IF(ข้อมูลสูตร!$A297="","",ข้อมูลสูตร!Z297)</f>
        <v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00" s="48" t="str">
        <f>ข้อมูลสูตร!$A297</f>
        <v>Green Tea|20 oz|0%</v>
      </c>
    </row>
    <row r="301" spans="1:26" x14ac:dyDescent="0.25">
      <c r="A301" s="4" t="str">
        <f>IF(ข้อมูลสูตร!$A298="","",ข้อมูลสูตร!B298)</f>
        <v>Green Tea</v>
      </c>
      <c r="B301" s="4" t="str">
        <f>IF(ข้อมูลสูตร!$A298="","",ข้อมูลสูตร!C298)</f>
        <v>20 oz</v>
      </c>
      <c r="C301" s="4" t="str">
        <f>IF(ข้อมูลสูตร!$A298="","",ข้อมูลสูตร!D298)</f>
        <v>25%</v>
      </c>
      <c r="D301" s="63">
        <f>IF(ข้อมูลสูตร!$A298="","",ข้อมูลสูตร!E298)</f>
        <v>0</v>
      </c>
      <c r="E301" s="63">
        <f>IF(ข้อมูลสูตร!$A298="","",ข้อมูลสูตร!F298)</f>
        <v>168.8</v>
      </c>
      <c r="F301" s="63">
        <f>IF(ข้อมูลสูตร!$A298="","",ข้อมูลสูตร!G298)</f>
        <v>0</v>
      </c>
      <c r="G301" s="63">
        <f>IF(ข้อมูลสูตร!$A298="","",ข้อมูลสูตร!H298)</f>
        <v>62.5</v>
      </c>
      <c r="H301" s="63">
        <f>IF(ข้อมูลสูตร!$A298="","",ข้อมูลสูตร!I298)</f>
        <v>10</v>
      </c>
      <c r="I301" s="63">
        <f>IF(ข้อมูลสูตร!$A298="","",ข้อมูลสูตร!J298)</f>
        <v>21.6</v>
      </c>
      <c r="J301" s="63">
        <f>IF(ข้อมูลสูตร!$A298="","",ข้อมูลสูตร!K298)</f>
        <v>0</v>
      </c>
      <c r="K301" s="63">
        <f>IF(ข้อมูลสูตร!$A298="","",ข้อมูลสูตร!L298)</f>
        <v>0</v>
      </c>
      <c r="L301" s="63">
        <f>IF(ข้อมูลสูตร!$A298="","",ข้อมูลสูตร!M298)</f>
        <v>0</v>
      </c>
      <c r="M301" s="63">
        <f>IF(ข้อมูลสูตร!$A298="","",ข้อมูลสูตร!N298)</f>
        <v>0</v>
      </c>
      <c r="N301" s="63">
        <f>IF(ข้อมูลสูตร!$A298="","",ข้อมูลสูตร!O298)</f>
        <v>0</v>
      </c>
      <c r="O301" s="63">
        <f>IF(ข้อมูลสูตร!$A298="","",ข้อมูลสูตร!P298)</f>
        <v>0</v>
      </c>
      <c r="P301" s="63">
        <f>IF(ข้อมูลสูตร!$A298="","",ข้อมูลสูตร!Q298)</f>
        <v>0</v>
      </c>
      <c r="Q301" s="63">
        <f>IF(ข้อมูลสูตร!$A298="","",ข้อมูลสูตร!R298)</f>
        <v>0</v>
      </c>
      <c r="R301" s="63">
        <f>IF(ข้อมูลสูตร!$A298="","",ข้อมูลสูตร!S298)</f>
        <v>300</v>
      </c>
      <c r="S301" s="63">
        <f>IF(ข้อมูลสูตร!$A298="","",ข้อมูลสูตร!T298)</f>
        <v>0</v>
      </c>
      <c r="T301" s="63">
        <f>IF(ข้อมูลสูตร!$A298="","",ข้อมูลสูตร!U298)</f>
        <v>0</v>
      </c>
      <c r="U301" s="64">
        <f>IF(ข้อมูลสูตร!$A298="","",ข้อมูลสูตร!V298)</f>
        <v>262.90000000000003</v>
      </c>
      <c r="V301" s="8">
        <f>IF(ข้อมูลสูตร!$A298="","",ข้อมูลสูตร!W298)</f>
        <v>18.59</v>
      </c>
      <c r="W301" s="64">
        <f>IF(ข้อมูลสูตร!$A298="","",ข้อมูลสูตร!X298)</f>
        <v>50</v>
      </c>
      <c r="X301" s="23">
        <f>IF(ข้อมูลสูตร!$A298="","",ข้อมูลสูตร!Y298)</f>
        <v>0.62819999999999998</v>
      </c>
      <c r="Y301" s="48" t="str">
        <f>IF(ข้อมูลสูตร!$A298="","",ข้อมูลสูตร!Z298)</f>
        <v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301" s="48" t="str">
        <f>ข้อมูลสูตร!$A298</f>
        <v>Green Tea|20 oz|25%</v>
      </c>
    </row>
    <row r="302" spans="1:26" x14ac:dyDescent="0.25">
      <c r="A302" s="4" t="str">
        <f>IF(ข้อมูลสูตร!$A299="","",ข้อมูลสูตร!B299)</f>
        <v>Green Tea</v>
      </c>
      <c r="B302" s="4" t="str">
        <f>IF(ข้อมูลสูตร!$A299="","",ข้อมูลสูตร!C299)</f>
        <v>20 oz</v>
      </c>
      <c r="C302" s="4" t="str">
        <f>IF(ข้อมูลสูตร!$A299="","",ข้อมูลสูตร!D299)</f>
        <v>50%</v>
      </c>
      <c r="D302" s="63">
        <f>IF(ข้อมูลสูตร!$A299="","",ข้อมูลสูตร!E299)</f>
        <v>0</v>
      </c>
      <c r="E302" s="63">
        <f>IF(ข้อมูลสูตร!$A299="","",ข้อมูลสูตร!F299)</f>
        <v>168.8</v>
      </c>
      <c r="F302" s="63">
        <f>IF(ข้อมูลสูตร!$A299="","",ข้อมูลสูตร!G299)</f>
        <v>0</v>
      </c>
      <c r="G302" s="63">
        <f>IF(ข้อมูลสูตร!$A299="","",ข้อมูลสูตร!H299)</f>
        <v>55</v>
      </c>
      <c r="H302" s="63">
        <f>IF(ข้อมูลสูตร!$A299="","",ข้อมูลสูตร!I299)</f>
        <v>20</v>
      </c>
      <c r="I302" s="63">
        <f>IF(ข้อมูลสูตร!$A299="","",ข้อมูลสูตร!J299)</f>
        <v>21.6</v>
      </c>
      <c r="J302" s="63">
        <f>IF(ข้อมูลสูตร!$A299="","",ข้อมูลสูตร!K299)</f>
        <v>0</v>
      </c>
      <c r="K302" s="63">
        <f>IF(ข้อมูลสูตร!$A299="","",ข้อมูลสูตร!L299)</f>
        <v>0</v>
      </c>
      <c r="L302" s="63">
        <f>IF(ข้อมูลสูตร!$A299="","",ข้อมูลสูตร!M299)</f>
        <v>0</v>
      </c>
      <c r="M302" s="63">
        <f>IF(ข้อมูลสูตร!$A299="","",ข้อมูลสูตร!N299)</f>
        <v>0</v>
      </c>
      <c r="N302" s="63">
        <f>IF(ข้อมูลสูตร!$A299="","",ข้อมูลสูตร!O299)</f>
        <v>0</v>
      </c>
      <c r="O302" s="63">
        <f>IF(ข้อมูลสูตร!$A299="","",ข้อมูลสูตร!P299)</f>
        <v>0</v>
      </c>
      <c r="P302" s="63">
        <f>IF(ข้อมูลสูตร!$A299="","",ข้อมูลสูตร!Q299)</f>
        <v>0</v>
      </c>
      <c r="Q302" s="63">
        <f>IF(ข้อมูลสูตร!$A299="","",ข้อมูลสูตร!R299)</f>
        <v>0</v>
      </c>
      <c r="R302" s="63">
        <f>IF(ข้อมูลสูตร!$A299="","",ข้อมูลสูตร!S299)</f>
        <v>300</v>
      </c>
      <c r="S302" s="63">
        <f>IF(ข้อมูลสูตร!$A299="","",ข้อมูลสูตร!T299)</f>
        <v>0</v>
      </c>
      <c r="T302" s="63">
        <f>IF(ข้อมูลสูตร!$A299="","",ข้อมูลสูตร!U299)</f>
        <v>0</v>
      </c>
      <c r="U302" s="64">
        <f>IF(ข้อมูลสูตร!$A299="","",ข้อมูลสูตร!V299)</f>
        <v>265.40000000000003</v>
      </c>
      <c r="V302" s="8">
        <f>IF(ข้อมูลสูตร!$A299="","",ข้อมูลสูตร!W299)</f>
        <v>18.73</v>
      </c>
      <c r="W302" s="64">
        <f>IF(ข้อมูลสูตร!$A299="","",ข้อมูลสูตร!X299)</f>
        <v>50</v>
      </c>
      <c r="X302" s="23">
        <f>IF(ข้อมูลสูตร!$A299="","",ข้อมูลสูตร!Y299)</f>
        <v>0.62539999999999996</v>
      </c>
      <c r="Y302" s="48" t="str">
        <f>IF(ข้อมูลสูตร!$A299="","",ข้อมูลสูตร!Z299)</f>
        <v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302" s="48" t="str">
        <f>ข้อมูลสูตร!$A299</f>
        <v>Green Tea|20 oz|50%</v>
      </c>
    </row>
    <row r="303" spans="1:26" x14ac:dyDescent="0.25">
      <c r="A303" s="4" t="str">
        <f>IF(ข้อมูลสูตร!$A300="","",ข้อมูลสูตร!B300)</f>
        <v>Green Tea</v>
      </c>
      <c r="B303" s="4" t="str">
        <f>IF(ข้อมูลสูตร!$A300="","",ข้อมูลสูตร!C300)</f>
        <v>20 oz</v>
      </c>
      <c r="C303" s="4" t="str">
        <f>IF(ข้อมูลสูตร!$A300="","",ข้อมูลสูตร!D300)</f>
        <v>75%</v>
      </c>
      <c r="D303" s="63">
        <f>IF(ข้อมูลสูตร!$A300="","",ข้อมูลสูตร!E300)</f>
        <v>0</v>
      </c>
      <c r="E303" s="63">
        <f>IF(ข้อมูลสูตร!$A300="","",ข้อมูลสูตร!F300)</f>
        <v>168.8</v>
      </c>
      <c r="F303" s="63">
        <f>IF(ข้อมูลสูตร!$A300="","",ข้อมูลสูตร!G300)</f>
        <v>0</v>
      </c>
      <c r="G303" s="63">
        <f>IF(ข้อมูลสูตร!$A300="","",ข้อมูลสูตร!H300)</f>
        <v>47.5</v>
      </c>
      <c r="H303" s="63">
        <f>IF(ข้อมูลสูตร!$A300="","",ข้อมูลสูตร!I300)</f>
        <v>30</v>
      </c>
      <c r="I303" s="63">
        <f>IF(ข้อมูลสูตร!$A300="","",ข้อมูลสูตร!J300)</f>
        <v>21.6</v>
      </c>
      <c r="J303" s="63">
        <f>IF(ข้อมูลสูตร!$A300="","",ข้อมูลสูตร!K300)</f>
        <v>0</v>
      </c>
      <c r="K303" s="63">
        <f>IF(ข้อมูลสูตร!$A300="","",ข้อมูลสูตร!L300)</f>
        <v>0</v>
      </c>
      <c r="L303" s="63">
        <f>IF(ข้อมูลสูตร!$A300="","",ข้อมูลสูตร!M300)</f>
        <v>0</v>
      </c>
      <c r="M303" s="63">
        <f>IF(ข้อมูลสูตร!$A300="","",ข้อมูลสูตร!N300)</f>
        <v>0</v>
      </c>
      <c r="N303" s="63">
        <f>IF(ข้อมูลสูตร!$A300="","",ข้อมูลสูตร!O300)</f>
        <v>0</v>
      </c>
      <c r="O303" s="63">
        <f>IF(ข้อมูลสูตร!$A300="","",ข้อมูลสูตร!P300)</f>
        <v>0</v>
      </c>
      <c r="P303" s="63">
        <f>IF(ข้อมูลสูตร!$A300="","",ข้อมูลสูตร!Q300)</f>
        <v>0</v>
      </c>
      <c r="Q303" s="63">
        <f>IF(ข้อมูลสูตร!$A300="","",ข้อมูลสูตร!R300)</f>
        <v>0</v>
      </c>
      <c r="R303" s="63">
        <f>IF(ข้อมูลสูตร!$A300="","",ข้อมูลสูตร!S300)</f>
        <v>300</v>
      </c>
      <c r="S303" s="63">
        <f>IF(ข้อมูลสูตร!$A300="","",ข้อมูลสูตร!T300)</f>
        <v>0</v>
      </c>
      <c r="T303" s="63">
        <f>IF(ข้อมูลสูตร!$A300="","",ข้อมูลสูตร!U300)</f>
        <v>0</v>
      </c>
      <c r="U303" s="64">
        <f>IF(ข้อมูลสูตร!$A300="","",ข้อมูลสูตร!V300)</f>
        <v>267.90000000000003</v>
      </c>
      <c r="V303" s="8">
        <f>IF(ข้อมูลสูตร!$A300="","",ข้อมูลสูตร!W300)</f>
        <v>18.87</v>
      </c>
      <c r="W303" s="64">
        <f>IF(ข้อมูลสูตร!$A300="","",ข้อมูลสูตร!X300)</f>
        <v>50</v>
      </c>
      <c r="X303" s="23">
        <f>IF(ข้อมูลสูตร!$A300="","",ข้อมูลสูตร!Y300)</f>
        <v>0.62259999999999993</v>
      </c>
      <c r="Y303" s="48" t="str">
        <f>IF(ข้อมูลสูตร!$A300="","",ข้อมูลสูตร!Z300)</f>
        <v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303" s="48" t="str">
        <f>ข้อมูลสูตร!$A300</f>
        <v>Green Tea|20 oz|75%</v>
      </c>
    </row>
    <row r="304" spans="1:26" x14ac:dyDescent="0.25">
      <c r="A304" s="4" t="str">
        <f>IF(ข้อมูลสูตร!$A301="","",ข้อมูลสูตร!B301)</f>
        <v>Green Tea</v>
      </c>
      <c r="B304" s="4" t="str">
        <f>IF(ข้อมูลสูตร!$A301="","",ข้อมูลสูตร!C301)</f>
        <v>20 oz</v>
      </c>
      <c r="C304" s="4" t="str">
        <f>IF(ข้อมูลสูตร!$A301="","",ข้อมูลสูตร!D301)</f>
        <v>100%</v>
      </c>
      <c r="D304" s="63">
        <f>IF(ข้อมูลสูตร!$A301="","",ข้อมูลสูตร!E301)</f>
        <v>0</v>
      </c>
      <c r="E304" s="63">
        <f>IF(ข้อมูลสูตร!$A301="","",ข้อมูลสูตร!F301)</f>
        <v>168.8</v>
      </c>
      <c r="F304" s="63">
        <f>IF(ข้อมูลสูตร!$A301="","",ข้อมูลสูตร!G301)</f>
        <v>0</v>
      </c>
      <c r="G304" s="63">
        <f>IF(ข้อมูลสูตร!$A301="","",ข้อมูลสูตร!H301)</f>
        <v>40</v>
      </c>
      <c r="H304" s="63">
        <f>IF(ข้อมูลสูตร!$A301="","",ข้อมูลสูตร!I301)</f>
        <v>40</v>
      </c>
      <c r="I304" s="63">
        <f>IF(ข้อมูลสูตร!$A301="","",ข้อมูลสูตร!J301)</f>
        <v>21.6</v>
      </c>
      <c r="J304" s="63">
        <f>IF(ข้อมูลสูตร!$A301="","",ข้อมูลสูตร!K301)</f>
        <v>0</v>
      </c>
      <c r="K304" s="63">
        <f>IF(ข้อมูลสูตร!$A301="","",ข้อมูลสูตร!L301)</f>
        <v>0</v>
      </c>
      <c r="L304" s="63">
        <f>IF(ข้อมูลสูตร!$A301="","",ข้อมูลสูตร!M301)</f>
        <v>0</v>
      </c>
      <c r="M304" s="63">
        <f>IF(ข้อมูลสูตร!$A301="","",ข้อมูลสูตร!N301)</f>
        <v>0</v>
      </c>
      <c r="N304" s="63">
        <f>IF(ข้อมูลสูตร!$A301="","",ข้อมูลสูตร!O301)</f>
        <v>0</v>
      </c>
      <c r="O304" s="63">
        <f>IF(ข้อมูลสูตร!$A301="","",ข้อมูลสูตร!P301)</f>
        <v>0</v>
      </c>
      <c r="P304" s="63">
        <f>IF(ข้อมูลสูตร!$A301="","",ข้อมูลสูตร!Q301)</f>
        <v>0</v>
      </c>
      <c r="Q304" s="63">
        <f>IF(ข้อมูลสูตร!$A301="","",ข้อมูลสูตร!R301)</f>
        <v>0</v>
      </c>
      <c r="R304" s="63">
        <f>IF(ข้อมูลสูตร!$A301="","",ข้อมูลสูตร!S301)</f>
        <v>300</v>
      </c>
      <c r="S304" s="63">
        <f>IF(ข้อมูลสูตร!$A301="","",ข้อมูลสูตร!T301)</f>
        <v>0</v>
      </c>
      <c r="T304" s="63">
        <f>IF(ข้อมูลสูตร!$A301="","",ข้อมูลสูตร!U301)</f>
        <v>0</v>
      </c>
      <c r="U304" s="64">
        <f>IF(ข้อมูลสูตร!$A301="","",ข้อมูลสูตร!V301)</f>
        <v>270.40000000000003</v>
      </c>
      <c r="V304" s="8">
        <f>IF(ข้อมูลสูตร!$A301="","",ข้อมูลสูตร!W301)</f>
        <v>19</v>
      </c>
      <c r="W304" s="64">
        <f>IF(ข้อมูลสูตร!$A301="","",ข้อมูลสูตร!X301)</f>
        <v>50</v>
      </c>
      <c r="X304" s="23">
        <f>IF(ข้อมูลสูตร!$A301="","",ข้อมูลสูตร!Y301)</f>
        <v>0.62</v>
      </c>
      <c r="Y304" s="48" t="str">
        <f>IF(ข้อมูลสูตร!$A301="","",ข้อมูลสูตร!Z301)</f>
        <v>[20 oz = 16 oz x 1.25] เมนูใหม่ — เปิดไลน์ชาเขียว: ลูกค้ามาเป็นคู่/กลุ่มมักสั่งคนละอย่าง ถ้ามีแต่ชาไทยจะเสียยอดครึ่งหนึ่งของทุกกลุ่ม · รอบ 7: เบสชาเขียวไม่มีน้ำตาลแล้ว จึงเติมน้ำเชื่อม 1:1 ชดเชย = 0.128 × ปริมาณเบสชาเขียว</v>
      </c>
      <c r="Z304" s="48" t="str">
        <f>ข้อมูลสูตร!$A301</f>
        <v>Green Tea|20 oz|100%</v>
      </c>
    </row>
    <row r="305" spans="1:26" x14ac:dyDescent="0.25">
      <c r="A305" s="4" t="str">
        <f>IF(ข้อมูลสูตร!$A302="","",ข้อมูลสูตร!B302)</f>
        <v>Green Coconut</v>
      </c>
      <c r="B305" s="4" t="str">
        <f>IF(ข้อมูลสูตร!$A302="","",ข้อมูลสูตร!C302)</f>
        <v>20 oz</v>
      </c>
      <c r="C305" s="4" t="str">
        <f>IF(ข้อมูลสูตร!$A302="","",ข้อมูลสูตร!D302)</f>
        <v>0%</v>
      </c>
      <c r="D305" s="63">
        <f>IF(ข้อมูลสูตร!$A302="","",ข้อมูลสูตร!E302)</f>
        <v>0</v>
      </c>
      <c r="E305" s="63">
        <f>IF(ข้อมูลสูตร!$A302="","",ข้อมูลสูตร!F302)</f>
        <v>131.30000000000001</v>
      </c>
      <c r="F305" s="63">
        <f>IF(ข้อมูลสูตร!$A302="","",ข้อมูลสูตร!G302)</f>
        <v>0</v>
      </c>
      <c r="G305" s="63">
        <f>IF(ข้อมูลสูตร!$A302="","",ข้อมูลสูตร!H302)</f>
        <v>12.5</v>
      </c>
      <c r="H305" s="63">
        <f>IF(ข้อมูลสูตร!$A302="","",ข้อมูลสูตร!I302)</f>
        <v>0</v>
      </c>
      <c r="I305" s="63">
        <f>IF(ข้อมูลสูตร!$A302="","",ข้อมูลสูตร!J302)</f>
        <v>0</v>
      </c>
      <c r="J305" s="63">
        <f>IF(ข้อมูลสูตร!$A302="","",ข้อมูลสูตร!K302)</f>
        <v>0</v>
      </c>
      <c r="K305" s="63">
        <f>IF(ข้อมูลสูตร!$A302="","",ข้อมูลสูตร!L302)</f>
        <v>0</v>
      </c>
      <c r="L305" s="63">
        <f>IF(ข้อมูลสูตร!$A302="","",ข้อมูลสูตร!M302)</f>
        <v>0</v>
      </c>
      <c r="M305" s="63">
        <f>IF(ข้อมูลสูตร!$A302="","",ข้อมูลสูตร!N302)</f>
        <v>118.8</v>
      </c>
      <c r="N305" s="63">
        <f>IF(ข้อมูลสูตร!$A302="","",ข้อมูลสูตร!O302)</f>
        <v>0</v>
      </c>
      <c r="O305" s="63">
        <f>IF(ข้อมูลสูตร!$A302="","",ข้อมูลสูตร!P302)</f>
        <v>0</v>
      </c>
      <c r="P305" s="63">
        <f>IF(ข้อมูลสูตร!$A302="","",ข้อมูลสูตร!Q302)</f>
        <v>0</v>
      </c>
      <c r="Q305" s="63">
        <f>IF(ข้อมูลสูตร!$A302="","",ข้อมูลสูตร!R302)</f>
        <v>0</v>
      </c>
      <c r="R305" s="63">
        <f>IF(ข้อมูลสูตร!$A302="","",ข้อมูลสูตร!S302)</f>
        <v>275</v>
      </c>
      <c r="S305" s="63">
        <f>IF(ข้อมูลสูตร!$A302="","",ข้อมูลสูตร!T302)</f>
        <v>0</v>
      </c>
      <c r="T305" s="63">
        <f>IF(ข้อมูลสูตร!$A302="","",ข้อมูลสูตร!U302)</f>
        <v>0</v>
      </c>
      <c r="U305" s="64">
        <f>IF(ข้อมูลสูตร!$A302="","",ข้อมูลสูตร!V302)</f>
        <v>262.60000000000002</v>
      </c>
      <c r="V305" s="8">
        <f>IF(ข้อมูลสูตร!$A302="","",ข้อมูลสูตร!W302)</f>
        <v>21.31</v>
      </c>
      <c r="W305" s="64">
        <f>IF(ข้อมูลสูตร!$A302="","",ข้อมูลสูตร!X302)</f>
        <v>65</v>
      </c>
      <c r="X305" s="23">
        <f>IF(ข้อมูลสูตร!$A302="","",ข้อมูลสูตร!Y302)</f>
        <v>0.6721538461538461</v>
      </c>
      <c r="Y305" s="48" t="str">
        <f>IF(ข้อมูลสูตร!$A302="","",ข้อมูลสูตร!Z302)</f>
        <v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05" s="48" t="str">
        <f>ข้อมูลสูตร!$A302</f>
        <v>Green Coconut|20 oz|0%</v>
      </c>
    </row>
    <row r="306" spans="1:26" x14ac:dyDescent="0.25">
      <c r="A306" s="4" t="str">
        <f>IF(ข้อมูลสูตร!$A303="","",ข้อมูลสูตร!B303)</f>
        <v>Green Coconut</v>
      </c>
      <c r="B306" s="4" t="str">
        <f>IF(ข้อมูลสูตร!$A303="","",ข้อมูลสูตร!C303)</f>
        <v>20 oz</v>
      </c>
      <c r="C306" s="4" t="str">
        <f>IF(ข้อมูลสูตร!$A303="","",ข้อมูลสูตร!D303)</f>
        <v>25%</v>
      </c>
      <c r="D306" s="63">
        <f>IF(ข้อมูลสูตร!$A303="","",ข้อมูลสูตร!E303)</f>
        <v>0</v>
      </c>
      <c r="E306" s="63">
        <f>IF(ข้อมูลสูตร!$A303="","",ข้อมูลสูตร!F303)</f>
        <v>131.30000000000001</v>
      </c>
      <c r="F306" s="63">
        <f>IF(ข้อมูลสูตร!$A303="","",ข้อมูลสูตร!G303)</f>
        <v>0</v>
      </c>
      <c r="G306" s="63">
        <f>IF(ข้อมูลสูตร!$A303="","",ข้อมูลสูตร!H303)</f>
        <v>12.5</v>
      </c>
      <c r="H306" s="63">
        <f>IF(ข้อมูลสูตร!$A303="","",ข้อมูลสูตร!I303)</f>
        <v>6.3</v>
      </c>
      <c r="I306" s="63">
        <f>IF(ข้อมูลสูตร!$A303="","",ข้อมูลสูตร!J303)</f>
        <v>16.8</v>
      </c>
      <c r="J306" s="63">
        <f>IF(ข้อมูลสูตร!$A303="","",ข้อมูลสูตร!K303)</f>
        <v>0</v>
      </c>
      <c r="K306" s="63">
        <f>IF(ข้อมูลสูตร!$A303="","",ข้อมูลสูตร!L303)</f>
        <v>0</v>
      </c>
      <c r="L306" s="63">
        <f>IF(ข้อมูลสูตร!$A303="","",ข้อมูลสูตร!M303)</f>
        <v>0</v>
      </c>
      <c r="M306" s="63">
        <f>IF(ข้อมูลสูตร!$A303="","",ข้อมูลสูตร!N303)</f>
        <v>102</v>
      </c>
      <c r="N306" s="63">
        <f>IF(ข้อมูลสูตร!$A303="","",ข้อมูลสูตร!O303)</f>
        <v>0</v>
      </c>
      <c r="O306" s="63">
        <f>IF(ข้อมูลสูตร!$A303="","",ข้อมูลสูตร!P303)</f>
        <v>0</v>
      </c>
      <c r="P306" s="63">
        <f>IF(ข้อมูลสูตร!$A303="","",ข้อมูลสูตร!Q303)</f>
        <v>0</v>
      </c>
      <c r="Q306" s="63">
        <f>IF(ข้อมูลสูตร!$A303="","",ข้อมูลสูตร!R303)</f>
        <v>0</v>
      </c>
      <c r="R306" s="63">
        <f>IF(ข้อมูลสูตร!$A303="","",ข้อมูลสูตร!S303)</f>
        <v>275</v>
      </c>
      <c r="S306" s="63">
        <f>IF(ข้อมูลสูตร!$A303="","",ข้อมูลสูตร!T303)</f>
        <v>0</v>
      </c>
      <c r="T306" s="63">
        <f>IF(ข้อมูลสูตร!$A303="","",ข้อมูลสูตร!U303)</f>
        <v>0</v>
      </c>
      <c r="U306" s="64">
        <f>IF(ข้อมูลสูตร!$A303="","",ข้อมูลสูตร!V303)</f>
        <v>268.90000000000003</v>
      </c>
      <c r="V306" s="8">
        <f>IF(ข้อมูลสูตร!$A303="","",ข้อมูลสูตร!W303)</f>
        <v>20.79</v>
      </c>
      <c r="W306" s="64">
        <f>IF(ข้อมูลสูตร!$A303="","",ข้อมูลสูตร!X303)</f>
        <v>65</v>
      </c>
      <c r="X306" s="23">
        <f>IF(ข้อมูลสูตร!$A303="","",ข้อมูลสูตร!Y303)</f>
        <v>0.68015384615384622</v>
      </c>
      <c r="Y306" s="48" t="str">
        <f>IF(ข้อมูลสูตร!$A303="","",ข้อมูลสูตร!Z303)</f>
        <v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306" s="48" t="str">
        <f>ข้อมูลสูตร!$A303</f>
        <v>Green Coconut|20 oz|25%</v>
      </c>
    </row>
    <row r="307" spans="1:26" x14ac:dyDescent="0.25">
      <c r="A307" s="4" t="str">
        <f>IF(ข้อมูลสูตร!$A304="","",ข้อมูลสูตร!B304)</f>
        <v>Green Coconut</v>
      </c>
      <c r="B307" s="4" t="str">
        <f>IF(ข้อมูลสูตร!$A304="","",ข้อมูลสูตร!C304)</f>
        <v>20 oz</v>
      </c>
      <c r="C307" s="4" t="str">
        <f>IF(ข้อมูลสูตร!$A304="","",ข้อมูลสูตร!D304)</f>
        <v>50%</v>
      </c>
      <c r="D307" s="63">
        <f>IF(ข้อมูลสูตร!$A304="","",ข้อมูลสูตร!E304)</f>
        <v>0</v>
      </c>
      <c r="E307" s="63">
        <f>IF(ข้อมูลสูตร!$A304="","",ข้อมูลสูตร!F304)</f>
        <v>131.30000000000001</v>
      </c>
      <c r="F307" s="63">
        <f>IF(ข้อมูลสูตร!$A304="","",ข้อมูลสูตร!G304)</f>
        <v>0</v>
      </c>
      <c r="G307" s="63">
        <f>IF(ข้อมูลสูตร!$A304="","",ข้อมูลสูตร!H304)</f>
        <v>12.5</v>
      </c>
      <c r="H307" s="63">
        <f>IF(ข้อมูลสูตร!$A304="","",ข้อมูลสูตร!I304)</f>
        <v>12.5</v>
      </c>
      <c r="I307" s="63">
        <f>IF(ข้อมูลสูตร!$A304="","",ข้อมูลสูตร!J304)</f>
        <v>16.8</v>
      </c>
      <c r="J307" s="63">
        <f>IF(ข้อมูลสูตร!$A304="","",ข้อมูลสูตร!K304)</f>
        <v>0</v>
      </c>
      <c r="K307" s="63">
        <f>IF(ข้อมูลสูตร!$A304="","",ข้อมูลสูตร!L304)</f>
        <v>0</v>
      </c>
      <c r="L307" s="63">
        <f>IF(ข้อมูลสูตร!$A304="","",ข้อมูลสูตร!M304)</f>
        <v>0</v>
      </c>
      <c r="M307" s="63">
        <f>IF(ข้อมูลสูตร!$A304="","",ข้อมูลสูตร!N304)</f>
        <v>102</v>
      </c>
      <c r="N307" s="63">
        <f>IF(ข้อมูลสูตร!$A304="","",ข้อมูลสูตร!O304)</f>
        <v>0</v>
      </c>
      <c r="O307" s="63">
        <f>IF(ข้อมูลสูตร!$A304="","",ข้อมูลสูตร!P304)</f>
        <v>0</v>
      </c>
      <c r="P307" s="63">
        <f>IF(ข้อมูลสูตร!$A304="","",ข้อมูลสูตร!Q304)</f>
        <v>0</v>
      </c>
      <c r="Q307" s="63">
        <f>IF(ข้อมูลสูตร!$A304="","",ข้อมูลสูตร!R304)</f>
        <v>0</v>
      </c>
      <c r="R307" s="63">
        <f>IF(ข้อมูลสูตร!$A304="","",ข้อมูลสูตร!S304)</f>
        <v>275</v>
      </c>
      <c r="S307" s="63">
        <f>IF(ข้อมูลสูตร!$A304="","",ข้อมูลสูตร!T304)</f>
        <v>0</v>
      </c>
      <c r="T307" s="63">
        <f>IF(ข้อมูลสูตร!$A304="","",ข้อมูลสูตร!U304)</f>
        <v>0</v>
      </c>
      <c r="U307" s="64">
        <f>IF(ข้อมูลสูตร!$A304="","",ข้อมูลสูตร!V304)</f>
        <v>275.10000000000002</v>
      </c>
      <c r="V307" s="8">
        <f>IF(ข้อมูลสูตร!$A304="","",ข้อมูลสูตร!W304)</f>
        <v>21.22</v>
      </c>
      <c r="W307" s="64">
        <f>IF(ข้อมูลสูตร!$A304="","",ข้อมูลสูตร!X304)</f>
        <v>65</v>
      </c>
      <c r="X307" s="23">
        <f>IF(ข้อมูลสูตร!$A304="","",ข้อมูลสูตร!Y304)</f>
        <v>0.67353846153846153</v>
      </c>
      <c r="Y307" s="48" t="str">
        <f>IF(ข้อมูลสูตร!$A304="","",ข้อมูลสูตร!Z304)</f>
        <v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307" s="48" t="str">
        <f>ข้อมูลสูตร!$A304</f>
        <v>Green Coconut|20 oz|50%</v>
      </c>
    </row>
    <row r="308" spans="1:26" x14ac:dyDescent="0.25">
      <c r="A308" s="4" t="str">
        <f>IF(ข้อมูลสูตร!$A305="","",ข้อมูลสูตร!B305)</f>
        <v>Green Coconut</v>
      </c>
      <c r="B308" s="4" t="str">
        <f>IF(ข้อมูลสูตร!$A305="","",ข้อมูลสูตร!C305)</f>
        <v>20 oz</v>
      </c>
      <c r="C308" s="4" t="str">
        <f>IF(ข้อมูลสูตร!$A305="","",ข้อมูลสูตร!D305)</f>
        <v>75%</v>
      </c>
      <c r="D308" s="63">
        <f>IF(ข้อมูลสูตร!$A305="","",ข้อมูลสูตร!E305)</f>
        <v>0</v>
      </c>
      <c r="E308" s="63">
        <f>IF(ข้อมูลสูตร!$A305="","",ข้อมูลสูตร!F305)</f>
        <v>131.30000000000001</v>
      </c>
      <c r="F308" s="63">
        <f>IF(ข้อมูลสูตร!$A305="","",ข้อมูลสูตร!G305)</f>
        <v>0</v>
      </c>
      <c r="G308" s="63">
        <f>IF(ข้อมูลสูตร!$A305="","",ข้อมูลสูตร!H305)</f>
        <v>12.5</v>
      </c>
      <c r="H308" s="63">
        <f>IF(ข้อมูลสูตร!$A305="","",ข้อมูลสูตร!I305)</f>
        <v>18.8</v>
      </c>
      <c r="I308" s="63">
        <f>IF(ข้อมูลสูตร!$A305="","",ข้อมูลสูตร!J305)</f>
        <v>16.8</v>
      </c>
      <c r="J308" s="63">
        <f>IF(ข้อมูลสูตร!$A305="","",ข้อมูลสูตร!K305)</f>
        <v>0</v>
      </c>
      <c r="K308" s="63">
        <f>IF(ข้อมูลสูตร!$A305="","",ข้อมูลสูตร!L305)</f>
        <v>0</v>
      </c>
      <c r="L308" s="63">
        <f>IF(ข้อมูลสูตร!$A305="","",ข้อมูลสูตร!M305)</f>
        <v>0</v>
      </c>
      <c r="M308" s="63">
        <f>IF(ข้อมูลสูตร!$A305="","",ข้อมูลสูตร!N305)</f>
        <v>102</v>
      </c>
      <c r="N308" s="63">
        <f>IF(ข้อมูลสูตร!$A305="","",ข้อมูลสูตร!O305)</f>
        <v>0</v>
      </c>
      <c r="O308" s="63">
        <f>IF(ข้อมูลสูตร!$A305="","",ข้อมูลสูตร!P305)</f>
        <v>0</v>
      </c>
      <c r="P308" s="63">
        <f>IF(ข้อมูลสูตร!$A305="","",ข้อมูลสูตร!Q305)</f>
        <v>0</v>
      </c>
      <c r="Q308" s="63">
        <f>IF(ข้อมูลสูตร!$A305="","",ข้อมูลสูตร!R305)</f>
        <v>0</v>
      </c>
      <c r="R308" s="63">
        <f>IF(ข้อมูลสูตร!$A305="","",ข้อมูลสูตร!S305)</f>
        <v>275</v>
      </c>
      <c r="S308" s="63">
        <f>IF(ข้อมูลสูตร!$A305="","",ข้อมูลสูตร!T305)</f>
        <v>0</v>
      </c>
      <c r="T308" s="63">
        <f>IF(ข้อมูลสูตร!$A305="","",ข้อมูลสูตร!U305)</f>
        <v>0</v>
      </c>
      <c r="U308" s="64">
        <f>IF(ข้อมูลสูตร!$A305="","",ข้อมูลสูตร!V305)</f>
        <v>281.40000000000003</v>
      </c>
      <c r="V308" s="8">
        <f>IF(ข้อมูลสูตร!$A305="","",ข้อมูลสูตร!W305)</f>
        <v>21.66</v>
      </c>
      <c r="W308" s="64">
        <f>IF(ข้อมูลสูตร!$A305="","",ข้อมูลสูตร!X305)</f>
        <v>65</v>
      </c>
      <c r="X308" s="23">
        <f>IF(ข้อมูลสูตร!$A305="","",ข้อมูลสูตร!Y305)</f>
        <v>0.66676923076923078</v>
      </c>
      <c r="Y308" s="48" t="str">
        <f>IF(ข้อมูลสูตร!$A305="","",ข้อมูลสูตร!Z305)</f>
        <v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308" s="48" t="str">
        <f>ข้อมูลสูตร!$A305</f>
        <v>Green Coconut|20 oz|75%</v>
      </c>
    </row>
    <row r="309" spans="1:26" x14ac:dyDescent="0.25">
      <c r="A309" s="4" t="str">
        <f>IF(ข้อมูลสูตร!$A306="","",ข้อมูลสูตร!B306)</f>
        <v>Green Coconut</v>
      </c>
      <c r="B309" s="4" t="str">
        <f>IF(ข้อมูลสูตร!$A306="","",ข้อมูลสูตร!C306)</f>
        <v>20 oz</v>
      </c>
      <c r="C309" s="4" t="str">
        <f>IF(ข้อมูลสูตร!$A306="","",ข้อมูลสูตร!D306)</f>
        <v>100%</v>
      </c>
      <c r="D309" s="63">
        <f>IF(ข้อมูลสูตร!$A306="","",ข้อมูลสูตร!E306)</f>
        <v>0</v>
      </c>
      <c r="E309" s="63">
        <f>IF(ข้อมูลสูตร!$A306="","",ข้อมูลสูตร!F306)</f>
        <v>131.30000000000001</v>
      </c>
      <c r="F309" s="63">
        <f>IF(ข้อมูลสูตร!$A306="","",ข้อมูลสูตร!G306)</f>
        <v>0</v>
      </c>
      <c r="G309" s="63">
        <f>IF(ข้อมูลสูตร!$A306="","",ข้อมูลสูตร!H306)</f>
        <v>12.5</v>
      </c>
      <c r="H309" s="63">
        <f>IF(ข้อมูลสูตร!$A306="","",ข้อมูลสูตร!I306)</f>
        <v>25</v>
      </c>
      <c r="I309" s="63">
        <f>IF(ข้อมูลสูตร!$A306="","",ข้อมูลสูตร!J306)</f>
        <v>16.8</v>
      </c>
      <c r="J309" s="63">
        <f>IF(ข้อมูลสูตร!$A306="","",ข้อมูลสูตร!K306)</f>
        <v>0</v>
      </c>
      <c r="K309" s="63">
        <f>IF(ข้อมูลสูตร!$A306="","",ข้อมูลสูตร!L306)</f>
        <v>0</v>
      </c>
      <c r="L309" s="63">
        <f>IF(ข้อมูลสูตร!$A306="","",ข้อมูลสูตร!M306)</f>
        <v>0</v>
      </c>
      <c r="M309" s="63">
        <f>IF(ข้อมูลสูตร!$A306="","",ข้อมูลสูตร!N306)</f>
        <v>102</v>
      </c>
      <c r="N309" s="63">
        <f>IF(ข้อมูลสูตร!$A306="","",ข้อมูลสูตร!O306)</f>
        <v>0</v>
      </c>
      <c r="O309" s="63">
        <f>IF(ข้อมูลสูตร!$A306="","",ข้อมูลสูตร!P306)</f>
        <v>0</v>
      </c>
      <c r="P309" s="63">
        <f>IF(ข้อมูลสูตร!$A306="","",ข้อมูลสูตร!Q306)</f>
        <v>0</v>
      </c>
      <c r="Q309" s="63">
        <f>IF(ข้อมูลสูตร!$A306="","",ข้อมูลสูตร!R306)</f>
        <v>0</v>
      </c>
      <c r="R309" s="63">
        <f>IF(ข้อมูลสูตร!$A306="","",ข้อมูลสูตร!S306)</f>
        <v>275</v>
      </c>
      <c r="S309" s="63">
        <f>IF(ข้อมูลสูตร!$A306="","",ข้อมูลสูตร!T306)</f>
        <v>0</v>
      </c>
      <c r="T309" s="63">
        <f>IF(ข้อมูลสูตร!$A306="","",ข้อมูลสูตร!U306)</f>
        <v>0</v>
      </c>
      <c r="U309" s="64">
        <f>IF(ข้อมูลสูตร!$A306="","",ข้อมูลสูตร!V306)</f>
        <v>287.60000000000002</v>
      </c>
      <c r="V309" s="8">
        <f>IF(ข้อมูลสูตร!$A306="","",ข้อมูลสูตร!W306)</f>
        <v>22.08</v>
      </c>
      <c r="W309" s="64">
        <f>IF(ข้อมูลสูตร!$A306="","",ข้อมูลสูตร!X306)</f>
        <v>65</v>
      </c>
      <c r="X309" s="23">
        <f>IF(ข้อมูลสูตร!$A306="","",ข้อมูลสูตร!Y306)</f>
        <v>0.66030769230769237</v>
      </c>
      <c r="Y309" s="48" t="str">
        <f>IF(ข้อมูลสูตร!$A306="","",ข้อมูลสูตร!Z306)</f>
        <v>[20 oz = 16 oz x 1.25] เมนูใหม่ — ไม่เพิ่มวัตถุดิบใหม่เลย ใช้เบสมะพร้าวตัวเดียวกับ Coconut Tea เป็นการเพิ่มเมนูโดยไม่เพิ่มของเสีย · รอบ 7: เบสชาเขียวไม่มีน้ำตาลแล้ว จึงเติมน้ำเชื่อม 1:1 ชดเชย = 0.128 × ปริมาณเบสชาเขียว · ลดเบสมะพร้าวลงเท่ากับน้ำเชื่อมที่เติม เพื่อคงปริมาตรแก้วเท่าเดิมเป๊ะ (เมนูนี้ไม่มีนมเป็นตัวสลับ)</v>
      </c>
      <c r="Z309" s="48" t="str">
        <f>ข้อมูลสูตร!$A306</f>
        <v>Green Coconut|20 oz|100%</v>
      </c>
    </row>
    <row r="310" spans="1:26" x14ac:dyDescent="0.25">
      <c r="A310" s="4" t="str">
        <f>IF(ข้อมูลสูตร!$A307="","",ข้อมูลสูตร!B307)</f>
        <v>Green Honey Milk</v>
      </c>
      <c r="B310" s="4" t="str">
        <f>IF(ข้อมูลสูตร!$A307="","",ข้อมูลสูตร!C307)</f>
        <v>20 oz</v>
      </c>
      <c r="C310" s="4" t="str">
        <f>IF(ข้อมูลสูตร!$A307="","",ข้อมูลสูตร!D307)</f>
        <v>0%</v>
      </c>
      <c r="D310" s="63">
        <f>IF(ข้อมูลสูตร!$A307="","",ข้อมูลสูตร!E307)</f>
        <v>0</v>
      </c>
      <c r="E310" s="63">
        <f>IF(ข้อมูลสูตร!$A307="","",ข้อมูลสูตร!F307)</f>
        <v>162.5</v>
      </c>
      <c r="F310" s="63">
        <f>IF(ข้อมูลสูตร!$A307="","",ข้อมูลสูตร!G307)</f>
        <v>68.8</v>
      </c>
      <c r="G310" s="63">
        <f>IF(ข้อมูลสูตร!$A307="","",ข้อมูลสูตร!H307)</f>
        <v>0</v>
      </c>
      <c r="H310" s="63">
        <f>IF(ข้อมูลสูตร!$A307="","",ข้อมูลสูตร!I307)</f>
        <v>0</v>
      </c>
      <c r="I310" s="63">
        <f>IF(ข้อมูลสูตร!$A307="","",ข้อมูลสูตร!J307)</f>
        <v>0</v>
      </c>
      <c r="J310" s="63">
        <f>IF(ข้อมูลสูตร!$A307="","",ข้อมูลสูตร!K307)</f>
        <v>0</v>
      </c>
      <c r="K310" s="63">
        <f>IF(ข้อมูลสูตร!$A307="","",ข้อมูลสูตร!L307)</f>
        <v>0</v>
      </c>
      <c r="L310" s="63">
        <f>IF(ข้อมูลสูตร!$A307="","",ข้อมูลสูตร!M307)</f>
        <v>0</v>
      </c>
      <c r="M310" s="63">
        <f>IF(ข้อมูลสูตร!$A307="","",ข้อมูลสูตร!N307)</f>
        <v>0</v>
      </c>
      <c r="N310" s="63">
        <f>IF(ข้อมูลสูตร!$A307="","",ข้อมูลสูตร!O307)</f>
        <v>0</v>
      </c>
      <c r="O310" s="63">
        <f>IF(ข้อมูลสูตร!$A307="","",ข้อมูลสูตร!P307)</f>
        <v>0</v>
      </c>
      <c r="P310" s="63">
        <f>IF(ข้อมูลสูตร!$A307="","",ข้อมูลสูตร!Q307)</f>
        <v>0</v>
      </c>
      <c r="Q310" s="63">
        <f>IF(ข้อมูลสูตร!$A307="","",ข้อมูลสูตร!R307)</f>
        <v>0</v>
      </c>
      <c r="R310" s="63">
        <f>IF(ข้อมูลสูตร!$A307="","",ข้อมูลสูตร!S307)</f>
        <v>300</v>
      </c>
      <c r="S310" s="63">
        <f>IF(ข้อมูลสูตร!$A307="","",ข้อมูลสูตร!T307)</f>
        <v>0</v>
      </c>
      <c r="T310" s="63">
        <f>IF(ข้อมูลสูตร!$A307="","",ข้อมูลสูตร!U307)</f>
        <v>0</v>
      </c>
      <c r="U310" s="64">
        <f>IF(ข้อมูลสูตร!$A307="","",ข้อมูลสูตร!V307)</f>
        <v>231.3</v>
      </c>
      <c r="V310" s="8">
        <f>IF(ข้อมูลสูตร!$A307="","",ข้อมูลสูตร!W307)</f>
        <v>16.059999999999999</v>
      </c>
      <c r="W310" s="64">
        <f>IF(ข้อมูลสูตร!$A307="","",ข้อมูลสูตร!X307)</f>
        <v>55</v>
      </c>
      <c r="X310" s="23">
        <f>IF(ข้อมูลสูตร!$A307="","",ข้อมูลสูตร!Y307)</f>
        <v>0.70799999999999996</v>
      </c>
      <c r="Y310" s="48" t="str">
        <f>IF(ข้อมูลสูตร!$A307="","",ข้อมูลสูตร!Z307)</f>
        <v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10" s="48" t="str">
        <f>ข้อมูลสูตร!$A307</f>
        <v>Green Honey Milk|20 oz|0%</v>
      </c>
    </row>
    <row r="311" spans="1:26" x14ac:dyDescent="0.25">
      <c r="A311" s="4" t="str">
        <f>IF(ข้อมูลสูตร!$A308="","",ข้อมูลสูตร!B308)</f>
        <v>Green Honey Milk</v>
      </c>
      <c r="B311" s="4" t="str">
        <f>IF(ข้อมูลสูตร!$A308="","",ข้อมูลสูตร!C308)</f>
        <v>20 oz</v>
      </c>
      <c r="C311" s="4" t="str">
        <f>IF(ข้อมูลสูตร!$A308="","",ข้อมูลสูตร!D308)</f>
        <v>25%</v>
      </c>
      <c r="D311" s="63">
        <f>IF(ข้อมูลสูตร!$A308="","",ข้อมูลสูตร!E308)</f>
        <v>0</v>
      </c>
      <c r="E311" s="63">
        <f>IF(ข้อมูลสูตร!$A308="","",ข้อมูลสูตร!F308)</f>
        <v>162.5</v>
      </c>
      <c r="F311" s="63">
        <f>IF(ข้อมูลสูตร!$A308="","",ข้อมูลสูตร!G308)</f>
        <v>48</v>
      </c>
      <c r="G311" s="63">
        <f>IF(ข้อมูลสูตร!$A308="","",ข้อมูลสูตร!H308)</f>
        <v>0</v>
      </c>
      <c r="H311" s="63">
        <f>IF(ข้อมูลสูตร!$A308="","",ข้อมูลสูตร!I308)</f>
        <v>0</v>
      </c>
      <c r="I311" s="63">
        <f>IF(ข้อมูลสูตร!$A308="","",ข้อมูลสูตร!J308)</f>
        <v>24.6</v>
      </c>
      <c r="J311" s="63">
        <f>IF(ข้อมูลสูตร!$A308="","",ข้อมูลสูตร!K308)</f>
        <v>5</v>
      </c>
      <c r="K311" s="63">
        <f>IF(ข้อมูลสูตร!$A308="","",ข้อมูลสูตร!L308)</f>
        <v>0</v>
      </c>
      <c r="L311" s="63">
        <f>IF(ข้อมูลสูตร!$A308="","",ข้อมูลสูตร!M308)</f>
        <v>0</v>
      </c>
      <c r="M311" s="63">
        <f>IF(ข้อมูลสูตร!$A308="","",ข้อมูลสูตร!N308)</f>
        <v>0</v>
      </c>
      <c r="N311" s="63">
        <f>IF(ข้อมูลสูตร!$A308="","",ข้อมูลสูตร!O308)</f>
        <v>0</v>
      </c>
      <c r="O311" s="63">
        <f>IF(ข้อมูลสูตร!$A308="","",ข้อมูลสูตร!P308)</f>
        <v>0</v>
      </c>
      <c r="P311" s="63">
        <f>IF(ข้อมูลสูตร!$A308="","",ข้อมูลสูตร!Q308)</f>
        <v>0</v>
      </c>
      <c r="Q311" s="63">
        <f>IF(ข้อมูลสูตร!$A308="","",ข้อมูลสูตร!R308)</f>
        <v>0</v>
      </c>
      <c r="R311" s="63">
        <f>IF(ข้อมูลสูตร!$A308="","",ข้อมูลสูตร!S308)</f>
        <v>300</v>
      </c>
      <c r="S311" s="63">
        <f>IF(ข้อมูลสูตร!$A308="","",ข้อมูลสูตร!T308)</f>
        <v>0</v>
      </c>
      <c r="T311" s="63">
        <f>IF(ข้อมูลสูตร!$A308="","",ข้อมูลสูตร!U308)</f>
        <v>0</v>
      </c>
      <c r="U311" s="64">
        <f>IF(ข้อมูลสูตร!$A308="","",ข้อมูลสูตร!V308)</f>
        <v>240.1</v>
      </c>
      <c r="V311" s="8">
        <f>IF(ข้อมูลสูตร!$A308="","",ข้อมูลสูตร!W308)</f>
        <v>16.64</v>
      </c>
      <c r="W311" s="64">
        <f>IF(ข้อมูลสูตร!$A308="","",ข้อมูลสูตร!X308)</f>
        <v>55</v>
      </c>
      <c r="X311" s="23">
        <f>IF(ข้อมูลสูตร!$A308="","",ข้อมูลสูตร!Y308)</f>
        <v>0.69745454545454544</v>
      </c>
      <c r="Y311" s="48" t="str">
        <f>IF(ข้อมูลสูตร!$A308="","",ข้อมูลสูตร!Z308)</f>
        <v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11" s="48" t="str">
        <f>ข้อมูลสูตร!$A308</f>
        <v>Green Honey Milk|20 oz|25%</v>
      </c>
    </row>
    <row r="312" spans="1:26" x14ac:dyDescent="0.25">
      <c r="A312" s="4" t="str">
        <f>IF(ข้อมูลสูตร!$A309="","",ข้อมูลสูตร!B309)</f>
        <v>Green Honey Milk</v>
      </c>
      <c r="B312" s="4" t="str">
        <f>IF(ข้อมูลสูตร!$A309="","",ข้อมูลสูตร!C309)</f>
        <v>20 oz</v>
      </c>
      <c r="C312" s="4" t="str">
        <f>IF(ข้อมูลสูตร!$A309="","",ข้อมูลสูตร!D309)</f>
        <v>50%</v>
      </c>
      <c r="D312" s="63">
        <f>IF(ข้อมูลสูตร!$A309="","",ข้อมูลสูตร!E309)</f>
        <v>0</v>
      </c>
      <c r="E312" s="63">
        <f>IF(ข้อมูลสูตร!$A309="","",ข้อมูลสูตร!F309)</f>
        <v>162.5</v>
      </c>
      <c r="F312" s="63">
        <f>IF(ข้อมูลสูตร!$A309="","",ข้อมูลสูตร!G309)</f>
        <v>48</v>
      </c>
      <c r="G312" s="63">
        <f>IF(ข้อมูลสูตร!$A309="","",ข้อมูลสูตร!H309)</f>
        <v>0</v>
      </c>
      <c r="H312" s="63">
        <f>IF(ข้อมูลสูตร!$A309="","",ข้อมูลสูตร!I309)</f>
        <v>0</v>
      </c>
      <c r="I312" s="63">
        <f>IF(ข้อมูลสูตร!$A309="","",ข้อมูลสูตร!J309)</f>
        <v>28.3</v>
      </c>
      <c r="J312" s="63">
        <f>IF(ข้อมูลสูตร!$A309="","",ข้อมูลสูตร!K309)</f>
        <v>10</v>
      </c>
      <c r="K312" s="63">
        <f>IF(ข้อมูลสูตร!$A309="","",ข้อมูลสูตร!L309)</f>
        <v>0</v>
      </c>
      <c r="L312" s="63">
        <f>IF(ข้อมูลสูตร!$A309="","",ข้อมูลสูตร!M309)</f>
        <v>0</v>
      </c>
      <c r="M312" s="63">
        <f>IF(ข้อมูลสูตร!$A309="","",ข้อมูลสูตร!N309)</f>
        <v>0</v>
      </c>
      <c r="N312" s="63">
        <f>IF(ข้อมูลสูตร!$A309="","",ข้อมูลสูตร!O309)</f>
        <v>0</v>
      </c>
      <c r="O312" s="63">
        <f>IF(ข้อมูลสูตร!$A309="","",ข้อมูลสูตร!P309)</f>
        <v>0</v>
      </c>
      <c r="P312" s="63">
        <f>IF(ข้อมูลสูตร!$A309="","",ข้อมูลสูตร!Q309)</f>
        <v>0</v>
      </c>
      <c r="Q312" s="63">
        <f>IF(ข้อมูลสูตร!$A309="","",ข้อมูลสูตร!R309)</f>
        <v>0</v>
      </c>
      <c r="R312" s="63">
        <f>IF(ข้อมูลสูตร!$A309="","",ข้อมูลสูตร!S309)</f>
        <v>300</v>
      </c>
      <c r="S312" s="63">
        <f>IF(ข้อมูลสูตร!$A309="","",ข้อมูลสูตร!T309)</f>
        <v>0</v>
      </c>
      <c r="T312" s="63">
        <f>IF(ข้อมูลสูตร!$A309="","",ข้อมูลสูตร!U309)</f>
        <v>0</v>
      </c>
      <c r="U312" s="64">
        <f>IF(ข้อมูลสูตร!$A309="","",ข้อมูลสูตร!V309)</f>
        <v>248.8</v>
      </c>
      <c r="V312" s="8">
        <f>IF(ข้อมูลสูตร!$A309="","",ข้อมูลสูตร!W309)</f>
        <v>17.87</v>
      </c>
      <c r="W312" s="64">
        <f>IF(ข้อมูลสูตร!$A309="","",ข้อมูลสูตร!X309)</f>
        <v>55</v>
      </c>
      <c r="X312" s="23">
        <f>IF(ข้อมูลสูตร!$A309="","",ข้อมูลสูตร!Y309)</f>
        <v>0.67509090909090896</v>
      </c>
      <c r="Y312" s="48" t="str">
        <f>IF(ข้อมูลสูตร!$A309="","",ข้อมูลสูตร!Z309)</f>
        <v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12" s="48" t="str">
        <f>ข้อมูลสูตร!$A309</f>
        <v>Green Honey Milk|20 oz|50%</v>
      </c>
    </row>
    <row r="313" spans="1:26" x14ac:dyDescent="0.25">
      <c r="A313" s="4" t="str">
        <f>IF(ข้อมูลสูตร!$A310="","",ข้อมูลสูตร!B310)</f>
        <v>Green Honey Milk</v>
      </c>
      <c r="B313" s="4" t="str">
        <f>IF(ข้อมูลสูตร!$A310="","",ข้อมูลสูตร!C310)</f>
        <v>20 oz</v>
      </c>
      <c r="C313" s="4" t="str">
        <f>IF(ข้อมูลสูตร!$A310="","",ข้อมูลสูตร!D310)</f>
        <v>75%</v>
      </c>
      <c r="D313" s="63">
        <f>IF(ข้อมูลสูตร!$A310="","",ข้อมูลสูตร!E310)</f>
        <v>0</v>
      </c>
      <c r="E313" s="63">
        <f>IF(ข้อมูลสูตร!$A310="","",ข้อมูลสูตร!F310)</f>
        <v>162.5</v>
      </c>
      <c r="F313" s="63">
        <f>IF(ข้อมูลสูตร!$A310="","",ข้อมูลสูตร!G310)</f>
        <v>48</v>
      </c>
      <c r="G313" s="63">
        <f>IF(ข้อมูลสูตร!$A310="","",ข้อมูลสูตร!H310)</f>
        <v>0</v>
      </c>
      <c r="H313" s="63">
        <f>IF(ข้อมูลสูตร!$A310="","",ข้อมูลสูตร!I310)</f>
        <v>0</v>
      </c>
      <c r="I313" s="63">
        <f>IF(ข้อมูลสูตร!$A310="","",ข้อมูลสูตร!J310)</f>
        <v>32.1</v>
      </c>
      <c r="J313" s="63">
        <f>IF(ข้อมูลสูตร!$A310="","",ข้อมูลสูตร!K310)</f>
        <v>15</v>
      </c>
      <c r="K313" s="63">
        <f>IF(ข้อมูลสูตร!$A310="","",ข้อมูลสูตร!L310)</f>
        <v>0</v>
      </c>
      <c r="L313" s="63">
        <f>IF(ข้อมูลสูตร!$A310="","",ข้อมูลสูตร!M310)</f>
        <v>0</v>
      </c>
      <c r="M313" s="63">
        <f>IF(ข้อมูลสูตร!$A310="","",ข้อมูลสูตร!N310)</f>
        <v>0</v>
      </c>
      <c r="N313" s="63">
        <f>IF(ข้อมูลสูตร!$A310="","",ข้อมูลสูตร!O310)</f>
        <v>0</v>
      </c>
      <c r="O313" s="63">
        <f>IF(ข้อมูลสูตร!$A310="","",ข้อมูลสูตร!P310)</f>
        <v>0</v>
      </c>
      <c r="P313" s="63">
        <f>IF(ข้อมูลสูตร!$A310="","",ข้อมูลสูตร!Q310)</f>
        <v>0</v>
      </c>
      <c r="Q313" s="63">
        <f>IF(ข้อมูลสูตร!$A310="","",ข้อมูลสูตร!R310)</f>
        <v>0</v>
      </c>
      <c r="R313" s="63">
        <f>IF(ข้อมูลสูตร!$A310="","",ข้อมูลสูตร!S310)</f>
        <v>300</v>
      </c>
      <c r="S313" s="63">
        <f>IF(ข้อมูลสูตร!$A310="","",ข้อมูลสูตร!T310)</f>
        <v>0</v>
      </c>
      <c r="T313" s="63">
        <f>IF(ข้อมูลสูตร!$A310="","",ข้อมูลสูตร!U310)</f>
        <v>0</v>
      </c>
      <c r="U313" s="64">
        <f>IF(ข้อมูลสูตร!$A310="","",ข้อมูลสูตร!V310)</f>
        <v>257.60000000000002</v>
      </c>
      <c r="V313" s="8">
        <f>IF(ข้อมูลสูตร!$A310="","",ข้อมูลสูตร!W310)</f>
        <v>19.100000000000001</v>
      </c>
      <c r="W313" s="64">
        <f>IF(ข้อมูลสูตร!$A310="","",ข้อมูลสูตร!X310)</f>
        <v>55</v>
      </c>
      <c r="X313" s="23">
        <f>IF(ข้อมูลสูตร!$A310="","",ข้อมูลสูตร!Y310)</f>
        <v>0.65272727272727271</v>
      </c>
      <c r="Y313" s="48" t="str">
        <f>IF(ข้อมูลสูตร!$A310="","",ข้อมูลสูตร!Z310)</f>
        <v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13" s="48" t="str">
        <f>ข้อมูลสูตร!$A310</f>
        <v>Green Honey Milk|20 oz|75%</v>
      </c>
    </row>
    <row r="314" spans="1:26" x14ac:dyDescent="0.25">
      <c r="A314" s="4" t="str">
        <f>IF(ข้อมูลสูตร!$A311="","",ข้อมูลสูตร!B311)</f>
        <v>Green Honey Milk</v>
      </c>
      <c r="B314" s="4" t="str">
        <f>IF(ข้อมูลสูตร!$A311="","",ข้อมูลสูตร!C311)</f>
        <v>20 oz</v>
      </c>
      <c r="C314" s="4" t="str">
        <f>IF(ข้อมูลสูตร!$A311="","",ข้อมูลสูตร!D311)</f>
        <v>100%</v>
      </c>
      <c r="D314" s="63">
        <f>IF(ข้อมูลสูตร!$A311="","",ข้อมูลสูตร!E311)</f>
        <v>0</v>
      </c>
      <c r="E314" s="63">
        <f>IF(ข้อมูลสูตร!$A311="","",ข้อมูลสูตร!F311)</f>
        <v>162.5</v>
      </c>
      <c r="F314" s="63">
        <f>IF(ข้อมูลสูตร!$A311="","",ข้อมูลสูตร!G311)</f>
        <v>48</v>
      </c>
      <c r="G314" s="63">
        <f>IF(ข้อมูลสูตร!$A311="","",ข้อมูลสูตร!H311)</f>
        <v>0</v>
      </c>
      <c r="H314" s="63">
        <f>IF(ข้อมูลสูตร!$A311="","",ข้อมูลสูตร!I311)</f>
        <v>0</v>
      </c>
      <c r="I314" s="63">
        <f>IF(ข้อมูลสูตร!$A311="","",ข้อมูลสูตร!J311)</f>
        <v>35.799999999999997</v>
      </c>
      <c r="J314" s="63">
        <f>IF(ข้อมูลสูตร!$A311="","",ข้อมูลสูตร!K311)</f>
        <v>20</v>
      </c>
      <c r="K314" s="63">
        <f>IF(ข้อมูลสูตร!$A311="","",ข้อมูลสูตร!L311)</f>
        <v>0</v>
      </c>
      <c r="L314" s="63">
        <f>IF(ข้อมูลสูตร!$A311="","",ข้อมูลสูตร!M311)</f>
        <v>0</v>
      </c>
      <c r="M314" s="63">
        <f>IF(ข้อมูลสูตร!$A311="","",ข้อมูลสูตร!N311)</f>
        <v>0</v>
      </c>
      <c r="N314" s="63">
        <f>IF(ข้อมูลสูตร!$A311="","",ข้อมูลสูตร!O311)</f>
        <v>0</v>
      </c>
      <c r="O314" s="63">
        <f>IF(ข้อมูลสูตร!$A311="","",ข้อมูลสูตร!P311)</f>
        <v>0</v>
      </c>
      <c r="P314" s="63">
        <f>IF(ข้อมูลสูตร!$A311="","",ข้อมูลสูตร!Q311)</f>
        <v>0</v>
      </c>
      <c r="Q314" s="63">
        <f>IF(ข้อมูลสูตร!$A311="","",ข้อมูลสูตร!R311)</f>
        <v>0</v>
      </c>
      <c r="R314" s="63">
        <f>IF(ข้อมูลสูตร!$A311="","",ข้อมูลสูตร!S311)</f>
        <v>300</v>
      </c>
      <c r="S314" s="63">
        <f>IF(ข้อมูลสูตร!$A311="","",ข้อมูลสูตร!T311)</f>
        <v>0</v>
      </c>
      <c r="T314" s="63">
        <f>IF(ข้อมูลสูตร!$A311="","",ข้อมูลสูตร!U311)</f>
        <v>0</v>
      </c>
      <c r="U314" s="64">
        <f>IF(ข้อมูลสูตร!$A311="","",ข้อมูลสูตร!V311)</f>
        <v>266.3</v>
      </c>
      <c r="V314" s="8">
        <f>IF(ข้อมูลสูตร!$A311="","",ข้อมูลสูตร!W311)</f>
        <v>20.329999999999998</v>
      </c>
      <c r="W314" s="64">
        <f>IF(ข้อมูลสูตร!$A311="","",ข้อมูลสูตร!X311)</f>
        <v>55</v>
      </c>
      <c r="X314" s="23">
        <f>IF(ข้อมูลสูตร!$A311="","",ข้อมูลสูตร!Y311)</f>
        <v>0.63036363636363635</v>
      </c>
      <c r="Y314" s="48" t="str">
        <f>IF(ข้อมูลสูตร!$A311="","",ข้อมูลสูตร!Z311)</f>
        <v>[20 oz = 16 oz x 1.25] เมนูใหม่ — สะพานสู่มัทฉะ: ขั้นตอนเหมือนมัทฉะลาเต้เป๊ะ วันที่ลงมัทฉะแค่สลับเบส คนชงไม่ต้องเรียนใหม่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14" s="48" t="str">
        <f>ข้อมูลสูตร!$A311</f>
        <v>Green Honey Milk|20 oz|100%</v>
      </c>
    </row>
    <row r="315" spans="1:26" x14ac:dyDescent="0.25">
      <c r="A315" s="4" t="str">
        <f>IF(ข้อมูลสูตร!$A312="","",ข้อมูลสูตร!B312)</f>
        <v>Green Berry Soda</v>
      </c>
      <c r="B315" s="4" t="str">
        <f>IF(ข้อมูลสูตร!$A312="","",ข้อมูลสูตร!C312)</f>
        <v>20 oz</v>
      </c>
      <c r="C315" s="4" t="str">
        <f>IF(ข้อมูลสูตร!$A312="","",ข้อมูลสูตร!D312)</f>
        <v>0%</v>
      </c>
      <c r="D315" s="63">
        <f>IF(ข้อมูลสูตร!$A312="","",ข้อมูลสูตร!E312)</f>
        <v>0</v>
      </c>
      <c r="E315" s="63">
        <f>IF(ข้อมูลสูตร!$A312="","",ข้อมูลสูตร!F312)</f>
        <v>125</v>
      </c>
      <c r="F315" s="63">
        <f>IF(ข้อมูลสูตร!$A312="","",ข้อมูลสูตร!G312)</f>
        <v>0</v>
      </c>
      <c r="G315" s="63">
        <f>IF(ข้อมูลสูตร!$A312="","",ข้อมูลสูตร!H312)</f>
        <v>0</v>
      </c>
      <c r="H315" s="63">
        <f>IF(ข้อมูลสูตร!$A312="","",ข้อมูลสูตร!I312)</f>
        <v>0</v>
      </c>
      <c r="I315" s="63">
        <f>IF(ข้อมูลสูตร!$A312="","",ข้อมูลสูตร!J312)</f>
        <v>0</v>
      </c>
      <c r="J315" s="63">
        <f>IF(ข้อมูลสูตร!$A312="","",ข้อมูลสูตร!K312)</f>
        <v>0</v>
      </c>
      <c r="K315" s="63">
        <f>IF(ข้อมูลสูตร!$A312="","",ข้อมูลสูตร!L312)</f>
        <v>0</v>
      </c>
      <c r="L315" s="63">
        <f>IF(ข้อมูลสูตร!$A312="","",ข้อมูลสูตร!M312)</f>
        <v>0</v>
      </c>
      <c r="M315" s="63">
        <f>IF(ข้อมูลสูตร!$A312="","",ข้อมูลสูตร!N312)</f>
        <v>0</v>
      </c>
      <c r="N315" s="63">
        <f>IF(ข้อมูลสูตร!$A312="","",ข้อมูลสูตร!O312)</f>
        <v>35</v>
      </c>
      <c r="O315" s="63">
        <f>IF(ข้อมูลสูตร!$A312="","",ข้อมูลสูตร!P312)</f>
        <v>7.5</v>
      </c>
      <c r="P315" s="63">
        <f>IF(ข้อมูลสูตร!$A312="","",ข้อมูลสูตร!Q312)</f>
        <v>100</v>
      </c>
      <c r="Q315" s="63">
        <f>IF(ข้อมูลสูตร!$A312="","",ข้อมูลสูตร!R312)</f>
        <v>0</v>
      </c>
      <c r="R315" s="63">
        <f>IF(ข้อมูลสูตร!$A312="","",ข้อมูลสูตร!S312)</f>
        <v>300</v>
      </c>
      <c r="S315" s="63">
        <f>IF(ข้อมูลสูตร!$A312="","",ข้อมูลสูตร!T312)</f>
        <v>0</v>
      </c>
      <c r="T315" s="63">
        <f>IF(ข้อมูลสูตร!$A312="","",ข้อมูลสูตร!U312)</f>
        <v>0</v>
      </c>
      <c r="U315" s="64">
        <f>IF(ข้อมูลสูตร!$A312="","",ข้อมูลสูตร!V312)</f>
        <v>232.5</v>
      </c>
      <c r="V315" s="8">
        <f>IF(ข้อมูลสูตร!$A312="","",ข้อมูลสูตร!W312)</f>
        <v>22.1</v>
      </c>
      <c r="W315" s="64">
        <f>IF(ข้อมูลสูตร!$A312="","",ข้อมูลสูตร!X312)</f>
        <v>59</v>
      </c>
      <c r="X315" s="23">
        <f>IF(ข้อมูลสูตร!$A312="","",ข้อมูลสูตร!Y312)</f>
        <v>0.62542372881355934</v>
      </c>
      <c r="Y315" s="48" t="str">
        <f>IF(ข้อมูลสูตร!$A312="","",ข้อมูลสูตร!Z312)</f>
        <v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15" s="48" t="str">
        <f>ข้อมูลสูตร!$A312</f>
        <v>Green Berry Soda|20 oz|0%</v>
      </c>
    </row>
    <row r="316" spans="1:26" x14ac:dyDescent="0.25">
      <c r="A316" s="4" t="str">
        <f>IF(ข้อมูลสูตร!$A313="","",ข้อมูลสูตร!B313)</f>
        <v>Green Berry Soda</v>
      </c>
      <c r="B316" s="4" t="str">
        <f>IF(ข้อมูลสูตร!$A313="","",ข้อมูลสูตร!C313)</f>
        <v>20 oz</v>
      </c>
      <c r="C316" s="4" t="str">
        <f>IF(ข้อมูลสูตร!$A313="","",ข้อมูลสูตร!D313)</f>
        <v>25%</v>
      </c>
      <c r="D316" s="63">
        <f>IF(ข้อมูลสูตร!$A313="","",ข้อมูลสูตร!E313)</f>
        <v>0</v>
      </c>
      <c r="E316" s="63">
        <f>IF(ข้อมูลสูตร!$A313="","",ข้อมูลสูตร!F313)</f>
        <v>125</v>
      </c>
      <c r="F316" s="63">
        <f>IF(ข้อมูลสูตร!$A313="","",ข้อมูลสูตร!G313)</f>
        <v>0</v>
      </c>
      <c r="G316" s="63">
        <f>IF(ข้อมูลสูตร!$A313="","",ข้อมูลสูตร!H313)</f>
        <v>0</v>
      </c>
      <c r="H316" s="63">
        <f>IF(ข้อมูลสูตร!$A313="","",ข้อมูลสูตร!I313)</f>
        <v>0</v>
      </c>
      <c r="I316" s="63">
        <f>IF(ข้อมูลสูตร!$A313="","",ข้อมูลสูตร!J313)</f>
        <v>21</v>
      </c>
      <c r="J316" s="63">
        <f>IF(ข้อมูลสูตร!$A313="","",ข้อมูลสูตร!K313)</f>
        <v>0</v>
      </c>
      <c r="K316" s="63">
        <f>IF(ข้อมูลสูตร!$A313="","",ข้อมูลสูตร!L313)</f>
        <v>0</v>
      </c>
      <c r="L316" s="63">
        <f>IF(ข้อมูลสูตร!$A313="","",ข้อมูลสูตร!M313)</f>
        <v>0</v>
      </c>
      <c r="M316" s="63">
        <f>IF(ข้อมูลสูตร!$A313="","",ข้อมูลสูตร!N313)</f>
        <v>0</v>
      </c>
      <c r="N316" s="63">
        <f>IF(ข้อมูลสูตร!$A313="","",ข้อมูลสูตร!O313)</f>
        <v>35</v>
      </c>
      <c r="O316" s="63">
        <f>IF(ข้อมูลสูตร!$A313="","",ข้อมูลสูตร!P313)</f>
        <v>7.5</v>
      </c>
      <c r="P316" s="63">
        <f>IF(ข้อมูลสูตร!$A313="","",ข้อมูลสูตร!Q313)</f>
        <v>100</v>
      </c>
      <c r="Q316" s="63">
        <f>IF(ข้อมูลสูตร!$A313="","",ข้อมูลสูตร!R313)</f>
        <v>0</v>
      </c>
      <c r="R316" s="63">
        <f>IF(ข้อมูลสูตร!$A313="","",ข้อมูลสูตร!S313)</f>
        <v>300</v>
      </c>
      <c r="S316" s="63">
        <f>IF(ข้อมูลสูตร!$A313="","",ข้อมูลสูตร!T313)</f>
        <v>0</v>
      </c>
      <c r="T316" s="63">
        <f>IF(ข้อมูลสูตร!$A313="","",ข้อมูลสูตร!U313)</f>
        <v>0</v>
      </c>
      <c r="U316" s="64">
        <f>IF(ข้อมูลสูตร!$A313="","",ข้อมูลสูตร!V313)</f>
        <v>253.5</v>
      </c>
      <c r="V316" s="8">
        <f>IF(ข้อมูลสูตร!$A313="","",ข้อมูลสูตร!W313)</f>
        <v>22.45</v>
      </c>
      <c r="W316" s="64">
        <f>IF(ข้อมูลสูตร!$A313="","",ข้อมูลสูตร!X313)</f>
        <v>59</v>
      </c>
      <c r="X316" s="23">
        <f>IF(ข้อมูลสูตร!$A313="","",ข้อมูลสูตร!Y313)</f>
        <v>0.61949152542372876</v>
      </c>
      <c r="Y316" s="48" t="str">
        <f>IF(ข้อมูลสูตร!$A313="","",ข้อมูลสูตร!Z313)</f>
        <v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316" s="48" t="str">
        <f>ข้อมูลสูตร!$A313</f>
        <v>Green Berry Soda|20 oz|25%</v>
      </c>
    </row>
    <row r="317" spans="1:26" x14ac:dyDescent="0.25">
      <c r="A317" s="4" t="str">
        <f>IF(ข้อมูลสูตร!$A314="","",ข้อมูลสูตร!B314)</f>
        <v>Green Berry Soda</v>
      </c>
      <c r="B317" s="4" t="str">
        <f>IF(ข้อมูลสูตร!$A314="","",ข้อมูลสูตร!C314)</f>
        <v>20 oz</v>
      </c>
      <c r="C317" s="4" t="str">
        <f>IF(ข้อมูลสูตร!$A314="","",ข้อมูลสูตร!D314)</f>
        <v>50%</v>
      </c>
      <c r="D317" s="63">
        <f>IF(ข้อมูลสูตร!$A314="","",ข้อมูลสูตร!E314)</f>
        <v>0</v>
      </c>
      <c r="E317" s="63">
        <f>IF(ข้อมูลสูตร!$A314="","",ข้อมูลสูตร!F314)</f>
        <v>125</v>
      </c>
      <c r="F317" s="63">
        <f>IF(ข้อมูลสูตร!$A314="","",ข้อมูลสูตร!G314)</f>
        <v>0</v>
      </c>
      <c r="G317" s="63">
        <f>IF(ข้อมูลสูตร!$A314="","",ข้อมูลสูตร!H314)</f>
        <v>0</v>
      </c>
      <c r="H317" s="63">
        <f>IF(ข้อมูลสูตร!$A314="","",ข้อมูลสูตร!I314)</f>
        <v>0</v>
      </c>
      <c r="I317" s="63">
        <f>IF(ข้อมูลสูตร!$A314="","",ข้อมูลสูตร!J314)</f>
        <v>26</v>
      </c>
      <c r="J317" s="63">
        <f>IF(ข้อมูลสูตร!$A314="","",ข้อมูลสูตร!K314)</f>
        <v>0</v>
      </c>
      <c r="K317" s="63">
        <f>IF(ข้อมูลสูตร!$A314="","",ข้อมูลสูตร!L314)</f>
        <v>0</v>
      </c>
      <c r="L317" s="63">
        <f>IF(ข้อมูลสูตร!$A314="","",ข้อมูลสูตร!M314)</f>
        <v>0</v>
      </c>
      <c r="M317" s="63">
        <f>IF(ข้อมูลสูตร!$A314="","",ข้อมูลสูตร!N314)</f>
        <v>0</v>
      </c>
      <c r="N317" s="63">
        <f>IF(ข้อมูลสูตร!$A314="","",ข้อมูลสูตร!O314)</f>
        <v>35</v>
      </c>
      <c r="O317" s="63">
        <f>IF(ข้อมูลสูตร!$A314="","",ข้อมูลสูตร!P314)</f>
        <v>7.5</v>
      </c>
      <c r="P317" s="63">
        <f>IF(ข้อมูลสูตร!$A314="","",ข้อมูลสูตร!Q314)</f>
        <v>100</v>
      </c>
      <c r="Q317" s="63">
        <f>IF(ข้อมูลสูตร!$A314="","",ข้อมูลสูตร!R314)</f>
        <v>0</v>
      </c>
      <c r="R317" s="63">
        <f>IF(ข้อมูลสูตร!$A314="","",ข้อมูลสูตร!S314)</f>
        <v>300</v>
      </c>
      <c r="S317" s="63">
        <f>IF(ข้อมูลสูตร!$A314="","",ข้อมูลสูตร!T314)</f>
        <v>0</v>
      </c>
      <c r="T317" s="63">
        <f>IF(ข้อมูลสูตร!$A314="","",ข้อมูลสูตร!U314)</f>
        <v>0</v>
      </c>
      <c r="U317" s="64">
        <f>IF(ข้อมูลสูตร!$A314="","",ข้อมูลสูตร!V314)</f>
        <v>258.5</v>
      </c>
      <c r="V317" s="8">
        <f>IF(ข้อมูลสูตร!$A314="","",ข้อมูลสูตร!W314)</f>
        <v>22.53</v>
      </c>
      <c r="W317" s="64">
        <f>IF(ข้อมูลสูตร!$A314="","",ข้อมูลสูตร!X314)</f>
        <v>59</v>
      </c>
      <c r="X317" s="23">
        <f>IF(ข้อมูลสูตร!$A314="","",ข้อมูลสูตร!Y314)</f>
        <v>0.61813559322033895</v>
      </c>
      <c r="Y317" s="48" t="str">
        <f>IF(ข้อมูลสูตร!$A314="","",ข้อมูลสูตร!Z314)</f>
        <v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317" s="48" t="str">
        <f>ข้อมูลสูตร!$A314</f>
        <v>Green Berry Soda|20 oz|50%</v>
      </c>
    </row>
    <row r="318" spans="1:26" x14ac:dyDescent="0.25">
      <c r="A318" s="4" t="str">
        <f>IF(ข้อมูลสูตร!$A315="","",ข้อมูลสูตร!B315)</f>
        <v>Green Berry Soda</v>
      </c>
      <c r="B318" s="4" t="str">
        <f>IF(ข้อมูลสูตร!$A315="","",ข้อมูลสูตร!C315)</f>
        <v>20 oz</v>
      </c>
      <c r="C318" s="4" t="str">
        <f>IF(ข้อมูลสูตร!$A315="","",ข้อมูลสูตร!D315)</f>
        <v>75%</v>
      </c>
      <c r="D318" s="63">
        <f>IF(ข้อมูลสูตร!$A315="","",ข้อมูลสูตร!E315)</f>
        <v>0</v>
      </c>
      <c r="E318" s="63">
        <f>IF(ข้อมูลสูตร!$A315="","",ข้อมูลสูตร!F315)</f>
        <v>125</v>
      </c>
      <c r="F318" s="63">
        <f>IF(ข้อมูลสูตร!$A315="","",ข้อมูลสูตร!G315)</f>
        <v>0</v>
      </c>
      <c r="G318" s="63">
        <f>IF(ข้อมูลสูตร!$A315="","",ข้อมูลสูตร!H315)</f>
        <v>0</v>
      </c>
      <c r="H318" s="63">
        <f>IF(ข้อมูลสูตร!$A315="","",ข้อมูลสูตร!I315)</f>
        <v>0</v>
      </c>
      <c r="I318" s="63">
        <f>IF(ข้อมูลสูตร!$A315="","",ข้อมูลสูตร!J315)</f>
        <v>31</v>
      </c>
      <c r="J318" s="63">
        <f>IF(ข้อมูลสูตร!$A315="","",ข้อมูลสูตร!K315)</f>
        <v>0</v>
      </c>
      <c r="K318" s="63">
        <f>IF(ข้อมูลสูตร!$A315="","",ข้อมูลสูตร!L315)</f>
        <v>0</v>
      </c>
      <c r="L318" s="63">
        <f>IF(ข้อมูลสูตร!$A315="","",ข้อมูลสูตร!M315)</f>
        <v>0</v>
      </c>
      <c r="M318" s="63">
        <f>IF(ข้อมูลสูตร!$A315="","",ข้อมูลสูตร!N315)</f>
        <v>0</v>
      </c>
      <c r="N318" s="63">
        <f>IF(ข้อมูลสูตร!$A315="","",ข้อมูลสูตร!O315)</f>
        <v>35</v>
      </c>
      <c r="O318" s="63">
        <f>IF(ข้อมูลสูตร!$A315="","",ข้อมูลสูตร!P315)</f>
        <v>7.5</v>
      </c>
      <c r="P318" s="63">
        <f>IF(ข้อมูลสูตร!$A315="","",ข้อมูลสูตร!Q315)</f>
        <v>100</v>
      </c>
      <c r="Q318" s="63">
        <f>IF(ข้อมูลสูตร!$A315="","",ข้อมูลสูตร!R315)</f>
        <v>0</v>
      </c>
      <c r="R318" s="63">
        <f>IF(ข้อมูลสูตร!$A315="","",ข้อมูลสูตร!S315)</f>
        <v>300</v>
      </c>
      <c r="S318" s="63">
        <f>IF(ข้อมูลสูตร!$A315="","",ข้อมูลสูตร!T315)</f>
        <v>0</v>
      </c>
      <c r="T318" s="63">
        <f>IF(ข้อมูลสูตร!$A315="","",ข้อมูลสูตร!U315)</f>
        <v>0</v>
      </c>
      <c r="U318" s="64">
        <f>IF(ข้อมูลสูตร!$A315="","",ข้อมูลสูตร!V315)</f>
        <v>263.5</v>
      </c>
      <c r="V318" s="8">
        <f>IF(ข้อมูลสูตร!$A315="","",ข้อมูลสูตร!W315)</f>
        <v>22.61</v>
      </c>
      <c r="W318" s="64">
        <f>IF(ข้อมูลสูตร!$A315="","",ข้อมูลสูตร!X315)</f>
        <v>59</v>
      </c>
      <c r="X318" s="23">
        <f>IF(ข้อมูลสูตร!$A315="","",ข้อมูลสูตร!Y315)</f>
        <v>0.61677966101694914</v>
      </c>
      <c r="Y318" s="48" t="str">
        <f>IF(ข้อมูลสูตร!$A315="","",ข้อมูลสูตร!Z315)</f>
        <v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318" s="48" t="str">
        <f>ข้อมูลสูตร!$A315</f>
        <v>Green Berry Soda|20 oz|75%</v>
      </c>
    </row>
    <row r="319" spans="1:26" x14ac:dyDescent="0.25">
      <c r="A319" s="4" t="str">
        <f>IF(ข้อมูลสูตร!$A316="","",ข้อมูลสูตร!B316)</f>
        <v>Green Berry Soda</v>
      </c>
      <c r="B319" s="4" t="str">
        <f>IF(ข้อมูลสูตร!$A316="","",ข้อมูลสูตร!C316)</f>
        <v>20 oz</v>
      </c>
      <c r="C319" s="4" t="str">
        <f>IF(ข้อมูลสูตร!$A316="","",ข้อมูลสูตร!D316)</f>
        <v>100%</v>
      </c>
      <c r="D319" s="63">
        <f>IF(ข้อมูลสูตร!$A316="","",ข้อมูลสูตร!E316)</f>
        <v>0</v>
      </c>
      <c r="E319" s="63">
        <f>IF(ข้อมูลสูตร!$A316="","",ข้อมูลสูตร!F316)</f>
        <v>125</v>
      </c>
      <c r="F319" s="63">
        <f>IF(ข้อมูลสูตร!$A316="","",ข้อมูลสูตร!G316)</f>
        <v>0</v>
      </c>
      <c r="G319" s="63">
        <f>IF(ข้อมูลสูตร!$A316="","",ข้อมูลสูตร!H316)</f>
        <v>0</v>
      </c>
      <c r="H319" s="63">
        <f>IF(ข้อมูลสูตร!$A316="","",ข้อมูลสูตร!I316)</f>
        <v>0</v>
      </c>
      <c r="I319" s="63">
        <f>IF(ข้อมูลสูตร!$A316="","",ข้อมูลสูตร!J316)</f>
        <v>36</v>
      </c>
      <c r="J319" s="63">
        <f>IF(ข้อมูลสูตร!$A316="","",ข้อมูลสูตร!K316)</f>
        <v>0</v>
      </c>
      <c r="K319" s="63">
        <f>IF(ข้อมูลสูตร!$A316="","",ข้อมูลสูตร!L316)</f>
        <v>0</v>
      </c>
      <c r="L319" s="63">
        <f>IF(ข้อมูลสูตร!$A316="","",ข้อมูลสูตร!M316)</f>
        <v>0</v>
      </c>
      <c r="M319" s="63">
        <f>IF(ข้อมูลสูตร!$A316="","",ข้อมูลสูตร!N316)</f>
        <v>0</v>
      </c>
      <c r="N319" s="63">
        <f>IF(ข้อมูลสูตร!$A316="","",ข้อมูลสูตร!O316)</f>
        <v>35</v>
      </c>
      <c r="O319" s="63">
        <f>IF(ข้อมูลสูตร!$A316="","",ข้อมูลสูตร!P316)</f>
        <v>7.5</v>
      </c>
      <c r="P319" s="63">
        <f>IF(ข้อมูลสูตร!$A316="","",ข้อมูลสูตร!Q316)</f>
        <v>100</v>
      </c>
      <c r="Q319" s="63">
        <f>IF(ข้อมูลสูตร!$A316="","",ข้อมูลสูตร!R316)</f>
        <v>0</v>
      </c>
      <c r="R319" s="63">
        <f>IF(ข้อมูลสูตร!$A316="","",ข้อมูลสูตร!S316)</f>
        <v>300</v>
      </c>
      <c r="S319" s="63">
        <f>IF(ข้อมูลสูตร!$A316="","",ข้อมูลสูตร!T316)</f>
        <v>0</v>
      </c>
      <c r="T319" s="63">
        <f>IF(ข้อมูลสูตร!$A316="","",ข้อมูลสูตร!U316)</f>
        <v>0</v>
      </c>
      <c r="U319" s="64">
        <f>IF(ข้อมูลสูตร!$A316="","",ข้อมูลสูตร!V316)</f>
        <v>268.5</v>
      </c>
      <c r="V319" s="8">
        <f>IF(ข้อมูลสูตร!$A316="","",ข้อมูลสูตร!W316)</f>
        <v>22.7</v>
      </c>
      <c r="W319" s="64">
        <f>IF(ข้อมูลสูตร!$A316="","",ข้อมูลสูตร!X316)</f>
        <v>59</v>
      </c>
      <c r="X319" s="23">
        <f>IF(ข้อมูลสูตร!$A316="","",ข้อมูลสูตร!Y316)</f>
        <v>0.61525423728813555</v>
      </c>
      <c r="Y319" s="48" t="str">
        <f>IF(ข้อมูลสูตร!$A316="","",ข้อมูลสูตร!Z316)</f>
        <v>[20 oz = 16 oz x 1.25] เมนูใหม่ — ไม่มีนม เก็บได้ ถ่ายรูปติด และเปลี่ยนซอสตามฤดูได้ (พีช/เสาวรส/ลิ้นจี่) โดยไม่ต้องเรียนสูตรใหม่ · ซอส 28 g เพิ่มปริมาตรอีก ~25 ml ที่ไม่ได้นับในคอลัมน์ของเหลวรวม · รอบ 7: เบสชาเขียวไม่มีน้ำตาลแล้ว จึงเติมน้ำเชื่อม 1:1 ชดเชย = 0.128 × ปริมาณเบสชาเขียว</v>
      </c>
      <c r="Z319" s="48" t="str">
        <f>ข้อมูลสูตร!$A316</f>
        <v>Green Berry Soda|20 oz|100%</v>
      </c>
    </row>
    <row r="320" spans="1:26" x14ac:dyDescent="0.25">
      <c r="A320" s="4" t="str">
        <f>IF(ข้อมูลสูตร!$A317="","",ข้อมูลสูตร!B317)</f>
        <v>Green Tea Frappe</v>
      </c>
      <c r="B320" s="4" t="str">
        <f>IF(ข้อมูลสูตร!$A317="","",ข้อมูลสูตร!C317)</f>
        <v>20 oz</v>
      </c>
      <c r="C320" s="4" t="str">
        <f>IF(ข้อมูลสูตร!$A317="","",ข้อมูลสูตร!D317)</f>
        <v>0%</v>
      </c>
      <c r="D320" s="63">
        <f>IF(ข้อมูลสูตร!$A317="","",ข้อมูลสูตร!E317)</f>
        <v>0</v>
      </c>
      <c r="E320" s="63">
        <f>IF(ข้อมูลสูตร!$A317="","",ข้อมูลสูตร!F317)</f>
        <v>112.5</v>
      </c>
      <c r="F320" s="63">
        <f>IF(ข้อมูลสูตร!$A317="","",ข้อมูลสูตร!G317)</f>
        <v>87.5</v>
      </c>
      <c r="G320" s="63">
        <f>IF(ข้อมูลสูตร!$A317="","",ข้อมูลสูตร!H317)</f>
        <v>25</v>
      </c>
      <c r="H320" s="63">
        <f>IF(ข้อมูลสูตร!$A317="","",ข้อมูลสูตร!I317)</f>
        <v>0</v>
      </c>
      <c r="I320" s="63">
        <f>IF(ข้อมูลสูตร!$A317="","",ข้อมูลสูตร!J317)</f>
        <v>0</v>
      </c>
      <c r="J320" s="63">
        <f>IF(ข้อมูลสูตร!$A317="","",ข้อมูลสูตร!K317)</f>
        <v>0</v>
      </c>
      <c r="K320" s="63">
        <f>IF(ข้อมูลสูตร!$A317="","",ข้อมูลสูตร!L317)</f>
        <v>0</v>
      </c>
      <c r="L320" s="63">
        <f>IF(ข้อมูลสูตร!$A317="","",ข้อมูลสูตร!M317)</f>
        <v>0</v>
      </c>
      <c r="M320" s="63">
        <f>IF(ข้อมูลสูตร!$A317="","",ข้อมูลสูตร!N317)</f>
        <v>0</v>
      </c>
      <c r="N320" s="63">
        <f>IF(ข้อมูลสูตร!$A317="","",ข้อมูลสูตร!O317)</f>
        <v>0</v>
      </c>
      <c r="O320" s="63">
        <f>IF(ข้อมูลสูตร!$A317="","",ข้อมูลสูตร!P317)</f>
        <v>0</v>
      </c>
      <c r="P320" s="63">
        <f>IF(ข้อมูลสูตร!$A317="","",ข้อมูลสูตร!Q317)</f>
        <v>0</v>
      </c>
      <c r="Q320" s="63">
        <f>IF(ข้อมูลสูตร!$A317="","",ข้อมูลสูตร!R317)</f>
        <v>0</v>
      </c>
      <c r="R320" s="63">
        <f>IF(ข้อมูลสูตร!$A317="","",ข้อมูลสูตร!S317)</f>
        <v>250</v>
      </c>
      <c r="S320" s="63">
        <f>IF(ข้อมูลสูตร!$A317="","",ข้อมูลสูตร!T317)</f>
        <v>0</v>
      </c>
      <c r="T320" s="63">
        <f>IF(ข้อมูลสูตร!$A317="","",ข้อมูลสูตร!U317)</f>
        <v>0</v>
      </c>
      <c r="U320" s="64">
        <f>IF(ข้อมูลสูตร!$A317="","",ข้อมูลสูตร!V317)</f>
        <v>225</v>
      </c>
      <c r="V320" s="8">
        <f>IF(ข้อมูลสูตร!$A317="","",ข้อมูลสูตร!W317)</f>
        <v>16.89</v>
      </c>
      <c r="W320" s="64">
        <f>IF(ข้อมูลสูตร!$A317="","",ข้อมูลสูตร!X317)</f>
        <v>70</v>
      </c>
      <c r="X320" s="23">
        <f>IF(ข้อมูลสูตร!$A317="","",ข้อมูลสูตร!Y317)</f>
        <v>0.75871428571428567</v>
      </c>
      <c r="Y320" s="48" t="str">
        <f>IF(ข้อมูลสูตร!$A317="","",ข้อมูลสูตร!Z317)</f>
        <v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20" s="48" t="str">
        <f>ข้อมูลสูตร!$A317</f>
        <v>Green Tea Frappe|20 oz|0%</v>
      </c>
    </row>
    <row r="321" spans="1:26" x14ac:dyDescent="0.25">
      <c r="A321" s="4" t="str">
        <f>IF(ข้อมูลสูตร!$A318="","",ข้อมูลสูตร!B318)</f>
        <v>Green Tea Frappe</v>
      </c>
      <c r="B321" s="4" t="str">
        <f>IF(ข้อมูลสูตร!$A318="","",ข้อมูลสูตร!C318)</f>
        <v>20 oz</v>
      </c>
      <c r="C321" s="4" t="str">
        <f>IF(ข้อมูลสูตร!$A318="","",ข้อมูลสูตร!D318)</f>
        <v>25%</v>
      </c>
      <c r="D321" s="63">
        <f>IF(ข้อมูลสูตร!$A318="","",ข้อมูลสูตร!E318)</f>
        <v>0</v>
      </c>
      <c r="E321" s="63">
        <f>IF(ข้อมูลสูตร!$A318="","",ข้อมูลสูตร!F318)</f>
        <v>112.5</v>
      </c>
      <c r="F321" s="63">
        <f>IF(ข้อมูลสูตร!$A318="","",ข้อมูลสูตร!G318)</f>
        <v>73.099999999999994</v>
      </c>
      <c r="G321" s="63">
        <f>IF(ข้อมูลสูตร!$A318="","",ข้อมูลสูตร!H318)</f>
        <v>25</v>
      </c>
      <c r="H321" s="63">
        <f>IF(ข้อมูลสูตร!$A318="","",ข้อมูลสูตร!I318)</f>
        <v>10</v>
      </c>
      <c r="I321" s="63">
        <f>IF(ข้อมูลสูตร!$A318="","",ข้อมูลสูตร!J318)</f>
        <v>14.4</v>
      </c>
      <c r="J321" s="63">
        <f>IF(ข้อมูลสูตร!$A318="","",ข้อมูลสูตร!K318)</f>
        <v>0</v>
      </c>
      <c r="K321" s="63">
        <f>IF(ข้อมูลสูตร!$A318="","",ข้อมูลสูตร!L318)</f>
        <v>0</v>
      </c>
      <c r="L321" s="63">
        <f>IF(ข้อมูลสูตร!$A318="","",ข้อมูลสูตร!M318)</f>
        <v>0</v>
      </c>
      <c r="M321" s="63">
        <f>IF(ข้อมูลสูตร!$A318="","",ข้อมูลสูตร!N318)</f>
        <v>0</v>
      </c>
      <c r="N321" s="63">
        <f>IF(ข้อมูลสูตร!$A318="","",ข้อมูลสูตร!O318)</f>
        <v>0</v>
      </c>
      <c r="O321" s="63">
        <f>IF(ข้อมูลสูตร!$A318="","",ข้อมูลสูตร!P318)</f>
        <v>0</v>
      </c>
      <c r="P321" s="63">
        <f>IF(ข้อมูลสูตร!$A318="","",ข้อมูลสูตร!Q318)</f>
        <v>0</v>
      </c>
      <c r="Q321" s="63">
        <f>IF(ข้อมูลสูตร!$A318="","",ข้อมูลสูตร!R318)</f>
        <v>0</v>
      </c>
      <c r="R321" s="63">
        <f>IF(ข้อมูลสูตร!$A318="","",ข้อมูลสูตร!S318)</f>
        <v>250</v>
      </c>
      <c r="S321" s="63">
        <f>IF(ข้อมูลสูตร!$A318="","",ข้อมูลสูตร!T318)</f>
        <v>0</v>
      </c>
      <c r="T321" s="63">
        <f>IF(ข้อมูลสูตร!$A318="","",ข้อมูลสูตร!U318)</f>
        <v>0</v>
      </c>
      <c r="U321" s="64">
        <f>IF(ข้อมูลสูตร!$A318="","",ข้อมูลสูตร!V318)</f>
        <v>235</v>
      </c>
      <c r="V321" s="8">
        <f>IF(ข้อมูลสูตร!$A318="","",ข้อมูลสูตร!W318)</f>
        <v>17.13</v>
      </c>
      <c r="W321" s="64">
        <f>IF(ข้อมูลสูตร!$A318="","",ข้อมูลสูตร!X318)</f>
        <v>70</v>
      </c>
      <c r="X321" s="23">
        <f>IF(ข้อมูลสูตร!$A318="","",ข้อมูลสูตร!Y318)</f>
        <v>0.75528571428571434</v>
      </c>
      <c r="Y321" s="48" t="str">
        <f>IF(ข้อมูลสูตร!$A318="","",ข้อมูลสูตร!Z318)</f>
        <v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1" s="48" t="str">
        <f>ข้อมูลสูตร!$A318</f>
        <v>Green Tea Frappe|20 oz|25%</v>
      </c>
    </row>
    <row r="322" spans="1:26" x14ac:dyDescent="0.25">
      <c r="A322" s="4" t="str">
        <f>IF(ข้อมูลสูตร!$A319="","",ข้อมูลสูตร!B319)</f>
        <v>Green Tea Frappe</v>
      </c>
      <c r="B322" s="4" t="str">
        <f>IF(ข้อมูลสูตร!$A319="","",ข้อมูลสูตร!C319)</f>
        <v>20 oz</v>
      </c>
      <c r="C322" s="4" t="str">
        <f>IF(ข้อมูลสูตร!$A319="","",ข้อมูลสูตร!D319)</f>
        <v>50%</v>
      </c>
      <c r="D322" s="63">
        <f>IF(ข้อมูลสูตร!$A319="","",ข้อมูลสูตร!E319)</f>
        <v>0</v>
      </c>
      <c r="E322" s="63">
        <f>IF(ข้อมูลสูตร!$A319="","",ข้อมูลสูตร!F319)</f>
        <v>112.5</v>
      </c>
      <c r="F322" s="63">
        <f>IF(ข้อมูลสูตร!$A319="","",ข้อมูลสูตร!G319)</f>
        <v>73.099999999999994</v>
      </c>
      <c r="G322" s="63">
        <f>IF(ข้อมูลสูตร!$A319="","",ข้อมูลสูตร!H319)</f>
        <v>25</v>
      </c>
      <c r="H322" s="63">
        <f>IF(ข้อมูลสูตร!$A319="","",ข้อมูลสูตร!I319)</f>
        <v>20</v>
      </c>
      <c r="I322" s="63">
        <f>IF(ข้อมูลสูตร!$A319="","",ข้อมูลสูตร!J319)</f>
        <v>14.4</v>
      </c>
      <c r="J322" s="63">
        <f>IF(ข้อมูลสูตร!$A319="","",ข้อมูลสูตร!K319)</f>
        <v>0</v>
      </c>
      <c r="K322" s="63">
        <f>IF(ข้อมูลสูตร!$A319="","",ข้อมูลสูตร!L319)</f>
        <v>0</v>
      </c>
      <c r="L322" s="63">
        <f>IF(ข้อมูลสูตร!$A319="","",ข้อมูลสูตร!M319)</f>
        <v>0</v>
      </c>
      <c r="M322" s="63">
        <f>IF(ข้อมูลสูตร!$A319="","",ข้อมูลสูตร!N319)</f>
        <v>0</v>
      </c>
      <c r="N322" s="63">
        <f>IF(ข้อมูลสูตร!$A319="","",ข้อมูลสูตร!O319)</f>
        <v>0</v>
      </c>
      <c r="O322" s="63">
        <f>IF(ข้อมูลสูตร!$A319="","",ข้อมูลสูตร!P319)</f>
        <v>0</v>
      </c>
      <c r="P322" s="63">
        <f>IF(ข้อมูลสูตร!$A319="","",ข้อมูลสูตร!Q319)</f>
        <v>0</v>
      </c>
      <c r="Q322" s="63">
        <f>IF(ข้อมูลสูตร!$A319="","",ข้อมูลสูตร!R319)</f>
        <v>0</v>
      </c>
      <c r="R322" s="63">
        <f>IF(ข้อมูลสูตร!$A319="","",ข้อมูลสูตร!S319)</f>
        <v>250</v>
      </c>
      <c r="S322" s="63">
        <f>IF(ข้อมูลสูตร!$A319="","",ข้อมูลสูตร!T319)</f>
        <v>0</v>
      </c>
      <c r="T322" s="63">
        <f>IF(ข้อมูลสูตร!$A319="","",ข้อมูลสูตร!U319)</f>
        <v>0</v>
      </c>
      <c r="U322" s="64">
        <f>IF(ข้อมูลสูตร!$A319="","",ข้อมูลสูตร!V319)</f>
        <v>245</v>
      </c>
      <c r="V322" s="8">
        <f>IF(ข้อมูลสูตร!$A319="","",ข้อมูลสูตร!W319)</f>
        <v>17.829999999999998</v>
      </c>
      <c r="W322" s="64">
        <f>IF(ข้อมูลสูตร!$A319="","",ข้อมูลสูตร!X319)</f>
        <v>70</v>
      </c>
      <c r="X322" s="23">
        <f>IF(ข้อมูลสูตร!$A319="","",ข้อมูลสูตร!Y319)</f>
        <v>0.74528571428571433</v>
      </c>
      <c r="Y322" s="48" t="str">
        <f>IF(ข้อมูลสูตร!$A319="","",ข้อมูลสูตร!Z319)</f>
        <v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2" s="48" t="str">
        <f>ข้อมูลสูตร!$A319</f>
        <v>Green Tea Frappe|20 oz|50%</v>
      </c>
    </row>
    <row r="323" spans="1:26" x14ac:dyDescent="0.25">
      <c r="A323" s="4" t="str">
        <f>IF(ข้อมูลสูตร!$A320="","",ข้อมูลสูตร!B320)</f>
        <v>Green Tea Frappe</v>
      </c>
      <c r="B323" s="4" t="str">
        <f>IF(ข้อมูลสูตร!$A320="","",ข้อมูลสูตร!C320)</f>
        <v>20 oz</v>
      </c>
      <c r="C323" s="4" t="str">
        <f>IF(ข้อมูลสูตร!$A320="","",ข้อมูลสูตร!D320)</f>
        <v>75%</v>
      </c>
      <c r="D323" s="63">
        <f>IF(ข้อมูลสูตร!$A320="","",ข้อมูลสูตร!E320)</f>
        <v>0</v>
      </c>
      <c r="E323" s="63">
        <f>IF(ข้อมูลสูตร!$A320="","",ข้อมูลสูตร!F320)</f>
        <v>112.5</v>
      </c>
      <c r="F323" s="63">
        <f>IF(ข้อมูลสูตร!$A320="","",ข้อมูลสูตร!G320)</f>
        <v>73.099999999999994</v>
      </c>
      <c r="G323" s="63">
        <f>IF(ข้อมูลสูตร!$A320="","",ข้อมูลสูตร!H320)</f>
        <v>25</v>
      </c>
      <c r="H323" s="63">
        <f>IF(ข้อมูลสูตร!$A320="","",ข้อมูลสูตร!I320)</f>
        <v>30</v>
      </c>
      <c r="I323" s="63">
        <f>IF(ข้อมูลสูตร!$A320="","",ข้อมูลสูตร!J320)</f>
        <v>14.4</v>
      </c>
      <c r="J323" s="63">
        <f>IF(ข้อมูลสูตร!$A320="","",ข้อมูลสูตร!K320)</f>
        <v>0</v>
      </c>
      <c r="K323" s="63">
        <f>IF(ข้อมูลสูตร!$A320="","",ข้อมูลสูตร!L320)</f>
        <v>0</v>
      </c>
      <c r="L323" s="63">
        <f>IF(ข้อมูลสูตร!$A320="","",ข้อมูลสูตร!M320)</f>
        <v>0</v>
      </c>
      <c r="M323" s="63">
        <f>IF(ข้อมูลสูตร!$A320="","",ข้อมูลสูตร!N320)</f>
        <v>0</v>
      </c>
      <c r="N323" s="63">
        <f>IF(ข้อมูลสูตร!$A320="","",ข้อมูลสูตร!O320)</f>
        <v>0</v>
      </c>
      <c r="O323" s="63">
        <f>IF(ข้อมูลสูตร!$A320="","",ข้อมูลสูตร!P320)</f>
        <v>0</v>
      </c>
      <c r="P323" s="63">
        <f>IF(ข้อมูลสูตร!$A320="","",ข้อมูลสูตร!Q320)</f>
        <v>0</v>
      </c>
      <c r="Q323" s="63">
        <f>IF(ข้อมูลสูตร!$A320="","",ข้อมูลสูตร!R320)</f>
        <v>0</v>
      </c>
      <c r="R323" s="63">
        <f>IF(ข้อมูลสูตร!$A320="","",ข้อมูลสูตร!S320)</f>
        <v>250</v>
      </c>
      <c r="S323" s="63">
        <f>IF(ข้อมูลสูตร!$A320="","",ข้อมูลสูตร!T320)</f>
        <v>0</v>
      </c>
      <c r="T323" s="63">
        <f>IF(ข้อมูลสูตร!$A320="","",ข้อมูลสูตร!U320)</f>
        <v>0</v>
      </c>
      <c r="U323" s="64">
        <f>IF(ข้อมูลสูตร!$A320="","",ข้อมูลสูตร!V320)</f>
        <v>255</v>
      </c>
      <c r="V323" s="8">
        <f>IF(ข้อมูลสูตร!$A320="","",ข้อมูลสูตร!W320)</f>
        <v>18.52</v>
      </c>
      <c r="W323" s="64">
        <f>IF(ข้อมูลสูตร!$A320="","",ข้อมูลสูตร!X320)</f>
        <v>70</v>
      </c>
      <c r="X323" s="23">
        <f>IF(ข้อมูลสูตร!$A320="","",ข้อมูลสูตร!Y320)</f>
        <v>0.73542857142857143</v>
      </c>
      <c r="Y323" s="48" t="str">
        <f>IF(ข้อมูลสูตร!$A320="","",ข้อมูลสูตร!Z320)</f>
        <v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3" s="48" t="str">
        <f>ข้อมูลสูตร!$A320</f>
        <v>Green Tea Frappe|20 oz|75%</v>
      </c>
    </row>
    <row r="324" spans="1:26" x14ac:dyDescent="0.25">
      <c r="A324" s="4" t="str">
        <f>IF(ข้อมูลสูตร!$A321="","",ข้อมูลสูตร!B321)</f>
        <v>Green Tea Frappe</v>
      </c>
      <c r="B324" s="4" t="str">
        <f>IF(ข้อมูลสูตร!$A321="","",ข้อมูลสูตร!C321)</f>
        <v>20 oz</v>
      </c>
      <c r="C324" s="4" t="str">
        <f>IF(ข้อมูลสูตร!$A321="","",ข้อมูลสูตร!D321)</f>
        <v>100%</v>
      </c>
      <c r="D324" s="63">
        <f>IF(ข้อมูลสูตร!$A321="","",ข้อมูลสูตร!E321)</f>
        <v>0</v>
      </c>
      <c r="E324" s="63">
        <f>IF(ข้อมูลสูตร!$A321="","",ข้อมูลสูตร!F321)</f>
        <v>112.5</v>
      </c>
      <c r="F324" s="63">
        <f>IF(ข้อมูลสูตร!$A321="","",ข้อมูลสูตร!G321)</f>
        <v>73.099999999999994</v>
      </c>
      <c r="G324" s="63">
        <f>IF(ข้อมูลสูตร!$A321="","",ข้อมูลสูตร!H321)</f>
        <v>25</v>
      </c>
      <c r="H324" s="63">
        <f>IF(ข้อมูลสูตร!$A321="","",ข้อมูลสูตร!I321)</f>
        <v>40</v>
      </c>
      <c r="I324" s="63">
        <f>IF(ข้อมูลสูตร!$A321="","",ข้อมูลสูตร!J321)</f>
        <v>14.4</v>
      </c>
      <c r="J324" s="63">
        <f>IF(ข้อมูลสูตร!$A321="","",ข้อมูลสูตร!K321)</f>
        <v>0</v>
      </c>
      <c r="K324" s="63">
        <f>IF(ข้อมูลสูตร!$A321="","",ข้อมูลสูตร!L321)</f>
        <v>0</v>
      </c>
      <c r="L324" s="63">
        <f>IF(ข้อมูลสูตร!$A321="","",ข้อมูลสูตร!M321)</f>
        <v>0</v>
      </c>
      <c r="M324" s="63">
        <f>IF(ข้อมูลสูตร!$A321="","",ข้อมูลสูตร!N321)</f>
        <v>0</v>
      </c>
      <c r="N324" s="63">
        <f>IF(ข้อมูลสูตร!$A321="","",ข้อมูลสูตร!O321)</f>
        <v>0</v>
      </c>
      <c r="O324" s="63">
        <f>IF(ข้อมูลสูตร!$A321="","",ข้อมูลสูตร!P321)</f>
        <v>0</v>
      </c>
      <c r="P324" s="63">
        <f>IF(ข้อมูลสูตร!$A321="","",ข้อมูลสูตร!Q321)</f>
        <v>0</v>
      </c>
      <c r="Q324" s="63">
        <f>IF(ข้อมูลสูตร!$A321="","",ข้อมูลสูตร!R321)</f>
        <v>0</v>
      </c>
      <c r="R324" s="63">
        <f>IF(ข้อมูลสูตร!$A321="","",ข้อมูลสูตร!S321)</f>
        <v>250</v>
      </c>
      <c r="S324" s="63">
        <f>IF(ข้อมูลสูตร!$A321="","",ข้อมูลสูตร!T321)</f>
        <v>0</v>
      </c>
      <c r="T324" s="63">
        <f>IF(ข้อมูลสูตร!$A321="","",ข้อมูลสูตร!U321)</f>
        <v>0</v>
      </c>
      <c r="U324" s="64">
        <f>IF(ข้อมูลสูตร!$A321="","",ข้อมูลสูตร!V321)</f>
        <v>265</v>
      </c>
      <c r="V324" s="8">
        <f>IF(ข้อมูลสูตร!$A321="","",ข้อมูลสูตร!W321)</f>
        <v>19.21</v>
      </c>
      <c r="W324" s="64">
        <f>IF(ข้อมูลสูตร!$A321="","",ข้อมูลสูตร!X321)</f>
        <v>70</v>
      </c>
      <c r="X324" s="23">
        <f>IF(ข้อมูลสูตร!$A321="","",ข้อมูลสูตร!Y321)</f>
        <v>0.72557142857142853</v>
      </c>
      <c r="Y324" s="48" t="str">
        <f>IF(ข้อมูลสูตร!$A321="","",ข้อมูลสูตร!Z321)</f>
        <v>[20 oz = 16 oz x 1.25] เมนูใหม่ — ใช้ขั้นตอนเดียวกับ Thai Tea Frappe ทุกประการ เพิ่มเมนูโดยไม่เพิ่มภาระการเทรน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4" s="48" t="str">
        <f>ข้อมูลสูตร!$A321</f>
        <v>Green Tea Frappe|20 oz|100%</v>
      </c>
    </row>
    <row r="325" spans="1:26" x14ac:dyDescent="0.25">
      <c r="A325" s="4" t="str">
        <f>IF(ข้อมูลสูตร!$A322="","",ข้อมูลสูตร!B322)</f>
        <v>Green Latte</v>
      </c>
      <c r="B325" s="4" t="str">
        <f>IF(ข้อมูลสูตร!$A322="","",ข้อมูลสูตร!C322)</f>
        <v>20 oz</v>
      </c>
      <c r="C325" s="4" t="str">
        <f>IF(ข้อมูลสูตร!$A322="","",ข้อมูลสูตร!D322)</f>
        <v>0%</v>
      </c>
      <c r="D325" s="63">
        <f>IF(ข้อมูลสูตร!$A322="","",ข้อมูลสูตร!E322)</f>
        <v>0</v>
      </c>
      <c r="E325" s="63">
        <f>IF(ข้อมูลสูตร!$A322="","",ข้อมูลสูตร!F322)</f>
        <v>162.5</v>
      </c>
      <c r="F325" s="63">
        <f>IF(ข้อมูลสูตร!$A322="","",ข้อมูลสูตร!G322)</f>
        <v>62.5</v>
      </c>
      <c r="G325" s="63">
        <f>IF(ข้อมูลสูตร!$A322="","",ข้อมูลสูตร!H322)</f>
        <v>25</v>
      </c>
      <c r="H325" s="63">
        <f>IF(ข้อมูลสูตร!$A322="","",ข้อมูลสูตร!I322)</f>
        <v>0</v>
      </c>
      <c r="I325" s="63">
        <f>IF(ข้อมูลสูตร!$A322="","",ข้อมูลสูตร!J322)</f>
        <v>0</v>
      </c>
      <c r="J325" s="63">
        <f>IF(ข้อมูลสูตร!$A322="","",ข้อมูลสูตร!K322)</f>
        <v>0</v>
      </c>
      <c r="K325" s="63">
        <f>IF(ข้อมูลสูตร!$A322="","",ข้อมูลสูตร!L322)</f>
        <v>0</v>
      </c>
      <c r="L325" s="63">
        <f>IF(ข้อมูลสูตร!$A322="","",ข้อมูลสูตร!M322)</f>
        <v>0</v>
      </c>
      <c r="M325" s="63">
        <f>IF(ข้อมูลสูตร!$A322="","",ข้อมูลสูตร!N322)</f>
        <v>0</v>
      </c>
      <c r="N325" s="63">
        <f>IF(ข้อมูลสูตร!$A322="","",ข้อมูลสูตร!O322)</f>
        <v>0</v>
      </c>
      <c r="O325" s="63">
        <f>IF(ข้อมูลสูตร!$A322="","",ข้อมูลสูตร!P322)</f>
        <v>0</v>
      </c>
      <c r="P325" s="63">
        <f>IF(ข้อมูลสูตร!$A322="","",ข้อมูลสูตร!Q322)</f>
        <v>0</v>
      </c>
      <c r="Q325" s="63">
        <f>IF(ข้อมูลสูตร!$A322="","",ข้อมูลสูตร!R322)</f>
        <v>0</v>
      </c>
      <c r="R325" s="63">
        <f>IF(ข้อมูลสูตร!$A322="","",ข้อมูลสูตร!S322)</f>
        <v>300</v>
      </c>
      <c r="S325" s="63">
        <f>IF(ข้อมูลสูตร!$A322="","",ข้อมูลสูตร!T322)</f>
        <v>0</v>
      </c>
      <c r="T325" s="63">
        <f>IF(ข้อมูลสูตร!$A322="","",ข้อมูลสูตร!U322)</f>
        <v>0</v>
      </c>
      <c r="U325" s="64">
        <f>IF(ข้อมูลสูตร!$A322="","",ข้อมูลสูตร!V322)</f>
        <v>250</v>
      </c>
      <c r="V325" s="8">
        <f>IF(ข้อมูลสูตร!$A322="","",ข้อมูลสูตร!W322)</f>
        <v>17.61</v>
      </c>
      <c r="W325" s="64">
        <f>IF(ข้อมูลสูตร!$A322="","",ข้อมูลสูตร!X322)</f>
        <v>55</v>
      </c>
      <c r="X325" s="23">
        <f>IF(ข้อมูลสูตร!$A322="","",ข้อมูลสูตร!Y322)</f>
        <v>0.67981818181818188</v>
      </c>
      <c r="Y325" s="48" t="str">
        <f>IF(ข้อมูลสูตร!$A322="","",ข้อมูลสูตร!Z322)</f>
        <v>[20 oz = 16 oz x 1.25] เมนูใหม่ (ชาเขียว) — เรียบเรียงจากสูตรเว็บ/โซเชียล สเกลหวาน/ขนาดตามแพทเทิร์น Latte (ดูแหล่งที่มาใน comment B162)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25" s="48" t="str">
        <f>ข้อมูลสูตร!$A322</f>
        <v>Green Latte|20 oz|0%</v>
      </c>
    </row>
    <row r="326" spans="1:26" x14ac:dyDescent="0.25">
      <c r="A326" s="4" t="str">
        <f>IF(ข้อมูลสูตร!$A323="","",ข้อมูลสูตร!B323)</f>
        <v>Green Latte</v>
      </c>
      <c r="B326" s="4" t="str">
        <f>IF(ข้อมูลสูตร!$A323="","",ข้อมูลสูตร!C323)</f>
        <v>20 oz</v>
      </c>
      <c r="C326" s="4" t="str">
        <f>IF(ข้อมูลสูตร!$A323="","",ข้อมูลสูตร!D323)</f>
        <v>25%</v>
      </c>
      <c r="D326" s="63">
        <f>IF(ข้อมูลสูตร!$A323="","",ข้อมูลสูตร!E323)</f>
        <v>0</v>
      </c>
      <c r="E326" s="63">
        <f>IF(ข้อมูลสูตร!$A323="","",ข้อมูลสูตร!F323)</f>
        <v>162.5</v>
      </c>
      <c r="F326" s="63">
        <f>IF(ข้อมูลสูตร!$A323="","",ข้อมูลสูตร!G323)</f>
        <v>38</v>
      </c>
      <c r="G326" s="63">
        <f>IF(ข้อมูลสูตร!$A323="","",ข้อมูลสูตร!H323)</f>
        <v>25</v>
      </c>
      <c r="H326" s="63">
        <f>IF(ข้อมูลสูตร!$A323="","",ข้อมูลสูตร!I323)</f>
        <v>0</v>
      </c>
      <c r="I326" s="63">
        <f>IF(ข้อมูลสูตร!$A323="","",ข้อมูลสูตร!J323)</f>
        <v>29.6</v>
      </c>
      <c r="J326" s="63">
        <f>IF(ข้อมูลสูตร!$A323="","",ข้อมูลสูตร!K323)</f>
        <v>0</v>
      </c>
      <c r="K326" s="63">
        <f>IF(ข้อมูลสูตร!$A323="","",ข้อมูลสูตร!L323)</f>
        <v>0</v>
      </c>
      <c r="L326" s="63">
        <f>IF(ข้อมูลสูตร!$A323="","",ข้อมูลสูตร!M323)</f>
        <v>0</v>
      </c>
      <c r="M326" s="63">
        <f>IF(ข้อมูลสูตร!$A323="","",ข้อมูลสูตร!N323)</f>
        <v>0</v>
      </c>
      <c r="N326" s="63">
        <f>IF(ข้อมูลสูตร!$A323="","",ข้อมูลสูตร!O323)</f>
        <v>0</v>
      </c>
      <c r="O326" s="63">
        <f>IF(ข้อมูลสูตร!$A323="","",ข้อมูลสูตร!P323)</f>
        <v>0</v>
      </c>
      <c r="P326" s="63">
        <f>IF(ข้อมูลสูตร!$A323="","",ข้อมูลสูตร!Q323)</f>
        <v>0</v>
      </c>
      <c r="Q326" s="63">
        <f>IF(ข้อมูลสูตร!$A323="","",ข้อมูลสูตร!R323)</f>
        <v>0</v>
      </c>
      <c r="R326" s="63">
        <f>IF(ข้อมูลสูตร!$A323="","",ข้อมูลสูตร!S323)</f>
        <v>300</v>
      </c>
      <c r="S326" s="63">
        <f>IF(ข้อมูลสูตร!$A323="","",ข้อมูลสูตร!T323)</f>
        <v>0</v>
      </c>
      <c r="T326" s="63">
        <f>IF(ข้อมูลสูตร!$A323="","",ข้อมูลสูตร!U323)</f>
        <v>0</v>
      </c>
      <c r="U326" s="64">
        <f>IF(ข้อมูลสูตร!$A323="","",ข้อมูลสูตร!V323)</f>
        <v>255.1</v>
      </c>
      <c r="V326" s="8">
        <f>IF(ข้อมูลสูตร!$A323="","",ข้อมูลสูตร!W323)</f>
        <v>16.93</v>
      </c>
      <c r="W326" s="64">
        <f>IF(ข้อมูลสูตร!$A323="","",ข้อมูลสูตร!X323)</f>
        <v>55</v>
      </c>
      <c r="X326" s="23">
        <f>IF(ข้อมูลสูตร!$A323="","",ข้อมูลสูตร!Y323)</f>
        <v>0.69218181818181823</v>
      </c>
      <c r="Y326" s="48" t="str">
        <f>IF(ข้อมูลสูตร!$A323="","",ข้อมูลสูตร!Z323)</f>
        <v>[20 oz = 16 oz x 1.25] 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6" s="48" t="str">
        <f>ข้อมูลสูตร!$A323</f>
        <v>Green Latte|20 oz|25%</v>
      </c>
    </row>
    <row r="327" spans="1:26" x14ac:dyDescent="0.25">
      <c r="A327" s="4" t="str">
        <f>IF(ข้อมูลสูตร!$A324="","",ข้อมูลสูตร!B324)</f>
        <v>Green Latte</v>
      </c>
      <c r="B327" s="4" t="str">
        <f>IF(ข้อมูลสูตร!$A324="","",ข้อมูลสูตร!C324)</f>
        <v>20 oz</v>
      </c>
      <c r="C327" s="4" t="str">
        <f>IF(ข้อมูลสูตร!$A324="","",ข้อมูลสูตร!D324)</f>
        <v>50%</v>
      </c>
      <c r="D327" s="63">
        <f>IF(ข้อมูลสูตร!$A324="","",ข้อมูลสูตร!E324)</f>
        <v>0</v>
      </c>
      <c r="E327" s="63">
        <f>IF(ข้อมูลสูตร!$A324="","",ข้อมูลสูตร!F324)</f>
        <v>162.5</v>
      </c>
      <c r="F327" s="63">
        <f>IF(ข้อมูลสูตร!$A324="","",ข้อมูลสูตร!G324)</f>
        <v>34.200000000000003</v>
      </c>
      <c r="G327" s="63">
        <f>IF(ข้อมูลสูตร!$A324="","",ข้อมูลสูตร!H324)</f>
        <v>25</v>
      </c>
      <c r="H327" s="63">
        <f>IF(ข้อมูลสูตร!$A324="","",ข้อมูลสูตร!I324)</f>
        <v>0</v>
      </c>
      <c r="I327" s="63">
        <f>IF(ข้อมูลสูตร!$A324="","",ข้อมูลสูตร!J324)</f>
        <v>38.299999999999997</v>
      </c>
      <c r="J327" s="63">
        <f>IF(ข้อมูลสูตร!$A324="","",ข้อมูลสูตร!K324)</f>
        <v>0</v>
      </c>
      <c r="K327" s="63">
        <f>IF(ข้อมูลสูตร!$A324="","",ข้อมูลสูตร!L324)</f>
        <v>0</v>
      </c>
      <c r="L327" s="63">
        <f>IF(ข้อมูลสูตร!$A324="","",ข้อมูลสูตร!M324)</f>
        <v>0</v>
      </c>
      <c r="M327" s="63">
        <f>IF(ข้อมูลสูตร!$A324="","",ข้อมูลสูตร!N324)</f>
        <v>0</v>
      </c>
      <c r="N327" s="63">
        <f>IF(ข้อมูลสูตร!$A324="","",ข้อมูลสูตร!O324)</f>
        <v>0</v>
      </c>
      <c r="O327" s="63">
        <f>IF(ข้อมูลสูตร!$A324="","",ข้อมูลสูตร!P324)</f>
        <v>0</v>
      </c>
      <c r="P327" s="63">
        <f>IF(ข้อมูลสูตร!$A324="","",ข้อมูลสูตร!Q324)</f>
        <v>0</v>
      </c>
      <c r="Q327" s="63">
        <f>IF(ข้อมูลสูตร!$A324="","",ข้อมูลสูตร!R324)</f>
        <v>0</v>
      </c>
      <c r="R327" s="63">
        <f>IF(ข้อมูลสูตร!$A324="","",ข้อมูลสูตร!S324)</f>
        <v>300</v>
      </c>
      <c r="S327" s="63">
        <f>IF(ข้อมูลสูตร!$A324="","",ข้อมูลสูตร!T324)</f>
        <v>0</v>
      </c>
      <c r="T327" s="63">
        <f>IF(ข้อมูลสูตร!$A324="","",ข้อมูลสูตร!U324)</f>
        <v>0</v>
      </c>
      <c r="U327" s="64">
        <f>IF(ข้อมูลสูตร!$A324="","",ข้อมูลสูตร!V324)</f>
        <v>260</v>
      </c>
      <c r="V327" s="8">
        <f>IF(ข้อมูลสูตร!$A324="","",ข้อมูลสูตร!W324)</f>
        <v>16.89</v>
      </c>
      <c r="W327" s="64">
        <f>IF(ข้อมูลสูตร!$A324="","",ข้อมูลสูตร!X324)</f>
        <v>55</v>
      </c>
      <c r="X327" s="23">
        <f>IF(ข้อมูลสูตร!$A324="","",ข้อมูลสูตร!Y324)</f>
        <v>0.69290909090909092</v>
      </c>
      <c r="Y327" s="48" t="str">
        <f>IF(ข้อมูลสูตร!$A324="","",ข้อมูลสูตร!Z324)</f>
        <v>[20 oz = 16 oz x 1.25] 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7" s="48" t="str">
        <f>ข้อมูลสูตร!$A324</f>
        <v>Green Latte|20 oz|50%</v>
      </c>
    </row>
    <row r="328" spans="1:26" x14ac:dyDescent="0.25">
      <c r="A328" s="4" t="str">
        <f>IF(ข้อมูลสูตร!$A325="","",ข้อมูลสูตร!B325)</f>
        <v>Green Latte</v>
      </c>
      <c r="B328" s="4" t="str">
        <f>IF(ข้อมูลสูตร!$A325="","",ข้อมูลสูตร!C325)</f>
        <v>20 oz</v>
      </c>
      <c r="C328" s="4" t="str">
        <f>IF(ข้อมูลสูตร!$A325="","",ข้อมูลสูตร!D325)</f>
        <v>75%</v>
      </c>
      <c r="D328" s="63">
        <f>IF(ข้อมูลสูตร!$A325="","",ข้อมูลสูตร!E325)</f>
        <v>0</v>
      </c>
      <c r="E328" s="63">
        <f>IF(ข้อมูลสูตร!$A325="","",ข้อมูลสูตร!F325)</f>
        <v>162.5</v>
      </c>
      <c r="F328" s="63">
        <f>IF(ข้อมูลสูตร!$A325="","",ข้อมูลสูตร!G325)</f>
        <v>30.5</v>
      </c>
      <c r="G328" s="63">
        <f>IF(ข้อมูลสูตร!$A325="","",ข้อมูลสูตร!H325)</f>
        <v>25</v>
      </c>
      <c r="H328" s="63">
        <f>IF(ข้อมูลสูตร!$A325="","",ข้อมูลสูตร!I325)</f>
        <v>0</v>
      </c>
      <c r="I328" s="63">
        <f>IF(ข้อมูลสูตร!$A325="","",ข้อมูลสูตร!J325)</f>
        <v>47.1</v>
      </c>
      <c r="J328" s="63">
        <f>IF(ข้อมูลสูตร!$A325="","",ข้อมูลสูตร!K325)</f>
        <v>0</v>
      </c>
      <c r="K328" s="63">
        <f>IF(ข้อมูลสูตร!$A325="","",ข้อมูลสูตร!L325)</f>
        <v>0</v>
      </c>
      <c r="L328" s="63">
        <f>IF(ข้อมูลสูตร!$A325="","",ข้อมูลสูตร!M325)</f>
        <v>0</v>
      </c>
      <c r="M328" s="63">
        <f>IF(ข้อมูลสูตร!$A325="","",ข้อมูลสูตร!N325)</f>
        <v>0</v>
      </c>
      <c r="N328" s="63">
        <f>IF(ข้อมูลสูตร!$A325="","",ข้อมูลสูตร!O325)</f>
        <v>0</v>
      </c>
      <c r="O328" s="63">
        <f>IF(ข้อมูลสูตร!$A325="","",ข้อมูลสูตร!P325)</f>
        <v>0</v>
      </c>
      <c r="P328" s="63">
        <f>IF(ข้อมูลสูตร!$A325="","",ข้อมูลสูตร!Q325)</f>
        <v>0</v>
      </c>
      <c r="Q328" s="63">
        <f>IF(ข้อมูลสูตร!$A325="","",ข้อมูลสูตร!R325)</f>
        <v>0</v>
      </c>
      <c r="R328" s="63">
        <f>IF(ข้อมูลสูตร!$A325="","",ข้อมูลสูตร!S325)</f>
        <v>300</v>
      </c>
      <c r="S328" s="63">
        <f>IF(ข้อมูลสูตร!$A325="","",ข้อมูลสูตร!T325)</f>
        <v>0</v>
      </c>
      <c r="T328" s="63">
        <f>IF(ข้อมูลสูตร!$A325="","",ข้อมูลสูตร!U325)</f>
        <v>0</v>
      </c>
      <c r="U328" s="64">
        <f>IF(ข้อมูลสูตร!$A325="","",ข้อมูลสูตร!V325)</f>
        <v>265.10000000000002</v>
      </c>
      <c r="V328" s="8">
        <f>IF(ข้อมูลสูตร!$A325="","",ข้อมูลสูตร!W325)</f>
        <v>16.86</v>
      </c>
      <c r="W328" s="64">
        <f>IF(ข้อมูลสูตร!$A325="","",ข้อมูลสูตร!X325)</f>
        <v>55</v>
      </c>
      <c r="X328" s="23">
        <f>IF(ข้อมูลสูตร!$A325="","",ข้อมูลสูตร!Y325)</f>
        <v>0.69345454545454543</v>
      </c>
      <c r="Y328" s="48" t="str">
        <f>IF(ข้อมูลสูตร!$A325="","",ข้อมูลสูตร!Z325)</f>
        <v>[20 oz = 16 oz x 1.25] 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8" s="48" t="str">
        <f>ข้อมูลสูตร!$A325</f>
        <v>Green Latte|20 oz|75%</v>
      </c>
    </row>
    <row r="329" spans="1:26" x14ac:dyDescent="0.25">
      <c r="A329" s="4" t="str">
        <f>IF(ข้อมูลสูตร!$A326="","",ข้อมูลสูตร!B326)</f>
        <v>Green Latte</v>
      </c>
      <c r="B329" s="4" t="str">
        <f>IF(ข้อมูลสูตร!$A326="","",ข้อมูลสูตร!C326)</f>
        <v>20 oz</v>
      </c>
      <c r="C329" s="4" t="str">
        <f>IF(ข้อมูลสูตร!$A326="","",ข้อมูลสูตร!D326)</f>
        <v>100%</v>
      </c>
      <c r="D329" s="63">
        <f>IF(ข้อมูลสูตร!$A326="","",ข้อมูลสูตร!E326)</f>
        <v>0</v>
      </c>
      <c r="E329" s="63">
        <f>IF(ข้อมูลสูตร!$A326="","",ข้อมูลสูตร!F326)</f>
        <v>162.5</v>
      </c>
      <c r="F329" s="63">
        <f>IF(ข้อมูลสูตร!$A326="","",ข้อมูลสูตร!G326)</f>
        <v>26.7</v>
      </c>
      <c r="G329" s="63">
        <f>IF(ข้อมูลสูตร!$A326="","",ข้อมูลสูตร!H326)</f>
        <v>25</v>
      </c>
      <c r="H329" s="63">
        <f>IF(ข้อมูลสูตร!$A326="","",ข้อมูลสูตร!I326)</f>
        <v>0</v>
      </c>
      <c r="I329" s="63">
        <f>IF(ข้อมูลสูตร!$A326="","",ข้อมูลสูตร!J326)</f>
        <v>55.8</v>
      </c>
      <c r="J329" s="63">
        <f>IF(ข้อมูลสูตร!$A326="","",ข้อมูลสูตร!K326)</f>
        <v>0</v>
      </c>
      <c r="K329" s="63">
        <f>IF(ข้อมูลสูตร!$A326="","",ข้อมูลสูตร!L326)</f>
        <v>0</v>
      </c>
      <c r="L329" s="63">
        <f>IF(ข้อมูลสูตร!$A326="","",ข้อมูลสูตร!M326)</f>
        <v>0</v>
      </c>
      <c r="M329" s="63">
        <f>IF(ข้อมูลสูตร!$A326="","",ข้อมูลสูตร!N326)</f>
        <v>0</v>
      </c>
      <c r="N329" s="63">
        <f>IF(ข้อมูลสูตร!$A326="","",ข้อมูลสูตร!O326)</f>
        <v>0</v>
      </c>
      <c r="O329" s="63">
        <f>IF(ข้อมูลสูตร!$A326="","",ข้อมูลสูตร!P326)</f>
        <v>0</v>
      </c>
      <c r="P329" s="63">
        <f>IF(ข้อมูลสูตร!$A326="","",ข้อมูลสูตร!Q326)</f>
        <v>0</v>
      </c>
      <c r="Q329" s="63">
        <f>IF(ข้อมูลสูตร!$A326="","",ข้อมูลสูตร!R326)</f>
        <v>0</v>
      </c>
      <c r="R329" s="63">
        <f>IF(ข้อมูลสูตร!$A326="","",ข้อมูลสูตร!S326)</f>
        <v>300</v>
      </c>
      <c r="S329" s="63">
        <f>IF(ข้อมูลสูตร!$A326="","",ข้อมูลสูตร!T326)</f>
        <v>0</v>
      </c>
      <c r="T329" s="63">
        <f>IF(ข้อมูลสูตร!$A326="","",ข้อมูลสูตร!U326)</f>
        <v>0</v>
      </c>
      <c r="U329" s="64">
        <f>IF(ข้อมูลสูตร!$A326="","",ข้อมูลสูตร!V326)</f>
        <v>270</v>
      </c>
      <c r="V329" s="8">
        <f>IF(ข้อมูลสูตร!$A326="","",ข้อมูลสูตร!W326)</f>
        <v>16.82</v>
      </c>
      <c r="W329" s="64">
        <f>IF(ข้อมูลสูตร!$A326="","",ข้อมูลสูตร!X326)</f>
        <v>55</v>
      </c>
      <c r="X329" s="23">
        <f>IF(ข้อมูลสูตร!$A326="","",ข้อมูลสูตร!Y326)</f>
        <v>0.69418181818181812</v>
      </c>
      <c r="Y329" s="48" t="str">
        <f>IF(ข้อมูลสูตร!$A326="","",ข้อมูลสูตร!Z326)</f>
        <v>[20 oz = 16 oz x 1.25] เมนูใหม่ (ชาเขียว) — สเกลตามแพทเทิร์น Latte · รอบ 7: เบสชาเขียวไม่มีน้ำตาลแล้ว จึงเติมน้ำเชื่อม 1:1 ชดเชย = 0.128 × ปริมาณเบสชาเขียว และลด นมสด ลงเท่ากัน เพื่อคุมปริมาตรแก้วให้เท่าเดิม</v>
      </c>
      <c r="Z329" s="48" t="str">
        <f>ข้อมูลสูตร!$A326</f>
        <v>Green Latte|20 oz|100%</v>
      </c>
    </row>
    <row r="330" spans="1:26" x14ac:dyDescent="0.25">
      <c r="A330" s="4" t="str">
        <f>IF(ข้อมูลสูตร!$A327="","",ข้อมูลสูตร!B327)</f>
        <v>Green Lemon Tea</v>
      </c>
      <c r="B330" s="4" t="str">
        <f>IF(ข้อมูลสูตร!$A327="","",ข้อมูลสูตร!C327)</f>
        <v>20 oz</v>
      </c>
      <c r="C330" s="4" t="str">
        <f>IF(ข้อมูลสูตร!$A327="","",ข้อมูลสูตร!D327)</f>
        <v>0%</v>
      </c>
      <c r="D330" s="63">
        <f>IF(ข้อมูลสูตร!$A327="","",ข้อมูลสูตร!E327)</f>
        <v>0</v>
      </c>
      <c r="E330" s="63">
        <f>IF(ข้อมูลสูตร!$A327="","",ข้อมูลสูตร!F327)</f>
        <v>206.3</v>
      </c>
      <c r="F330" s="63">
        <f>IF(ข้อมูลสูตร!$A327="","",ข้อมูลสูตร!G327)</f>
        <v>0</v>
      </c>
      <c r="G330" s="63">
        <f>IF(ข้อมูลสูตร!$A327="","",ข้อมูลสูตร!H327)</f>
        <v>0</v>
      </c>
      <c r="H330" s="63">
        <f>IF(ข้อมูลสูตร!$A327="","",ข้อมูลสูตร!I327)</f>
        <v>0</v>
      </c>
      <c r="I330" s="63">
        <f>IF(ข้อมูลสูตร!$A327="","",ข้อมูลสูตร!J327)</f>
        <v>0</v>
      </c>
      <c r="J330" s="63">
        <f>IF(ข้อมูลสูตร!$A327="","",ข้อมูลสูตร!K327)</f>
        <v>0</v>
      </c>
      <c r="K330" s="63">
        <f>IF(ข้อมูลสูตร!$A327="","",ข้อมูลสูตร!L327)</f>
        <v>0</v>
      </c>
      <c r="L330" s="63">
        <f>IF(ข้อมูลสูตร!$A327="","",ข้อมูลสูตร!M327)</f>
        <v>0</v>
      </c>
      <c r="M330" s="63">
        <f>IF(ข้อมูลสูตร!$A327="","",ข้อมูลสูตร!N327)</f>
        <v>0</v>
      </c>
      <c r="N330" s="63">
        <f>IF(ข้อมูลสูตร!$A327="","",ข้อมูลสูตร!O327)</f>
        <v>0</v>
      </c>
      <c r="O330" s="63">
        <f>IF(ข้อมูลสูตร!$A327="","",ข้อมูลสูตร!P327)</f>
        <v>18.8</v>
      </c>
      <c r="P330" s="63">
        <f>IF(ข้อมูลสูตร!$A327="","",ข้อมูลสูตร!Q327)</f>
        <v>0</v>
      </c>
      <c r="Q330" s="63">
        <f>IF(ข้อมูลสูตร!$A327="","",ข้อมูลสูตร!R327)</f>
        <v>0</v>
      </c>
      <c r="R330" s="63">
        <f>IF(ข้อมูลสูตร!$A327="","",ข้อมูลสูตร!S327)</f>
        <v>300</v>
      </c>
      <c r="S330" s="63">
        <f>IF(ข้อมูลสูตร!$A327="","",ข้อมูลสูตร!T327)</f>
        <v>0</v>
      </c>
      <c r="T330" s="63">
        <f>IF(ข้อมูลสูตร!$A327="","",ข้อมูลสูตร!U327)</f>
        <v>0</v>
      </c>
      <c r="U330" s="64">
        <f>IF(ข้อมูลสูตร!$A327="","",ข้อมูลสูตร!V327)</f>
        <v>225.10000000000002</v>
      </c>
      <c r="V330" s="8">
        <f>IF(ข้อมูลสูตร!$A327="","",ข้อมูลสูตร!W327)</f>
        <v>18.329999999999998</v>
      </c>
      <c r="W330" s="64">
        <f>IF(ข้อมูลสูตร!$A327="","",ข้อมูลสูตร!X327)</f>
        <v>49</v>
      </c>
      <c r="X330" s="23">
        <f>IF(ข้อมูลสูตร!$A327="","",ข้อมูลสูตร!Y327)</f>
        <v>0.62591836734693884</v>
      </c>
      <c r="Y330" s="48" t="str">
        <f>IF(ข้อมูลสูตร!$A327="","",ข้อมูลสูตร!Z327)</f>
        <v>[20 oz = 16 oz x 1.25] เมนูใหม่ (ชาเขียว) — เรียบเรียงจากสูตรเว็บ/โซเชียล สเกลตามแพทเทิร์น Lemon Tea (ดูแหล่งที่มาใน comment B172)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30" s="48" t="str">
        <f>ข้อมูลสูตร!$A327</f>
        <v>Green Lemon Tea|20 oz|0%</v>
      </c>
    </row>
    <row r="331" spans="1:26" x14ac:dyDescent="0.25">
      <c r="A331" s="4" t="str">
        <f>IF(ข้อมูลสูตร!$A328="","",ข้อมูลสูตร!B328)</f>
        <v>Green Lemon Tea</v>
      </c>
      <c r="B331" s="4" t="str">
        <f>IF(ข้อมูลสูตร!$A328="","",ข้อมูลสูตร!C328)</f>
        <v>20 oz</v>
      </c>
      <c r="C331" s="4" t="str">
        <f>IF(ข้อมูลสูตร!$A328="","",ข้อมูลสูตร!D328)</f>
        <v>25%</v>
      </c>
      <c r="D331" s="63">
        <f>IF(ข้อมูลสูตร!$A328="","",ข้อมูลสูตร!E328)</f>
        <v>0</v>
      </c>
      <c r="E331" s="63">
        <f>IF(ข้อมูลสูตร!$A328="","",ข้อมูลสูตร!F328)</f>
        <v>182.9</v>
      </c>
      <c r="F331" s="63">
        <f>IF(ข้อมูลสูตร!$A328="","",ข้อมูลสูตร!G328)</f>
        <v>0</v>
      </c>
      <c r="G331" s="63">
        <f>IF(ข้อมูลสูตร!$A328="","",ข้อมูลสูตร!H328)</f>
        <v>0</v>
      </c>
      <c r="H331" s="63">
        <f>IF(ข้อมูลสูตร!$A328="","",ข้อมูลสูตร!I328)</f>
        <v>0</v>
      </c>
      <c r="I331" s="63">
        <f>IF(ข้อมูลสูตร!$A328="","",ข้อมูลสูตร!J328)</f>
        <v>33.4</v>
      </c>
      <c r="J331" s="63">
        <f>IF(ข้อมูลสูตร!$A328="","",ข้อมูลสูตร!K328)</f>
        <v>0</v>
      </c>
      <c r="K331" s="63">
        <f>IF(ข้อมูลสูตร!$A328="","",ข้อมูลสูตร!L328)</f>
        <v>0</v>
      </c>
      <c r="L331" s="63">
        <f>IF(ข้อมูลสูตร!$A328="","",ข้อมูลสูตร!M328)</f>
        <v>0</v>
      </c>
      <c r="M331" s="63">
        <f>IF(ข้อมูลสูตร!$A328="","",ข้อมูลสูตร!N328)</f>
        <v>0</v>
      </c>
      <c r="N331" s="63">
        <f>IF(ข้อมูลสูตร!$A328="","",ข้อมูลสูตร!O328)</f>
        <v>0</v>
      </c>
      <c r="O331" s="63">
        <f>IF(ข้อมูลสูตร!$A328="","",ข้อมูลสูตร!P328)</f>
        <v>18.8</v>
      </c>
      <c r="P331" s="63">
        <f>IF(ข้อมูลสูตร!$A328="","",ข้อมูลสูตร!Q328)</f>
        <v>0</v>
      </c>
      <c r="Q331" s="63">
        <f>IF(ข้อมูลสูตร!$A328="","",ข้อมูลสูตร!R328)</f>
        <v>0</v>
      </c>
      <c r="R331" s="63">
        <f>IF(ข้อมูลสูตร!$A328="","",ข้อมูลสูตร!S328)</f>
        <v>300</v>
      </c>
      <c r="S331" s="63">
        <f>IF(ข้อมูลสูตร!$A328="","",ข้อมูลสูตร!T328)</f>
        <v>0</v>
      </c>
      <c r="T331" s="63">
        <f>IF(ข้อมูลสูตร!$A328="","",ข้อมูลสูตร!U328)</f>
        <v>0</v>
      </c>
      <c r="U331" s="64">
        <f>IF(ข้อมูลสูตร!$A328="","",ข้อมูลสูตร!V328)</f>
        <v>235.10000000000002</v>
      </c>
      <c r="V331" s="8">
        <f>IF(ข้อมูลสูตร!$A328="","",ข้อมูลสูตร!W328)</f>
        <v>18.32</v>
      </c>
      <c r="W331" s="64">
        <f>IF(ข้อมูลสูตร!$A328="","",ข้อมูลสูตร!X328)</f>
        <v>49</v>
      </c>
      <c r="X331" s="23">
        <f>IF(ข้อมูลสูตร!$A328="","",ข้อมูลสูตร!Y328)</f>
        <v>0.62612244897959179</v>
      </c>
      <c r="Y331" s="48" t="str">
        <f>IF(ข้อมูลสูตร!$A328="","",ข้อมูลสูตร!Z328)</f>
        <v>[20 oz = 16 oz x 1.25] 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1" s="48" t="str">
        <f>ข้อมูลสูตร!$A328</f>
        <v>Green Lemon Tea|20 oz|25%</v>
      </c>
    </row>
    <row r="332" spans="1:26" x14ac:dyDescent="0.25">
      <c r="A332" s="4" t="str">
        <f>IF(ข้อมูลสูตร!$A329="","",ข้อมูลสูตร!B329)</f>
        <v>Green Lemon Tea</v>
      </c>
      <c r="B332" s="4" t="str">
        <f>IF(ข้อมูลสูตร!$A329="","",ข้อมูลสูตร!C329)</f>
        <v>20 oz</v>
      </c>
      <c r="C332" s="4" t="str">
        <f>IF(ข้อมูลสูตร!$A329="","",ข้อมูลสูตร!D329)</f>
        <v>50%</v>
      </c>
      <c r="D332" s="63">
        <f>IF(ข้อมูลสูตร!$A329="","",ข้อมูลสูตร!E329)</f>
        <v>0</v>
      </c>
      <c r="E332" s="63">
        <f>IF(ข้อมูลสูตร!$A329="","",ข้อมูลสูตร!F329)</f>
        <v>182.9</v>
      </c>
      <c r="F332" s="63">
        <f>IF(ข้อมูลสูตร!$A329="","",ข้อมูลสูตร!G329)</f>
        <v>0</v>
      </c>
      <c r="G332" s="63">
        <f>IF(ข้อมูลสูตร!$A329="","",ข้อมูลสูตร!H329)</f>
        <v>0</v>
      </c>
      <c r="H332" s="63">
        <f>IF(ข้อมูลสูตร!$A329="","",ข้อมูลสูตร!I329)</f>
        <v>0</v>
      </c>
      <c r="I332" s="63">
        <f>IF(ข้อมูลสูตร!$A329="","",ข้อมูลสูตร!J329)</f>
        <v>43.4</v>
      </c>
      <c r="J332" s="63">
        <f>IF(ข้อมูลสูตร!$A329="","",ข้อมูลสูตร!K329)</f>
        <v>0</v>
      </c>
      <c r="K332" s="63">
        <f>IF(ข้อมูลสูตร!$A329="","",ข้อมูลสูตร!L329)</f>
        <v>0</v>
      </c>
      <c r="L332" s="63">
        <f>IF(ข้อมูลสูตร!$A329="","",ข้อมูลสูตร!M329)</f>
        <v>0</v>
      </c>
      <c r="M332" s="63">
        <f>IF(ข้อมูลสูตร!$A329="","",ข้อมูลสูตร!N329)</f>
        <v>0</v>
      </c>
      <c r="N332" s="63">
        <f>IF(ข้อมูลสูตร!$A329="","",ข้อมูลสูตร!O329)</f>
        <v>0</v>
      </c>
      <c r="O332" s="63">
        <f>IF(ข้อมูลสูตร!$A329="","",ข้อมูลสูตร!P329)</f>
        <v>18.8</v>
      </c>
      <c r="P332" s="63">
        <f>IF(ข้อมูลสูตร!$A329="","",ข้อมูลสูตร!Q329)</f>
        <v>0</v>
      </c>
      <c r="Q332" s="63">
        <f>IF(ข้อมูลสูตร!$A329="","",ข้อมูลสูตร!R329)</f>
        <v>0</v>
      </c>
      <c r="R332" s="63">
        <f>IF(ข้อมูลสูตร!$A329="","",ข้อมูลสูตร!S329)</f>
        <v>300</v>
      </c>
      <c r="S332" s="63">
        <f>IF(ข้อมูลสูตร!$A329="","",ข้อมูลสูตร!T329)</f>
        <v>0</v>
      </c>
      <c r="T332" s="63">
        <f>IF(ข้อมูลสูตร!$A329="","",ข้อมูลสูตร!U329)</f>
        <v>0</v>
      </c>
      <c r="U332" s="64">
        <f>IF(ข้อมูลสูตร!$A329="","",ข้อมูลสูตร!V329)</f>
        <v>245.10000000000002</v>
      </c>
      <c r="V332" s="8">
        <f>IF(ข้อมูลสูตร!$A329="","",ข้อมูลสูตร!W329)</f>
        <v>18.489999999999998</v>
      </c>
      <c r="W332" s="64">
        <f>IF(ข้อมูลสูตร!$A329="","",ข้อมูลสูตร!X329)</f>
        <v>49</v>
      </c>
      <c r="X332" s="23">
        <f>IF(ข้อมูลสูตร!$A329="","",ข้อมูลสูตร!Y329)</f>
        <v>0.62265306122448982</v>
      </c>
      <c r="Y332" s="48" t="str">
        <f>IF(ข้อมูลสูตร!$A329="","",ข้อมูลสูตร!Z329)</f>
        <v>[20 oz = 16 oz x 1.25] 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2" s="48" t="str">
        <f>ข้อมูลสูตร!$A329</f>
        <v>Green Lemon Tea|20 oz|50%</v>
      </c>
    </row>
    <row r="333" spans="1:26" x14ac:dyDescent="0.25">
      <c r="A333" s="4" t="str">
        <f>IF(ข้อมูลสูตร!$A330="","",ข้อมูลสูตร!B330)</f>
        <v>Green Lemon Tea</v>
      </c>
      <c r="B333" s="4" t="str">
        <f>IF(ข้อมูลสูตร!$A330="","",ข้อมูลสูตร!C330)</f>
        <v>20 oz</v>
      </c>
      <c r="C333" s="4" t="str">
        <f>IF(ข้อมูลสูตร!$A330="","",ข้อมูลสูตร!D330)</f>
        <v>75%</v>
      </c>
      <c r="D333" s="63">
        <f>IF(ข้อมูลสูตร!$A330="","",ข้อมูลสูตร!E330)</f>
        <v>0</v>
      </c>
      <c r="E333" s="63">
        <f>IF(ข้อมูลสูตร!$A330="","",ข้อมูลสูตร!F330)</f>
        <v>182.9</v>
      </c>
      <c r="F333" s="63">
        <f>IF(ข้อมูลสูตร!$A330="","",ข้อมูลสูตร!G330)</f>
        <v>0</v>
      </c>
      <c r="G333" s="63">
        <f>IF(ข้อมูลสูตร!$A330="","",ข้อมูลสูตร!H330)</f>
        <v>0</v>
      </c>
      <c r="H333" s="63">
        <f>IF(ข้อมูลสูตร!$A330="","",ข้อมูลสูตร!I330)</f>
        <v>0</v>
      </c>
      <c r="I333" s="63">
        <f>IF(ข้อมูลสูตร!$A330="","",ข้อมูลสูตร!J330)</f>
        <v>53.4</v>
      </c>
      <c r="J333" s="63">
        <f>IF(ข้อมูลสูตร!$A330="","",ข้อมูลสูตร!K330)</f>
        <v>0</v>
      </c>
      <c r="K333" s="63">
        <f>IF(ข้อมูลสูตร!$A330="","",ข้อมูลสูตร!L330)</f>
        <v>0</v>
      </c>
      <c r="L333" s="63">
        <f>IF(ข้อมูลสูตร!$A330="","",ข้อมูลสูตร!M330)</f>
        <v>0</v>
      </c>
      <c r="M333" s="63">
        <f>IF(ข้อมูลสูตร!$A330="","",ข้อมูลสูตร!N330)</f>
        <v>0</v>
      </c>
      <c r="N333" s="63">
        <f>IF(ข้อมูลสูตร!$A330="","",ข้อมูลสูตร!O330)</f>
        <v>0</v>
      </c>
      <c r="O333" s="63">
        <f>IF(ข้อมูลสูตร!$A330="","",ข้อมูลสูตร!P330)</f>
        <v>18.8</v>
      </c>
      <c r="P333" s="63">
        <f>IF(ข้อมูลสูตร!$A330="","",ข้อมูลสูตร!Q330)</f>
        <v>0</v>
      </c>
      <c r="Q333" s="63">
        <f>IF(ข้อมูลสูตร!$A330="","",ข้อมูลสูตร!R330)</f>
        <v>0</v>
      </c>
      <c r="R333" s="63">
        <f>IF(ข้อมูลสูตร!$A330="","",ข้อมูลสูตร!S330)</f>
        <v>300</v>
      </c>
      <c r="S333" s="63">
        <f>IF(ข้อมูลสูตร!$A330="","",ข้อมูลสูตร!T330)</f>
        <v>0</v>
      </c>
      <c r="T333" s="63">
        <f>IF(ข้อมูลสูตร!$A330="","",ข้อมูลสูตร!U330)</f>
        <v>0</v>
      </c>
      <c r="U333" s="64">
        <f>IF(ข้อมูลสูตร!$A330="","",ข้อมูลสูตร!V330)</f>
        <v>255.10000000000002</v>
      </c>
      <c r="V333" s="8">
        <f>IF(ข้อมูลสูตร!$A330="","",ข้อมูลสูตร!W330)</f>
        <v>18.66</v>
      </c>
      <c r="W333" s="64">
        <f>IF(ข้อมูลสูตร!$A330="","",ข้อมูลสูตร!X330)</f>
        <v>49</v>
      </c>
      <c r="X333" s="23">
        <f>IF(ข้อมูลสูตร!$A330="","",ข้อมูลสูตร!Y330)</f>
        <v>0.61918367346938774</v>
      </c>
      <c r="Y333" s="48" t="str">
        <f>IF(ข้อมูลสูตร!$A330="","",ข้อมูลสูตร!Z330)</f>
        <v>[20 oz = 16 oz x 1.25] 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3" s="48" t="str">
        <f>ข้อมูลสูตร!$A330</f>
        <v>Green Lemon Tea|20 oz|75%</v>
      </c>
    </row>
    <row r="334" spans="1:26" x14ac:dyDescent="0.25">
      <c r="A334" s="4" t="str">
        <f>IF(ข้อมูลสูตร!$A331="","",ข้อมูลสูตร!B331)</f>
        <v>Green Lemon Tea</v>
      </c>
      <c r="B334" s="4" t="str">
        <f>IF(ข้อมูลสูตร!$A331="","",ข้อมูลสูตร!C331)</f>
        <v>20 oz</v>
      </c>
      <c r="C334" s="4" t="str">
        <f>IF(ข้อมูลสูตร!$A331="","",ข้อมูลสูตร!D331)</f>
        <v>100%</v>
      </c>
      <c r="D334" s="63">
        <f>IF(ข้อมูลสูตร!$A331="","",ข้อมูลสูตร!E331)</f>
        <v>0</v>
      </c>
      <c r="E334" s="63">
        <f>IF(ข้อมูลสูตร!$A331="","",ข้อมูลสูตร!F331)</f>
        <v>182.9</v>
      </c>
      <c r="F334" s="63">
        <f>IF(ข้อมูลสูตร!$A331="","",ข้อมูลสูตร!G331)</f>
        <v>0</v>
      </c>
      <c r="G334" s="63">
        <f>IF(ข้อมูลสูตร!$A331="","",ข้อมูลสูตร!H331)</f>
        <v>0</v>
      </c>
      <c r="H334" s="63">
        <f>IF(ข้อมูลสูตร!$A331="","",ข้อมูลสูตร!I331)</f>
        <v>0</v>
      </c>
      <c r="I334" s="63">
        <f>IF(ข้อมูลสูตร!$A331="","",ข้อมูลสูตร!J331)</f>
        <v>63.4</v>
      </c>
      <c r="J334" s="63">
        <f>IF(ข้อมูลสูตร!$A331="","",ข้อมูลสูตร!K331)</f>
        <v>0</v>
      </c>
      <c r="K334" s="63">
        <f>IF(ข้อมูลสูตร!$A331="","",ข้อมูลสูตร!L331)</f>
        <v>0</v>
      </c>
      <c r="L334" s="63">
        <f>IF(ข้อมูลสูตร!$A331="","",ข้อมูลสูตร!M331)</f>
        <v>0</v>
      </c>
      <c r="M334" s="63">
        <f>IF(ข้อมูลสูตร!$A331="","",ข้อมูลสูตร!N331)</f>
        <v>0</v>
      </c>
      <c r="N334" s="63">
        <f>IF(ข้อมูลสูตร!$A331="","",ข้อมูลสูตร!O331)</f>
        <v>0</v>
      </c>
      <c r="O334" s="63">
        <f>IF(ข้อมูลสูตร!$A331="","",ข้อมูลสูตร!P331)</f>
        <v>18.8</v>
      </c>
      <c r="P334" s="63">
        <f>IF(ข้อมูลสูตร!$A331="","",ข้อมูลสูตร!Q331)</f>
        <v>0</v>
      </c>
      <c r="Q334" s="63">
        <f>IF(ข้อมูลสูตร!$A331="","",ข้อมูลสูตร!R331)</f>
        <v>0</v>
      </c>
      <c r="R334" s="63">
        <f>IF(ข้อมูลสูตร!$A331="","",ข้อมูลสูตร!S331)</f>
        <v>300</v>
      </c>
      <c r="S334" s="63">
        <f>IF(ข้อมูลสูตร!$A331="","",ข้อมูลสูตร!T331)</f>
        <v>0</v>
      </c>
      <c r="T334" s="63">
        <f>IF(ข้อมูลสูตร!$A331="","",ข้อมูลสูตร!U331)</f>
        <v>0</v>
      </c>
      <c r="U334" s="64">
        <f>IF(ข้อมูลสูตร!$A331="","",ข้อมูลสูตร!V331)</f>
        <v>265.10000000000002</v>
      </c>
      <c r="V334" s="8">
        <f>IF(ข้อมูลสูตร!$A331="","",ข้อมูลสูตร!W331)</f>
        <v>18.82</v>
      </c>
      <c r="W334" s="64">
        <f>IF(ข้อมูลสูตร!$A331="","",ข้อมูลสูตร!X331)</f>
        <v>49</v>
      </c>
      <c r="X334" s="23">
        <f>IF(ข้อมูลสูตร!$A331="","",ข้อมูลสูตร!Y331)</f>
        <v>0.61591836734693872</v>
      </c>
      <c r="Y334" s="48" t="str">
        <f>IF(ข้อมูลสูตร!$A331="","",ข้อมูลสูตร!Z331)</f>
        <v>[20 oz = 16 oz x 1.25] เมนูใหม่ (ชาเขียว) — สเกลตามแพทเทิร์น Lemon Tea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4" s="48" t="str">
        <f>ข้อมูลสูตร!$A331</f>
        <v>Green Lemon Tea|20 oz|100%</v>
      </c>
    </row>
    <row r="335" spans="1:26" x14ac:dyDescent="0.25">
      <c r="A335" s="4" t="str">
        <f>IF(ข้อมูลสูตร!$A332="","",ข้อมูลสูตร!B332)</f>
        <v>Green Honey Lemon</v>
      </c>
      <c r="B335" s="4" t="str">
        <f>IF(ข้อมูลสูตร!$A332="","",ข้อมูลสูตร!C332)</f>
        <v>20 oz</v>
      </c>
      <c r="C335" s="4" t="str">
        <f>IF(ข้อมูลสูตร!$A332="","",ข้อมูลสูตร!D332)</f>
        <v>0%</v>
      </c>
      <c r="D335" s="63">
        <f>IF(ข้อมูลสูตร!$A332="","",ข้อมูลสูตร!E332)</f>
        <v>0</v>
      </c>
      <c r="E335" s="63">
        <f>IF(ข้อมูลสูตร!$A332="","",ข้อมูลสูตร!F332)</f>
        <v>206.3</v>
      </c>
      <c r="F335" s="63">
        <f>IF(ข้อมูลสูตร!$A332="","",ข้อมูลสูตร!G332)</f>
        <v>0</v>
      </c>
      <c r="G335" s="63">
        <f>IF(ข้อมูลสูตร!$A332="","",ข้อมูลสูตร!H332)</f>
        <v>0</v>
      </c>
      <c r="H335" s="63">
        <f>IF(ข้อมูลสูตร!$A332="","",ข้อมูลสูตร!I332)</f>
        <v>0</v>
      </c>
      <c r="I335" s="63">
        <f>IF(ข้อมูลสูตร!$A332="","",ข้อมูลสูตร!J332)</f>
        <v>0</v>
      </c>
      <c r="J335" s="63">
        <f>IF(ข้อมูลสูตร!$A332="","",ข้อมูลสูตร!K332)</f>
        <v>0</v>
      </c>
      <c r="K335" s="63">
        <f>IF(ข้อมูลสูตร!$A332="","",ข้อมูลสูตร!L332)</f>
        <v>0</v>
      </c>
      <c r="L335" s="63">
        <f>IF(ข้อมูลสูตร!$A332="","",ข้อมูลสูตร!M332)</f>
        <v>0</v>
      </c>
      <c r="M335" s="63">
        <f>IF(ข้อมูลสูตร!$A332="","",ข้อมูลสูตร!N332)</f>
        <v>0</v>
      </c>
      <c r="N335" s="63">
        <f>IF(ข้อมูลสูตร!$A332="","",ข้อมูลสูตร!O332)</f>
        <v>0</v>
      </c>
      <c r="O335" s="63">
        <f>IF(ข้อมูลสูตร!$A332="","",ข้อมูลสูตร!P332)</f>
        <v>18.8</v>
      </c>
      <c r="P335" s="63">
        <f>IF(ข้อมูลสูตร!$A332="","",ข้อมูลสูตร!Q332)</f>
        <v>0</v>
      </c>
      <c r="Q335" s="63">
        <f>IF(ข้อมูลสูตร!$A332="","",ข้อมูลสูตร!R332)</f>
        <v>0</v>
      </c>
      <c r="R335" s="63">
        <f>IF(ข้อมูลสูตร!$A332="","",ข้อมูลสูตร!S332)</f>
        <v>300</v>
      </c>
      <c r="S335" s="63">
        <f>IF(ข้อมูลสูตร!$A332="","",ข้อมูลสูตร!T332)</f>
        <v>0</v>
      </c>
      <c r="T335" s="63">
        <f>IF(ข้อมูลสูตร!$A332="","",ข้อมูลสูตร!U332)</f>
        <v>0</v>
      </c>
      <c r="U335" s="64">
        <f>IF(ข้อมูลสูตร!$A332="","",ข้อมูลสูตร!V332)</f>
        <v>225.10000000000002</v>
      </c>
      <c r="V335" s="8">
        <f>IF(ข้อมูลสูตร!$A332="","",ข้อมูลสูตร!W332)</f>
        <v>18.329999999999998</v>
      </c>
      <c r="W335" s="64">
        <f>IF(ข้อมูลสูตร!$A332="","",ข้อมูลสูตร!X332)</f>
        <v>59</v>
      </c>
      <c r="X335" s="23">
        <f>IF(ข้อมูลสูตร!$A332="","",ข้อมูลสูตร!Y332)</f>
        <v>0.68932203389830515</v>
      </c>
      <c r="Y335" s="48" t="str">
        <f>IF(ข้อมูลสูตร!$A332="","",ข้อมูลสูตร!Z332)</f>
        <v>[20 oz = 16 oz x 1.25] เมนูใหม่ (ชาเขียว) — เรียบเรียงจากสูตรเว็บ/โซเชียล สเกลน้ำผึ้ง/น้ำเชื่อมตามแพทเทิร์น Honey Milk (ดูแหล่งที่มาใน comment B182)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35" s="48" t="str">
        <f>ข้อมูลสูตร!$A332</f>
        <v>Green Honey Lemon|20 oz|0%</v>
      </c>
    </row>
    <row r="336" spans="1:26" x14ac:dyDescent="0.25">
      <c r="A336" s="4" t="str">
        <f>IF(ข้อมูลสูตร!$A333="","",ข้อมูลสูตร!B333)</f>
        <v>Green Honey Lemon</v>
      </c>
      <c r="B336" s="4" t="str">
        <f>IF(ข้อมูลสูตร!$A333="","",ข้อมูลสูตร!C333)</f>
        <v>20 oz</v>
      </c>
      <c r="C336" s="4" t="str">
        <f>IF(ข้อมูลสูตร!$A333="","",ข้อมูลสูตร!D333)</f>
        <v>25%</v>
      </c>
      <c r="D336" s="63">
        <f>IF(ข้อมูลสูตร!$A333="","",ข้อมูลสูตร!E333)</f>
        <v>0</v>
      </c>
      <c r="E336" s="63">
        <f>IF(ข้อมูลสูตร!$A333="","",ข้อมูลสูตร!F333)</f>
        <v>182.9</v>
      </c>
      <c r="F336" s="63">
        <f>IF(ข้อมูลสูตร!$A333="","",ข้อมูลสูตร!G333)</f>
        <v>0</v>
      </c>
      <c r="G336" s="63">
        <f>IF(ข้อมูลสูตร!$A333="","",ข้อมูลสูตร!H333)</f>
        <v>0</v>
      </c>
      <c r="H336" s="63">
        <f>IF(ข้อมูลสูตร!$A333="","",ข้อมูลสูตร!I333)</f>
        <v>0</v>
      </c>
      <c r="I336" s="63">
        <f>IF(ข้อมูลสูตร!$A333="","",ข้อมูลสูตร!J333)</f>
        <v>27.2</v>
      </c>
      <c r="J336" s="63">
        <f>IF(ข้อมูลสูตร!$A333="","",ข้อมูลสูตร!K333)</f>
        <v>5</v>
      </c>
      <c r="K336" s="63">
        <f>IF(ข้อมูลสูตร!$A333="","",ข้อมูลสูตร!L333)</f>
        <v>0</v>
      </c>
      <c r="L336" s="63">
        <f>IF(ข้อมูลสูตร!$A333="","",ข้อมูลสูตร!M333)</f>
        <v>0</v>
      </c>
      <c r="M336" s="63">
        <f>IF(ข้อมูลสูตร!$A333="","",ข้อมูลสูตร!N333)</f>
        <v>0</v>
      </c>
      <c r="N336" s="63">
        <f>IF(ข้อมูลสูตร!$A333="","",ข้อมูลสูตร!O333)</f>
        <v>0</v>
      </c>
      <c r="O336" s="63">
        <f>IF(ข้อมูลสูตร!$A333="","",ข้อมูลสูตร!P333)</f>
        <v>18.8</v>
      </c>
      <c r="P336" s="63">
        <f>IF(ข้อมูลสูตร!$A333="","",ข้อมูลสูตร!Q333)</f>
        <v>0</v>
      </c>
      <c r="Q336" s="63">
        <f>IF(ข้อมูลสูตร!$A333="","",ข้อมูลสูตร!R333)</f>
        <v>0</v>
      </c>
      <c r="R336" s="63">
        <f>IF(ข้อมูลสูตร!$A333="","",ข้อมูลสูตร!S333)</f>
        <v>300</v>
      </c>
      <c r="S336" s="63">
        <f>IF(ข้อมูลสูตร!$A333="","",ข้อมูลสูตร!T333)</f>
        <v>0</v>
      </c>
      <c r="T336" s="63">
        <f>IF(ข้อมูลสูตร!$A333="","",ข้อมูลสูตร!U333)</f>
        <v>0</v>
      </c>
      <c r="U336" s="64">
        <f>IF(ข้อมูลสูตร!$A333="","",ข้อมูลสูตร!V333)</f>
        <v>233.9</v>
      </c>
      <c r="V336" s="8">
        <f>IF(ข้อมูลสูตร!$A333="","",ข้อมูลสูตร!W333)</f>
        <v>19.39</v>
      </c>
      <c r="W336" s="64">
        <f>IF(ข้อมูลสูตร!$A333="","",ข้อมูลสูตร!X333)</f>
        <v>59</v>
      </c>
      <c r="X336" s="23">
        <f>IF(ข้อมูลสูตร!$A333="","",ข้อมูลสูตร!Y333)</f>
        <v>0.67135593220338985</v>
      </c>
      <c r="Y336" s="48" t="str">
        <f>IF(ข้อมูลสูตร!$A333="","",ข้อมูลสูตร!Z333)</f>
        <v>[20 oz = 16 oz x 1.25] 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6" s="48" t="str">
        <f>ข้อมูลสูตร!$A333</f>
        <v>Green Honey Lemon|20 oz|25%</v>
      </c>
    </row>
    <row r="337" spans="1:26" x14ac:dyDescent="0.25">
      <c r="A337" s="4" t="str">
        <f>IF(ข้อมูลสูตร!$A334="","",ข้อมูลสูตร!B334)</f>
        <v>Green Honey Lemon</v>
      </c>
      <c r="B337" s="4" t="str">
        <f>IF(ข้อมูลสูตร!$A334="","",ข้อมูลสูตร!C334)</f>
        <v>20 oz</v>
      </c>
      <c r="C337" s="4" t="str">
        <f>IF(ข้อมูลสูตร!$A334="","",ข้อมูลสูตร!D334)</f>
        <v>50%</v>
      </c>
      <c r="D337" s="63">
        <f>IF(ข้อมูลสูตร!$A334="","",ข้อมูลสูตร!E334)</f>
        <v>0</v>
      </c>
      <c r="E337" s="63">
        <f>IF(ข้อมูลสูตร!$A334="","",ข้อมูลสูตร!F334)</f>
        <v>182.9</v>
      </c>
      <c r="F337" s="63">
        <f>IF(ข้อมูลสูตร!$A334="","",ข้อมูลสูตร!G334)</f>
        <v>0</v>
      </c>
      <c r="G337" s="63">
        <f>IF(ข้อมูลสูตร!$A334="","",ข้อมูลสูตร!H334)</f>
        <v>0</v>
      </c>
      <c r="H337" s="63">
        <f>IF(ข้อมูลสูตร!$A334="","",ข้อมูลสูตร!I334)</f>
        <v>0</v>
      </c>
      <c r="I337" s="63">
        <f>IF(ข้อมูลสูตร!$A334="","",ข้อมูลสูตร!J334)</f>
        <v>30.9</v>
      </c>
      <c r="J337" s="63">
        <f>IF(ข้อมูลสูตร!$A334="","",ข้อมูลสูตร!K334)</f>
        <v>10</v>
      </c>
      <c r="K337" s="63">
        <f>IF(ข้อมูลสูตร!$A334="","",ข้อมูลสูตร!L334)</f>
        <v>0</v>
      </c>
      <c r="L337" s="63">
        <f>IF(ข้อมูลสูตร!$A334="","",ข้อมูลสูตร!M334)</f>
        <v>0</v>
      </c>
      <c r="M337" s="63">
        <f>IF(ข้อมูลสูตร!$A334="","",ข้อมูลสูตร!N334)</f>
        <v>0</v>
      </c>
      <c r="N337" s="63">
        <f>IF(ข้อมูลสูตร!$A334="","",ข้อมูลสูตร!O334)</f>
        <v>0</v>
      </c>
      <c r="O337" s="63">
        <f>IF(ข้อมูลสูตร!$A334="","",ข้อมูลสูตร!P334)</f>
        <v>18.8</v>
      </c>
      <c r="P337" s="63">
        <f>IF(ข้อมูลสูตร!$A334="","",ข้อมูลสูตร!Q334)</f>
        <v>0</v>
      </c>
      <c r="Q337" s="63">
        <f>IF(ข้อมูลสูตร!$A334="","",ข้อมูลสูตร!R334)</f>
        <v>0</v>
      </c>
      <c r="R337" s="63">
        <f>IF(ข้อมูลสูตร!$A334="","",ข้อมูลสูตร!S334)</f>
        <v>300</v>
      </c>
      <c r="S337" s="63">
        <f>IF(ข้อมูลสูตร!$A334="","",ข้อมูลสูตร!T334)</f>
        <v>0</v>
      </c>
      <c r="T337" s="63">
        <f>IF(ข้อมูลสูตร!$A334="","",ข้อมูลสูตร!U334)</f>
        <v>0</v>
      </c>
      <c r="U337" s="64">
        <f>IF(ข้อมูลสูตร!$A334="","",ข้อมูลสูตร!V334)</f>
        <v>242.60000000000002</v>
      </c>
      <c r="V337" s="8">
        <f>IF(ข้อมูลสูตร!$A334="","",ข้อมูลสูตร!W334)</f>
        <v>20.62</v>
      </c>
      <c r="W337" s="64">
        <f>IF(ข้อมูลสูตร!$A334="","",ข้อมูลสูตร!X334)</f>
        <v>59</v>
      </c>
      <c r="X337" s="23">
        <f>IF(ข้อมูลสูตร!$A334="","",ข้อมูลสูตร!Y334)</f>
        <v>0.65050847457627115</v>
      </c>
      <c r="Y337" s="48" t="str">
        <f>IF(ข้อมูลสูตร!$A334="","",ข้อมูลสูตร!Z334)</f>
        <v>[20 oz = 16 oz x 1.25] 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7" s="48" t="str">
        <f>ข้อมูลสูตร!$A334</f>
        <v>Green Honey Lemon|20 oz|50%</v>
      </c>
    </row>
    <row r="338" spans="1:26" x14ac:dyDescent="0.25">
      <c r="A338" s="4" t="str">
        <f>IF(ข้อมูลสูตร!$A335="","",ข้อมูลสูตร!B335)</f>
        <v>Green Honey Lemon</v>
      </c>
      <c r="B338" s="4" t="str">
        <f>IF(ข้อมูลสูตร!$A335="","",ข้อมูลสูตร!C335)</f>
        <v>20 oz</v>
      </c>
      <c r="C338" s="4" t="str">
        <f>IF(ข้อมูลสูตร!$A335="","",ข้อมูลสูตร!D335)</f>
        <v>75%</v>
      </c>
      <c r="D338" s="63">
        <f>IF(ข้อมูลสูตร!$A335="","",ข้อมูลสูตร!E335)</f>
        <v>0</v>
      </c>
      <c r="E338" s="63">
        <f>IF(ข้อมูลสูตร!$A335="","",ข้อมูลสูตร!F335)</f>
        <v>182.9</v>
      </c>
      <c r="F338" s="63">
        <f>IF(ข้อมูลสูตร!$A335="","",ข้อมูลสูตร!G335)</f>
        <v>0</v>
      </c>
      <c r="G338" s="63">
        <f>IF(ข้อมูลสูตร!$A335="","",ข้อมูลสูตร!H335)</f>
        <v>0</v>
      </c>
      <c r="H338" s="63">
        <f>IF(ข้อมูลสูตร!$A335="","",ข้อมูลสูตร!I335)</f>
        <v>0</v>
      </c>
      <c r="I338" s="63">
        <f>IF(ข้อมูลสูตร!$A335="","",ข้อมูลสูตร!J335)</f>
        <v>34.700000000000003</v>
      </c>
      <c r="J338" s="63">
        <f>IF(ข้อมูลสูตร!$A335="","",ข้อมูลสูตร!K335)</f>
        <v>15</v>
      </c>
      <c r="K338" s="63">
        <f>IF(ข้อมูลสูตร!$A335="","",ข้อมูลสูตร!L335)</f>
        <v>0</v>
      </c>
      <c r="L338" s="63">
        <f>IF(ข้อมูลสูตร!$A335="","",ข้อมูลสูตร!M335)</f>
        <v>0</v>
      </c>
      <c r="M338" s="63">
        <f>IF(ข้อมูลสูตร!$A335="","",ข้อมูลสูตร!N335)</f>
        <v>0</v>
      </c>
      <c r="N338" s="63">
        <f>IF(ข้อมูลสูตร!$A335="","",ข้อมูลสูตร!O335)</f>
        <v>0</v>
      </c>
      <c r="O338" s="63">
        <f>IF(ข้อมูลสูตร!$A335="","",ข้อมูลสูตร!P335)</f>
        <v>18.8</v>
      </c>
      <c r="P338" s="63">
        <f>IF(ข้อมูลสูตร!$A335="","",ข้อมูลสูตร!Q335)</f>
        <v>0</v>
      </c>
      <c r="Q338" s="63">
        <f>IF(ข้อมูลสูตร!$A335="","",ข้อมูลสูตร!R335)</f>
        <v>0</v>
      </c>
      <c r="R338" s="63">
        <f>IF(ข้อมูลสูตร!$A335="","",ข้อมูลสูตร!S335)</f>
        <v>300</v>
      </c>
      <c r="S338" s="63">
        <f>IF(ข้อมูลสูตร!$A335="","",ข้อมูลสูตร!T335)</f>
        <v>0</v>
      </c>
      <c r="T338" s="63">
        <f>IF(ข้อมูลสูตร!$A335="","",ข้อมูลสูตร!U335)</f>
        <v>0</v>
      </c>
      <c r="U338" s="64">
        <f>IF(ข้อมูลสูตร!$A335="","",ข้อมูลสูตร!V335)</f>
        <v>251.40000000000003</v>
      </c>
      <c r="V338" s="8">
        <f>IF(ข้อมูลสูตร!$A335="","",ข้อมูลสูตร!W335)</f>
        <v>21.85</v>
      </c>
      <c r="W338" s="64">
        <f>IF(ข้อมูลสูตร!$A335="","",ข้อมูลสูตร!X335)</f>
        <v>59</v>
      </c>
      <c r="X338" s="23">
        <f>IF(ข้อมูลสูตร!$A335="","",ข้อมูลสูตร!Y335)</f>
        <v>0.62966101694915255</v>
      </c>
      <c r="Y338" s="48" t="str">
        <f>IF(ข้อมูลสูตร!$A335="","",ข้อมูลสูตร!Z335)</f>
        <v>[20 oz = 16 oz x 1.25] 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8" s="48" t="str">
        <f>ข้อมูลสูตร!$A335</f>
        <v>Green Honey Lemon|20 oz|75%</v>
      </c>
    </row>
    <row r="339" spans="1:26" x14ac:dyDescent="0.25">
      <c r="A339" s="4" t="str">
        <f>IF(ข้อมูลสูตร!$A336="","",ข้อมูลสูตร!B336)</f>
        <v>Green Honey Lemon</v>
      </c>
      <c r="B339" s="4" t="str">
        <f>IF(ข้อมูลสูตร!$A336="","",ข้อมูลสูตร!C336)</f>
        <v>20 oz</v>
      </c>
      <c r="C339" s="4" t="str">
        <f>IF(ข้อมูลสูตร!$A336="","",ข้อมูลสูตร!D336)</f>
        <v>100%</v>
      </c>
      <c r="D339" s="63">
        <f>IF(ข้อมูลสูตร!$A336="","",ข้อมูลสูตร!E336)</f>
        <v>0</v>
      </c>
      <c r="E339" s="63">
        <f>IF(ข้อมูลสูตร!$A336="","",ข้อมูลสูตร!F336)</f>
        <v>182.9</v>
      </c>
      <c r="F339" s="63">
        <f>IF(ข้อมูลสูตร!$A336="","",ข้อมูลสูตร!G336)</f>
        <v>0</v>
      </c>
      <c r="G339" s="63">
        <f>IF(ข้อมูลสูตร!$A336="","",ข้อมูลสูตร!H336)</f>
        <v>0</v>
      </c>
      <c r="H339" s="63">
        <f>IF(ข้อมูลสูตร!$A336="","",ข้อมูลสูตร!I336)</f>
        <v>0</v>
      </c>
      <c r="I339" s="63">
        <f>IF(ข้อมูลสูตร!$A336="","",ข้อมูลสูตร!J336)</f>
        <v>38.4</v>
      </c>
      <c r="J339" s="63">
        <f>IF(ข้อมูลสูตร!$A336="","",ข้อมูลสูตร!K336)</f>
        <v>20</v>
      </c>
      <c r="K339" s="63">
        <f>IF(ข้อมูลสูตร!$A336="","",ข้อมูลสูตร!L336)</f>
        <v>0</v>
      </c>
      <c r="L339" s="63">
        <f>IF(ข้อมูลสูตร!$A336="","",ข้อมูลสูตร!M336)</f>
        <v>0</v>
      </c>
      <c r="M339" s="63">
        <f>IF(ข้อมูลสูตร!$A336="","",ข้อมูลสูตร!N336)</f>
        <v>0</v>
      </c>
      <c r="N339" s="63">
        <f>IF(ข้อมูลสูตร!$A336="","",ข้อมูลสูตร!O336)</f>
        <v>0</v>
      </c>
      <c r="O339" s="63">
        <f>IF(ข้อมูลสูตร!$A336="","",ข้อมูลสูตร!P336)</f>
        <v>18.8</v>
      </c>
      <c r="P339" s="63">
        <f>IF(ข้อมูลสูตร!$A336="","",ข้อมูลสูตร!Q336)</f>
        <v>0</v>
      </c>
      <c r="Q339" s="63">
        <f>IF(ข้อมูลสูตร!$A336="","",ข้อมูลสูตร!R336)</f>
        <v>0</v>
      </c>
      <c r="R339" s="63">
        <f>IF(ข้อมูลสูตร!$A336="","",ข้อมูลสูตร!S336)</f>
        <v>300</v>
      </c>
      <c r="S339" s="63">
        <f>IF(ข้อมูลสูตร!$A336="","",ข้อมูลสูตร!T336)</f>
        <v>0</v>
      </c>
      <c r="T339" s="63">
        <f>IF(ข้อมูลสูตร!$A336="","",ข้อมูลสูตร!U336)</f>
        <v>0</v>
      </c>
      <c r="U339" s="64">
        <f>IF(ข้อมูลสูตร!$A336="","",ข้อมูลสูตร!V336)</f>
        <v>260.10000000000002</v>
      </c>
      <c r="V339" s="8">
        <f>IF(ข้อมูลสูตร!$A336="","",ข้อมูลสูตร!W336)</f>
        <v>23.08</v>
      </c>
      <c r="W339" s="64">
        <f>IF(ข้อมูลสูตร!$A336="","",ข้อมูลสูตร!X336)</f>
        <v>59</v>
      </c>
      <c r="X339" s="23">
        <f>IF(ข้อมูลสูตร!$A336="","",ข้อมูลสูตร!Y336)</f>
        <v>0.60881355932203396</v>
      </c>
      <c r="Y339" s="48" t="str">
        <f>IF(ข้อมูลสูตร!$A336="","",ข้อมูลสูตร!Z336)</f>
        <v>[20 oz = 16 oz x 1.25] เมนูใหม่ (ชาเขียว) — สเกลตามแพทเทิร์น Honey Milk · รอบ 7: เบสชาเขียวไม่มีน้ำตาลแล้ว จึงเติมน้ำเชื่อม 1:1 ชดเชย = 0.128 × ปริมาณเบสชาเขียว · ไม่มีนม/เบสอื่นเป็นตัวสลับ จึงลดชาเขียวเบสเอง F=เดิม÷1.128 ทำให้ เบส+น้ำเชื่อม = ปริมาตรเดิมเป๊ะ</v>
      </c>
      <c r="Z339" s="48" t="str">
        <f>ข้อมูลสูตร!$A336</f>
        <v>Green Honey Lemon|20 oz|100%</v>
      </c>
    </row>
    <row r="340" spans="1:26" x14ac:dyDescent="0.25">
      <c r="A340" s="4" t="str">
        <f>IF(ข้อมูลสูตร!$A337="","",ข้อมูลสูตร!B337)</f>
        <v>Green Cream Cheese</v>
      </c>
      <c r="B340" s="4" t="str">
        <f>IF(ข้อมูลสูตร!$A337="","",ข้อมูลสูตร!C337)</f>
        <v>20 oz</v>
      </c>
      <c r="C340" s="4" t="str">
        <f>IF(ข้อมูลสูตร!$A337="","",ข้อมูลสูตร!D337)</f>
        <v>0%</v>
      </c>
      <c r="D340" s="63">
        <f>IF(ข้อมูลสูตร!$A337="","",ข้อมูลสูตร!E337)</f>
        <v>0</v>
      </c>
      <c r="E340" s="63">
        <f>IF(ข้อมูลสูตร!$A337="","",ข้อมูลสูตร!F337)</f>
        <v>150</v>
      </c>
      <c r="F340" s="63">
        <f>IF(ข้อมูลสูตร!$A337="","",ข้อมูลสูตร!G337)</f>
        <v>0</v>
      </c>
      <c r="G340" s="63">
        <f>IF(ข้อมูลสูตร!$A337="","",ข้อมูลสูตร!H337)</f>
        <v>37.5</v>
      </c>
      <c r="H340" s="63">
        <f>IF(ข้อมูลสูตร!$A337="","",ข้อมูลสูตร!I337)</f>
        <v>0</v>
      </c>
      <c r="I340" s="63">
        <f>IF(ข้อมูลสูตร!$A337="","",ข้อมูลสูตร!J337)</f>
        <v>0</v>
      </c>
      <c r="J340" s="63">
        <f>IF(ข้อมูลสูตร!$A337="","",ข้อมูลสูตร!K337)</f>
        <v>0</v>
      </c>
      <c r="K340" s="63">
        <f>IF(ข้อมูลสูตร!$A337="","",ข้อมูลสูตร!L337)</f>
        <v>0</v>
      </c>
      <c r="L340" s="63">
        <f>IF(ข้อมูลสูตร!$A337="","",ข้อมูลสูตร!M337)</f>
        <v>0</v>
      </c>
      <c r="M340" s="63">
        <f>IF(ข้อมูลสูตร!$A337="","",ข้อมูลสูตร!N337)</f>
        <v>0</v>
      </c>
      <c r="N340" s="63">
        <f>IF(ข้อมูลสูตร!$A337="","",ข้อมูลสูตร!O337)</f>
        <v>0</v>
      </c>
      <c r="O340" s="63">
        <f>IF(ข้อมูลสูตร!$A337="","",ข้อมูลสูตร!P337)</f>
        <v>0</v>
      </c>
      <c r="P340" s="63">
        <f>IF(ข้อมูลสูตร!$A337="","",ข้อมูลสูตร!Q337)</f>
        <v>0</v>
      </c>
      <c r="Q340" s="63">
        <f>IF(ข้อมูลสูตร!$A337="","",ข้อมูลสูตร!R337)</f>
        <v>75</v>
      </c>
      <c r="R340" s="63">
        <f>IF(ข้อมูลสูตร!$A337="","",ข้อมูลสูตร!S337)</f>
        <v>250</v>
      </c>
      <c r="S340" s="63">
        <f>IF(ข้อมูลสูตร!$A337="","",ข้อมูลสูตร!T337)</f>
        <v>0</v>
      </c>
      <c r="T340" s="63">
        <f>IF(ข้อมูลสูตร!$A337="","",ข้อมูลสูตร!U337)</f>
        <v>0</v>
      </c>
      <c r="U340" s="64">
        <f>IF(ข้อมูลสูตร!$A337="","",ข้อมูลสูตร!V337)</f>
        <v>187.5</v>
      </c>
      <c r="V340" s="8">
        <f>IF(ข้อมูลสูตร!$A337="","",ข้อมูลสูตร!W337)</f>
        <v>26.41</v>
      </c>
      <c r="W340" s="64">
        <f>IF(ข้อมูลสูตร!$A337="","",ข้อมูลสูตร!X337)</f>
        <v>75</v>
      </c>
      <c r="X340" s="23">
        <f>IF(ข้อมูลสูตร!$A337="","",ข้อมูลสูตร!Y337)</f>
        <v>0.6478666666666667</v>
      </c>
      <c r="Y340" s="48" t="str">
        <f>IF(ข้อมูลสูตร!$A337="","",ข้อมูลสูตร!Z337)</f>
        <v>[20 oz = 16 oz x 1.25] เมนูใหม่ (ชาเขียว) — เรียบเรียงจากสูตรเว็บ/โซเชียล โครงเดียวกับ Cream Cheese ของชาไทย โฟมชีสไม่นับเป็นของเหลว (ดูแหล่งที่มาใน comment B192) · รอบ 7: เบสชาเขียวไม่มีน้ำตาลแล้ว — ระดับ 0% จึงไม่มีน้ำตาลเพิ่มจริง (เดิมยังมีน้ำตาลจากเบส ~11 g) รสจะเปลี่ยนจากเดิม</v>
      </c>
      <c r="Z340" s="48" t="str">
        <f>ข้อมูลสูตร!$A337</f>
        <v>Green Cream Cheese|20 oz|0%</v>
      </c>
    </row>
    <row r="341" spans="1:26" x14ac:dyDescent="0.25">
      <c r="A341" s="4" t="str">
        <f>IF(ข้อมูลสูตร!$A338="","",ข้อมูลสูตร!B338)</f>
        <v>Green Cream Cheese</v>
      </c>
      <c r="B341" s="4" t="str">
        <f>IF(ข้อมูลสูตร!$A338="","",ข้อมูลสูตร!C338)</f>
        <v>20 oz</v>
      </c>
      <c r="C341" s="4" t="str">
        <f>IF(ข้อมูลสูตร!$A338="","",ข้อมูลสูตร!D338)</f>
        <v>25%</v>
      </c>
      <c r="D341" s="63">
        <f>IF(ข้อมูลสูตร!$A338="","",ข้อมูลสูตร!E338)</f>
        <v>0</v>
      </c>
      <c r="E341" s="63">
        <f>IF(ข้อมูลสูตร!$A338="","",ข้อมูลสูตร!F338)</f>
        <v>150</v>
      </c>
      <c r="F341" s="63">
        <f>IF(ข้อมูลสูตร!$A338="","",ข้อมูลสูตร!G338)</f>
        <v>0</v>
      </c>
      <c r="G341" s="63">
        <f>IF(ข้อมูลสูตร!$A338="","",ข้อมูลสูตร!H338)</f>
        <v>37.5</v>
      </c>
      <c r="H341" s="63">
        <f>IF(ข้อมูลสูตร!$A338="","",ข้อมูลสูตร!I338)</f>
        <v>8.8000000000000007</v>
      </c>
      <c r="I341" s="63">
        <f>IF(ข้อมูลสูตร!$A338="","",ข้อมูลสูตร!J338)</f>
        <v>19.2</v>
      </c>
      <c r="J341" s="63">
        <f>IF(ข้อมูลสูตร!$A338="","",ข้อมูลสูตร!K338)</f>
        <v>0</v>
      </c>
      <c r="K341" s="63">
        <f>IF(ข้อมูลสูตร!$A338="","",ข้อมูลสูตร!L338)</f>
        <v>0</v>
      </c>
      <c r="L341" s="63">
        <f>IF(ข้อมูลสูตร!$A338="","",ข้อมูลสูตร!M338)</f>
        <v>0</v>
      </c>
      <c r="M341" s="63">
        <f>IF(ข้อมูลสูตร!$A338="","",ข้อมูลสูตร!N338)</f>
        <v>0</v>
      </c>
      <c r="N341" s="63">
        <f>IF(ข้อมูลสูตร!$A338="","",ข้อมูลสูตร!O338)</f>
        <v>0</v>
      </c>
      <c r="O341" s="63">
        <f>IF(ข้อมูลสูตร!$A338="","",ข้อมูลสูตร!P338)</f>
        <v>0</v>
      </c>
      <c r="P341" s="63">
        <f>IF(ข้อมูลสูตร!$A338="","",ข้อมูลสูตร!Q338)</f>
        <v>0</v>
      </c>
      <c r="Q341" s="63">
        <f>IF(ข้อมูลสูตร!$A338="","",ข้อมูลสูตร!R338)</f>
        <v>75</v>
      </c>
      <c r="R341" s="63">
        <f>IF(ข้อมูลสูตร!$A338="","",ข้อมูลสูตร!S338)</f>
        <v>250</v>
      </c>
      <c r="S341" s="63">
        <f>IF(ข้อมูลสูตร!$A338="","",ข้อมูลสูตร!T338)</f>
        <v>0</v>
      </c>
      <c r="T341" s="63">
        <f>IF(ข้อมูลสูตร!$A338="","",ข้อมูลสูตร!U338)</f>
        <v>0</v>
      </c>
      <c r="U341" s="64">
        <f>IF(ข้อมูลสูตร!$A338="","",ข้อมูลสูตร!V338)</f>
        <v>215.5</v>
      </c>
      <c r="V341" s="8">
        <f>IF(ข้อมูลสูตร!$A338="","",ข้อมูลสูตร!W338)</f>
        <v>27.34</v>
      </c>
      <c r="W341" s="64">
        <f>IF(ข้อมูลสูตร!$A338="","",ข้อมูลสูตร!X338)</f>
        <v>75</v>
      </c>
      <c r="X341" s="23">
        <f>IF(ข้อมูลสูตร!$A338="","",ข้อมูลสูตร!Y338)</f>
        <v>0.63546666666666662</v>
      </c>
      <c r="Y341" s="48" t="str">
        <f>IF(ข้อมูลสูตร!$A338="","",ข้อมูลสูตร!Z338)</f>
        <v>[20 oz = 16 oz x 1.25] 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341" s="48" t="str">
        <f>ข้อมูลสูตร!$A338</f>
        <v>Green Cream Cheese|20 oz|25%</v>
      </c>
    </row>
    <row r="342" spans="1:26" x14ac:dyDescent="0.25">
      <c r="A342" s="4" t="str">
        <f>IF(ข้อมูลสูตร!$A339="","",ข้อมูลสูตร!B339)</f>
        <v>Green Cream Cheese</v>
      </c>
      <c r="B342" s="4" t="str">
        <f>IF(ข้อมูลสูตร!$A339="","",ข้อมูลสูตร!C339)</f>
        <v>20 oz</v>
      </c>
      <c r="C342" s="4" t="str">
        <f>IF(ข้อมูลสูตร!$A339="","",ข้อมูลสูตร!D339)</f>
        <v>50%</v>
      </c>
      <c r="D342" s="63">
        <f>IF(ข้อมูลสูตร!$A339="","",ข้อมูลสูตร!E339)</f>
        <v>0</v>
      </c>
      <c r="E342" s="63">
        <f>IF(ข้อมูลสูตร!$A339="","",ข้อมูลสูตร!F339)</f>
        <v>150</v>
      </c>
      <c r="F342" s="63">
        <f>IF(ข้อมูลสูตร!$A339="","",ข้อมูลสูตร!G339)</f>
        <v>0</v>
      </c>
      <c r="G342" s="63">
        <f>IF(ข้อมูลสูตร!$A339="","",ข้อมูลสูตร!H339)</f>
        <v>37.5</v>
      </c>
      <c r="H342" s="63">
        <f>IF(ข้อมูลสูตร!$A339="","",ข้อมูลสูตร!I339)</f>
        <v>17.5</v>
      </c>
      <c r="I342" s="63">
        <f>IF(ข้อมูลสูตร!$A339="","",ข้อมูลสูตร!J339)</f>
        <v>19.2</v>
      </c>
      <c r="J342" s="63">
        <f>IF(ข้อมูลสูตร!$A339="","",ข้อมูลสูตร!K339)</f>
        <v>0</v>
      </c>
      <c r="K342" s="63">
        <f>IF(ข้อมูลสูตร!$A339="","",ข้อมูลสูตร!L339)</f>
        <v>0</v>
      </c>
      <c r="L342" s="63">
        <f>IF(ข้อมูลสูตร!$A339="","",ข้อมูลสูตร!M339)</f>
        <v>0</v>
      </c>
      <c r="M342" s="63">
        <f>IF(ข้อมูลสูตร!$A339="","",ข้อมูลสูตร!N339)</f>
        <v>0</v>
      </c>
      <c r="N342" s="63">
        <f>IF(ข้อมูลสูตร!$A339="","",ข้อมูลสูตร!O339)</f>
        <v>0</v>
      </c>
      <c r="O342" s="63">
        <f>IF(ข้อมูลสูตร!$A339="","",ข้อมูลสูตร!P339)</f>
        <v>0</v>
      </c>
      <c r="P342" s="63">
        <f>IF(ข้อมูลสูตร!$A339="","",ข้อมูลสูตร!Q339)</f>
        <v>0</v>
      </c>
      <c r="Q342" s="63">
        <f>IF(ข้อมูลสูตร!$A339="","",ข้อมูลสูตร!R339)</f>
        <v>75</v>
      </c>
      <c r="R342" s="63">
        <f>IF(ข้อมูลสูตร!$A339="","",ข้อมูลสูตร!S339)</f>
        <v>250</v>
      </c>
      <c r="S342" s="63">
        <f>IF(ข้อมูลสูตร!$A339="","",ข้อมูลสูตร!T339)</f>
        <v>0</v>
      </c>
      <c r="T342" s="63">
        <f>IF(ข้อมูลสูตร!$A339="","",ข้อมูลสูตร!U339)</f>
        <v>0</v>
      </c>
      <c r="U342" s="64">
        <f>IF(ข้อมูลสูตร!$A339="","",ข้อมูลสูตร!V339)</f>
        <v>224.2</v>
      </c>
      <c r="V342" s="8">
        <f>IF(ข้อมูลสูตร!$A339="","",ข้อมูลสูตร!W339)</f>
        <v>27.94</v>
      </c>
      <c r="W342" s="64">
        <f>IF(ข้อมูลสูตร!$A339="","",ข้อมูลสูตร!X339)</f>
        <v>75</v>
      </c>
      <c r="X342" s="23">
        <f>IF(ข้อมูลสูตร!$A339="","",ข้อมูลสูตร!Y339)</f>
        <v>0.62746666666666673</v>
      </c>
      <c r="Y342" s="48" t="str">
        <f>IF(ข้อมูลสูตร!$A339="","",ข้อมูลสูตร!Z339)</f>
        <v>[20 oz = 16 oz x 1.25] 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342" s="48" t="str">
        <f>ข้อมูลสูตร!$A339</f>
        <v>Green Cream Cheese|20 oz|50%</v>
      </c>
    </row>
    <row r="343" spans="1:26" x14ac:dyDescent="0.25">
      <c r="A343" s="4" t="str">
        <f>IF(ข้อมูลสูตร!$A340="","",ข้อมูลสูตร!B340)</f>
        <v>Green Cream Cheese</v>
      </c>
      <c r="B343" s="4" t="str">
        <f>IF(ข้อมูลสูตร!$A340="","",ข้อมูลสูตร!C340)</f>
        <v>20 oz</v>
      </c>
      <c r="C343" s="4" t="str">
        <f>IF(ข้อมูลสูตร!$A340="","",ข้อมูลสูตร!D340)</f>
        <v>75%</v>
      </c>
      <c r="D343" s="63">
        <f>IF(ข้อมูลสูตร!$A340="","",ข้อมูลสูตร!E340)</f>
        <v>0</v>
      </c>
      <c r="E343" s="63">
        <f>IF(ข้อมูลสูตร!$A340="","",ข้อมูลสูตร!F340)</f>
        <v>150</v>
      </c>
      <c r="F343" s="63">
        <f>IF(ข้อมูลสูตร!$A340="","",ข้อมูลสูตร!G340)</f>
        <v>0</v>
      </c>
      <c r="G343" s="63">
        <f>IF(ข้อมูลสูตร!$A340="","",ข้อมูลสูตร!H340)</f>
        <v>37.5</v>
      </c>
      <c r="H343" s="63">
        <f>IF(ข้อมูลสูตร!$A340="","",ข้อมูลสูตร!I340)</f>
        <v>26.3</v>
      </c>
      <c r="I343" s="63">
        <f>IF(ข้อมูลสูตร!$A340="","",ข้อมูลสูตร!J340)</f>
        <v>19.2</v>
      </c>
      <c r="J343" s="63">
        <f>IF(ข้อมูลสูตร!$A340="","",ข้อมูลสูตร!K340)</f>
        <v>0</v>
      </c>
      <c r="K343" s="63">
        <f>IF(ข้อมูลสูตร!$A340="","",ข้อมูลสูตร!L340)</f>
        <v>0</v>
      </c>
      <c r="L343" s="63">
        <f>IF(ข้อมูลสูตร!$A340="","",ข้อมูลสูตร!M340)</f>
        <v>0</v>
      </c>
      <c r="M343" s="63">
        <f>IF(ข้อมูลสูตร!$A340="","",ข้อมูลสูตร!N340)</f>
        <v>0</v>
      </c>
      <c r="N343" s="63">
        <f>IF(ข้อมูลสูตร!$A340="","",ข้อมูลสูตร!O340)</f>
        <v>0</v>
      </c>
      <c r="O343" s="63">
        <f>IF(ข้อมูลสูตร!$A340="","",ข้อมูลสูตร!P340)</f>
        <v>0</v>
      </c>
      <c r="P343" s="63">
        <f>IF(ข้อมูลสูตร!$A340="","",ข้อมูลสูตร!Q340)</f>
        <v>0</v>
      </c>
      <c r="Q343" s="63">
        <f>IF(ข้อมูลสูตร!$A340="","",ข้อมูลสูตร!R340)</f>
        <v>75</v>
      </c>
      <c r="R343" s="63">
        <f>IF(ข้อมูลสูตร!$A340="","",ข้อมูลสูตร!S340)</f>
        <v>250</v>
      </c>
      <c r="S343" s="63">
        <f>IF(ข้อมูลสูตร!$A340="","",ข้อมูลสูตร!T340)</f>
        <v>0</v>
      </c>
      <c r="T343" s="63">
        <f>IF(ข้อมูลสูตร!$A340="","",ข้อมูลสูตร!U340)</f>
        <v>0</v>
      </c>
      <c r="U343" s="64">
        <f>IF(ข้อมูลสูตร!$A340="","",ข้อมูลสูตร!V340)</f>
        <v>233</v>
      </c>
      <c r="V343" s="8">
        <f>IF(ข้อมูลสูตร!$A340="","",ข้อมูลสูตร!W340)</f>
        <v>28.55</v>
      </c>
      <c r="W343" s="64">
        <f>IF(ข้อมูลสูตร!$A340="","",ข้อมูลสูตร!X340)</f>
        <v>75</v>
      </c>
      <c r="X343" s="23">
        <f>IF(ข้อมูลสูตร!$A340="","",ข้อมูลสูตร!Y340)</f>
        <v>0.6193333333333334</v>
      </c>
      <c r="Y343" s="48" t="str">
        <f>IF(ข้อมูลสูตร!$A340="","",ข้อมูลสูตร!Z340)</f>
        <v>[20 oz = 16 oz x 1.25] 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343" s="48" t="str">
        <f>ข้อมูลสูตร!$A340</f>
        <v>Green Cream Cheese|20 oz|75%</v>
      </c>
    </row>
    <row r="344" spans="1:26" x14ac:dyDescent="0.25">
      <c r="A344" s="4" t="str">
        <f>IF(ข้อมูลสูตร!$A341="","",ข้อมูลสูตร!B341)</f>
        <v>Green Cream Cheese</v>
      </c>
      <c r="B344" s="4" t="str">
        <f>IF(ข้อมูลสูตร!$A341="","",ข้อมูลสูตร!C341)</f>
        <v>20 oz</v>
      </c>
      <c r="C344" s="4" t="str">
        <f>IF(ข้อมูลสูตร!$A341="","",ข้อมูลสูตร!D341)</f>
        <v>100%</v>
      </c>
      <c r="D344" s="63">
        <f>IF(ข้อมูลสูตร!$A341="","",ข้อมูลสูตร!E341)</f>
        <v>0</v>
      </c>
      <c r="E344" s="63">
        <f>IF(ข้อมูลสูตร!$A341="","",ข้อมูลสูตร!F341)</f>
        <v>150</v>
      </c>
      <c r="F344" s="63">
        <f>IF(ข้อมูลสูตร!$A341="","",ข้อมูลสูตร!G341)</f>
        <v>0</v>
      </c>
      <c r="G344" s="63">
        <f>IF(ข้อมูลสูตร!$A341="","",ข้อมูลสูตร!H341)</f>
        <v>37.5</v>
      </c>
      <c r="H344" s="63">
        <f>IF(ข้อมูลสูตร!$A341="","",ข้อมูลสูตร!I341)</f>
        <v>35</v>
      </c>
      <c r="I344" s="63">
        <f>IF(ข้อมูลสูตร!$A341="","",ข้อมูลสูตร!J341)</f>
        <v>19.2</v>
      </c>
      <c r="J344" s="63">
        <f>IF(ข้อมูลสูตร!$A341="","",ข้อมูลสูตร!K341)</f>
        <v>0</v>
      </c>
      <c r="K344" s="63">
        <f>IF(ข้อมูลสูตร!$A341="","",ข้อมูลสูตร!L341)</f>
        <v>0</v>
      </c>
      <c r="L344" s="63">
        <f>IF(ข้อมูลสูตร!$A341="","",ข้อมูลสูตร!M341)</f>
        <v>0</v>
      </c>
      <c r="M344" s="63">
        <f>IF(ข้อมูลสูตร!$A341="","",ข้อมูลสูตร!N341)</f>
        <v>0</v>
      </c>
      <c r="N344" s="63">
        <f>IF(ข้อมูลสูตร!$A341="","",ข้อมูลสูตร!O341)</f>
        <v>0</v>
      </c>
      <c r="O344" s="63">
        <f>IF(ข้อมูลสูตร!$A341="","",ข้อมูลสูตร!P341)</f>
        <v>0</v>
      </c>
      <c r="P344" s="63">
        <f>IF(ข้อมูลสูตร!$A341="","",ข้อมูลสูตร!Q341)</f>
        <v>0</v>
      </c>
      <c r="Q344" s="63">
        <f>IF(ข้อมูลสูตร!$A341="","",ข้อมูลสูตร!R341)</f>
        <v>75</v>
      </c>
      <c r="R344" s="63">
        <f>IF(ข้อมูลสูตร!$A341="","",ข้อมูลสูตร!S341)</f>
        <v>250</v>
      </c>
      <c r="S344" s="63">
        <f>IF(ข้อมูลสูตร!$A341="","",ข้อมูลสูตร!T341)</f>
        <v>0</v>
      </c>
      <c r="T344" s="63">
        <f>IF(ข้อมูลสูตร!$A341="","",ข้อมูลสูตร!U341)</f>
        <v>0</v>
      </c>
      <c r="U344" s="64">
        <f>IF(ข้อมูลสูตร!$A341="","",ข้อมูลสูตร!V341)</f>
        <v>241.7</v>
      </c>
      <c r="V344" s="8">
        <f>IF(ข้อมูลสูตร!$A341="","",ข้อมูลสูตร!W341)</f>
        <v>29.15</v>
      </c>
      <c r="W344" s="64">
        <f>IF(ข้อมูลสูตร!$A341="","",ข้อมูลสูตร!X341)</f>
        <v>75</v>
      </c>
      <c r="X344" s="23">
        <f>IF(ข้อมูลสูตร!$A341="","",ข้อมูลสูตร!Y341)</f>
        <v>0.6113333333333334</v>
      </c>
      <c r="Y344" s="48" t="str">
        <f>IF(ข้อมูลสูตร!$A341="","",ข้อมูลสูตร!Z341)</f>
        <v>[20 oz = 16 oz x 1.25] เมนูใหม่ (ชาเขียว) — สเกลตามแพทเทิร์น Cream Cheese · รอบ 7: เบสชาเขียวไม่มีน้ำตาลแล้ว จึงเติมน้ำเชื่อม 1:1 ชดเชย = 0.128 × ปริมาณเบสชาเขียว</v>
      </c>
      <c r="Z344" s="48" t="str">
        <f>ข้อมูลสูตร!$A341</f>
        <v>Green Cream Cheese|20 oz|100%</v>
      </c>
    </row>
    <row r="345" spans="1:26" x14ac:dyDescent="0.25">
      <c r="A345" s="4" t="str">
        <f>IF(ข้อมูลสูตร!$A342="","",ข้อมูลสูตร!B342)</f>
        <v>Pure Matcha Premium</v>
      </c>
      <c r="B345" s="4" t="str">
        <f>IF(ข้อมูลสูตร!$A342="","",ข้อมูลสูตร!C342)</f>
        <v>20 oz</v>
      </c>
      <c r="C345" s="4" t="str">
        <f>IF(ข้อมูลสูตร!$A342="","",ข้อมูลสูตร!D342)</f>
        <v>0%</v>
      </c>
      <c r="D345" s="63">
        <f>IF(ข้อมูลสูตร!$A342="","",ข้อมูลสูตร!E342)</f>
        <v>0</v>
      </c>
      <c r="E345" s="63">
        <f>IF(ข้อมูลสูตร!$A342="","",ข้อมูลสูตร!F342)</f>
        <v>0</v>
      </c>
      <c r="F345" s="63">
        <f>IF(ข้อมูลสูตร!$A342="","",ข้อมูลสูตร!G342)</f>
        <v>0</v>
      </c>
      <c r="G345" s="63">
        <f>IF(ข้อมูลสูตร!$A342="","",ข้อมูลสูตร!H342)</f>
        <v>0</v>
      </c>
      <c r="H345" s="63">
        <f>IF(ข้อมูลสูตร!$A342="","",ข้อมูลสูตร!I342)</f>
        <v>0</v>
      </c>
      <c r="I345" s="63">
        <f>IF(ข้อมูลสูตร!$A342="","",ข้อมูลสูตร!J342)</f>
        <v>0</v>
      </c>
      <c r="J345" s="63">
        <f>IF(ข้อมูลสูตร!$A342="","",ข้อมูลสูตร!K342)</f>
        <v>0</v>
      </c>
      <c r="K345" s="63">
        <f>IF(ข้อมูลสูตร!$A342="","",ข้อมูลสูตร!L342)</f>
        <v>0</v>
      </c>
      <c r="L345" s="63">
        <f>IF(ข้อมูลสูตร!$A342="","",ข้อมูลสูตร!M342)</f>
        <v>0</v>
      </c>
      <c r="M345" s="63">
        <f>IF(ข้อมูลสูตร!$A342="","",ข้อมูลสูตร!N342)</f>
        <v>0</v>
      </c>
      <c r="N345" s="63">
        <f>IF(ข้อมูลสูตร!$A342="","",ข้อมูลสูตร!O342)</f>
        <v>0</v>
      </c>
      <c r="O345" s="63">
        <f>IF(ข้อมูลสูตร!$A342="","",ข้อมูลสูตร!P342)</f>
        <v>0</v>
      </c>
      <c r="P345" s="63">
        <f>IF(ข้อมูลสูตร!$A342="","",ข้อมูลสูตร!Q342)</f>
        <v>0</v>
      </c>
      <c r="Q345" s="63">
        <f>IF(ข้อมูลสูตร!$A342="","",ข้อมูลสูตร!R342)</f>
        <v>0</v>
      </c>
      <c r="R345" s="63">
        <f>IF(ข้อมูลสูตร!$A342="","",ข้อมูลสูตร!S342)</f>
        <v>300</v>
      </c>
      <c r="S345" s="63">
        <f>IF(ข้อมูลสูตร!$A342="","",ข้อมูลสูตร!T342)</f>
        <v>50</v>
      </c>
      <c r="T345" s="63">
        <f>IF(ข้อมูลสูตร!$A342="","",ข้อมูลสูตร!U342)</f>
        <v>187.5</v>
      </c>
      <c r="U345" s="64">
        <f>IF(ข้อมูลสูตร!$A342="","",ข้อมูลสูตร!V342)</f>
        <v>237.5</v>
      </c>
      <c r="V345" s="8">
        <f>IF(ข้อมูลสูตร!$A342="","",ข้อมูลสูตร!W342)</f>
        <v>57.01</v>
      </c>
      <c r="W345" s="64">
        <f>IF(ข้อมูลสูตร!$A342="","",ข้อมูลสูตร!X342)</f>
        <v>85</v>
      </c>
      <c r="X345" s="23">
        <f>IF(ข้อมูลสูตร!$A342="","",ข้อมูลสูตร!Y342)</f>
        <v>0.32929411764705885</v>
      </c>
      <c r="Y345" s="48" t="str">
        <f>IF(ข้อมูลสูตร!$A342="","",ข้อมูลสูตร!Z342)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345" s="48" t="str">
        <f>ข้อมูลสูตร!$A342</f>
        <v>Pure Matcha Premium|20 oz|0%</v>
      </c>
    </row>
    <row r="346" spans="1:26" x14ac:dyDescent="0.25">
      <c r="A346" s="4" t="str">
        <f>IF(ข้อมูลสูตร!$A343="","",ข้อมูลสูตร!B343)</f>
        <v>Pure Matcha Premium</v>
      </c>
      <c r="B346" s="4" t="str">
        <f>IF(ข้อมูลสูตร!$A343="","",ข้อมูลสูตร!C343)</f>
        <v>20 oz</v>
      </c>
      <c r="C346" s="4" t="str">
        <f>IF(ข้อมูลสูตร!$A343="","",ข้อมูลสูตร!D343)</f>
        <v>25%</v>
      </c>
      <c r="D346" s="63">
        <f>IF(ข้อมูลสูตร!$A343="","",ข้อมูลสูตร!E343)</f>
        <v>0</v>
      </c>
      <c r="E346" s="63">
        <f>IF(ข้อมูลสูตร!$A343="","",ข้อมูลสูตร!F343)</f>
        <v>0</v>
      </c>
      <c r="F346" s="63">
        <f>IF(ข้อมูลสูตร!$A343="","",ข้อมูลสูตร!G343)</f>
        <v>0</v>
      </c>
      <c r="G346" s="63">
        <f>IF(ข้อมูลสูตร!$A343="","",ข้อมูลสูตร!H343)</f>
        <v>0</v>
      </c>
      <c r="H346" s="63">
        <f>IF(ข้อมูลสูตร!$A343="","",ข้อมูลสูตร!I343)</f>
        <v>0</v>
      </c>
      <c r="I346" s="63">
        <f>IF(ข้อมูลสูตร!$A343="","",ข้อมูลสูตร!J343)</f>
        <v>7.5</v>
      </c>
      <c r="J346" s="63">
        <f>IF(ข้อมูลสูตร!$A343="","",ข้อมูลสูตร!K343)</f>
        <v>0</v>
      </c>
      <c r="K346" s="63">
        <f>IF(ข้อมูลสูตร!$A343="","",ข้อมูลสูตร!L343)</f>
        <v>0</v>
      </c>
      <c r="L346" s="63">
        <f>IF(ข้อมูลสูตร!$A343="","",ข้อมูลสูตร!M343)</f>
        <v>0</v>
      </c>
      <c r="M346" s="63">
        <f>IF(ข้อมูลสูตร!$A343="","",ข้อมูลสูตร!N343)</f>
        <v>0</v>
      </c>
      <c r="N346" s="63">
        <f>IF(ข้อมูลสูตร!$A343="","",ข้อมูลสูตร!O343)</f>
        <v>0</v>
      </c>
      <c r="O346" s="63">
        <f>IF(ข้อมูลสูตร!$A343="","",ข้อมูลสูตร!P343)</f>
        <v>0</v>
      </c>
      <c r="P346" s="63">
        <f>IF(ข้อมูลสูตร!$A343="","",ข้อมูลสูตร!Q343)</f>
        <v>0</v>
      </c>
      <c r="Q346" s="63">
        <f>IF(ข้อมูลสูตร!$A343="","",ข้อมูลสูตร!R343)</f>
        <v>0</v>
      </c>
      <c r="R346" s="63">
        <f>IF(ข้อมูลสูตร!$A343="","",ข้อมูลสูตร!S343)</f>
        <v>300</v>
      </c>
      <c r="S346" s="63">
        <f>IF(ข้อมูลสูตร!$A343="","",ข้อมูลสูตร!T343)</f>
        <v>50</v>
      </c>
      <c r="T346" s="63">
        <f>IF(ข้อมูลสูตร!$A343="","",ข้อมูลสูตร!U343)</f>
        <v>187.5</v>
      </c>
      <c r="U346" s="64">
        <f>IF(ข้อมูลสูตร!$A343="","",ข้อมูลสูตร!V343)</f>
        <v>245</v>
      </c>
      <c r="V346" s="8">
        <f>IF(ข้อมูลสูตร!$A343="","",ข้อมูลสูตร!W343)</f>
        <v>57.13</v>
      </c>
      <c r="W346" s="64">
        <f>IF(ข้อมูลสูตร!$A343="","",ข้อมูลสูตร!X343)</f>
        <v>85</v>
      </c>
      <c r="X346" s="23">
        <f>IF(ข้อมูลสูตร!$A343="","",ข้อมูลสูตร!Y343)</f>
        <v>0.32788235294117646</v>
      </c>
      <c r="Y346" s="48" t="str">
        <f>IF(ข้อมูลสูตร!$A343="","",ข้อมูลสูตร!Z343)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346" s="48" t="str">
        <f>ข้อมูลสูตร!$A343</f>
        <v>Pure Matcha Premium|20 oz|25%</v>
      </c>
    </row>
    <row r="347" spans="1:26" x14ac:dyDescent="0.25">
      <c r="A347" s="4" t="str">
        <f>IF(ข้อมูลสูตร!$A344="","",ข้อมูลสูตร!B344)</f>
        <v>Pure Matcha Premium</v>
      </c>
      <c r="B347" s="4" t="str">
        <f>IF(ข้อมูลสูตร!$A344="","",ข้อมูลสูตร!C344)</f>
        <v>20 oz</v>
      </c>
      <c r="C347" s="4" t="str">
        <f>IF(ข้อมูลสูตร!$A344="","",ข้อมูลสูตร!D344)</f>
        <v>50%</v>
      </c>
      <c r="D347" s="63">
        <f>IF(ข้อมูลสูตร!$A344="","",ข้อมูลสูตร!E344)</f>
        <v>0</v>
      </c>
      <c r="E347" s="63">
        <f>IF(ข้อมูลสูตร!$A344="","",ข้อมูลสูตร!F344)</f>
        <v>0</v>
      </c>
      <c r="F347" s="63">
        <f>IF(ข้อมูลสูตร!$A344="","",ข้อมูลสูตร!G344)</f>
        <v>0</v>
      </c>
      <c r="G347" s="63">
        <f>IF(ข้อมูลสูตร!$A344="","",ข้อมูลสูตร!H344)</f>
        <v>0</v>
      </c>
      <c r="H347" s="63">
        <f>IF(ข้อมูลสูตร!$A344="","",ข้อมูลสูตร!I344)</f>
        <v>0</v>
      </c>
      <c r="I347" s="63">
        <f>IF(ข้อมูลสูตร!$A344="","",ข้อมูลสูตร!J344)</f>
        <v>15</v>
      </c>
      <c r="J347" s="63">
        <f>IF(ข้อมูลสูตร!$A344="","",ข้อมูลสูตร!K344)</f>
        <v>0</v>
      </c>
      <c r="K347" s="63">
        <f>IF(ข้อมูลสูตร!$A344="","",ข้อมูลสูตร!L344)</f>
        <v>0</v>
      </c>
      <c r="L347" s="63">
        <f>IF(ข้อมูลสูตร!$A344="","",ข้อมูลสูตร!M344)</f>
        <v>0</v>
      </c>
      <c r="M347" s="63">
        <f>IF(ข้อมูลสูตร!$A344="","",ข้อมูลสูตร!N344)</f>
        <v>0</v>
      </c>
      <c r="N347" s="63">
        <f>IF(ข้อมูลสูตร!$A344="","",ข้อมูลสูตร!O344)</f>
        <v>0</v>
      </c>
      <c r="O347" s="63">
        <f>IF(ข้อมูลสูตร!$A344="","",ข้อมูลสูตร!P344)</f>
        <v>0</v>
      </c>
      <c r="P347" s="63">
        <f>IF(ข้อมูลสูตร!$A344="","",ข้อมูลสูตร!Q344)</f>
        <v>0</v>
      </c>
      <c r="Q347" s="63">
        <f>IF(ข้อมูลสูตร!$A344="","",ข้อมูลสูตร!R344)</f>
        <v>0</v>
      </c>
      <c r="R347" s="63">
        <f>IF(ข้อมูลสูตร!$A344="","",ข้อมูลสูตร!S344)</f>
        <v>300</v>
      </c>
      <c r="S347" s="63">
        <f>IF(ข้อมูลสูตร!$A344="","",ข้อมูลสูตร!T344)</f>
        <v>50</v>
      </c>
      <c r="T347" s="63">
        <f>IF(ข้อมูลสูตร!$A344="","",ข้อมูลสูตร!U344)</f>
        <v>187.5</v>
      </c>
      <c r="U347" s="64">
        <f>IF(ข้อมูลสูตร!$A344="","",ข้อมูลสูตร!V344)</f>
        <v>252.5</v>
      </c>
      <c r="V347" s="8">
        <f>IF(ข้อมูลสูตร!$A344="","",ข้อมูลสูตร!W344)</f>
        <v>57.26</v>
      </c>
      <c r="W347" s="64">
        <f>IF(ข้อมูลสูตร!$A344="","",ข้อมูลสูตร!X344)</f>
        <v>85</v>
      </c>
      <c r="X347" s="23">
        <f>IF(ข้อมูลสูตร!$A344="","",ข้อมูลสูตร!Y344)</f>
        <v>0.32635294117647062</v>
      </c>
      <c r="Y347" s="48" t="str">
        <f>IF(ข้อมูลสูตร!$A344="","",ข้อมูลสูตร!Z344)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347" s="48" t="str">
        <f>ข้อมูลสูตร!$A344</f>
        <v>Pure Matcha Premium|20 oz|50%</v>
      </c>
    </row>
    <row r="348" spans="1:26" x14ac:dyDescent="0.25">
      <c r="A348" s="4" t="str">
        <f>IF(ข้อมูลสูตร!$A345="","",ข้อมูลสูตร!B345)</f>
        <v>Pure Matcha Premium</v>
      </c>
      <c r="B348" s="4" t="str">
        <f>IF(ข้อมูลสูตร!$A345="","",ข้อมูลสูตร!C345)</f>
        <v>20 oz</v>
      </c>
      <c r="C348" s="4" t="str">
        <f>IF(ข้อมูลสูตร!$A345="","",ข้อมูลสูตร!D345)</f>
        <v>75%</v>
      </c>
      <c r="D348" s="63">
        <f>IF(ข้อมูลสูตร!$A345="","",ข้อมูลสูตร!E345)</f>
        <v>0</v>
      </c>
      <c r="E348" s="63">
        <f>IF(ข้อมูลสูตร!$A345="","",ข้อมูลสูตร!F345)</f>
        <v>0</v>
      </c>
      <c r="F348" s="63">
        <f>IF(ข้อมูลสูตร!$A345="","",ข้อมูลสูตร!G345)</f>
        <v>0</v>
      </c>
      <c r="G348" s="63">
        <f>IF(ข้อมูลสูตร!$A345="","",ข้อมูลสูตร!H345)</f>
        <v>0</v>
      </c>
      <c r="H348" s="63">
        <f>IF(ข้อมูลสูตร!$A345="","",ข้อมูลสูตร!I345)</f>
        <v>0</v>
      </c>
      <c r="I348" s="63">
        <f>IF(ข้อมูลสูตร!$A345="","",ข้อมูลสูตร!J345)</f>
        <v>22.5</v>
      </c>
      <c r="J348" s="63">
        <f>IF(ข้อมูลสูตร!$A345="","",ข้อมูลสูตร!K345)</f>
        <v>0</v>
      </c>
      <c r="K348" s="63">
        <f>IF(ข้อมูลสูตร!$A345="","",ข้อมูลสูตร!L345)</f>
        <v>0</v>
      </c>
      <c r="L348" s="63">
        <f>IF(ข้อมูลสูตร!$A345="","",ข้อมูลสูตร!M345)</f>
        <v>0</v>
      </c>
      <c r="M348" s="63">
        <f>IF(ข้อมูลสูตร!$A345="","",ข้อมูลสูตร!N345)</f>
        <v>0</v>
      </c>
      <c r="N348" s="63">
        <f>IF(ข้อมูลสูตร!$A345="","",ข้อมูลสูตร!O345)</f>
        <v>0</v>
      </c>
      <c r="O348" s="63">
        <f>IF(ข้อมูลสูตร!$A345="","",ข้อมูลสูตร!P345)</f>
        <v>0</v>
      </c>
      <c r="P348" s="63">
        <f>IF(ข้อมูลสูตร!$A345="","",ข้อมูลสูตร!Q345)</f>
        <v>0</v>
      </c>
      <c r="Q348" s="63">
        <f>IF(ข้อมูลสูตร!$A345="","",ข้อมูลสูตร!R345)</f>
        <v>0</v>
      </c>
      <c r="R348" s="63">
        <f>IF(ข้อมูลสูตร!$A345="","",ข้อมูลสูตร!S345)</f>
        <v>300</v>
      </c>
      <c r="S348" s="63">
        <f>IF(ข้อมูลสูตร!$A345="","",ข้อมูลสูตร!T345)</f>
        <v>50</v>
      </c>
      <c r="T348" s="63">
        <f>IF(ข้อมูลสูตร!$A345="","",ข้อมูลสูตร!U345)</f>
        <v>187.5</v>
      </c>
      <c r="U348" s="64">
        <f>IF(ข้อมูลสูตร!$A345="","",ข้อมูลสูตร!V345)</f>
        <v>260</v>
      </c>
      <c r="V348" s="8">
        <f>IF(ข้อมูลสูตร!$A345="","",ข้อมูลสูตร!W345)</f>
        <v>57.39</v>
      </c>
      <c r="W348" s="64">
        <f>IF(ข้อมูลสูตร!$A345="","",ข้อมูลสูตร!X345)</f>
        <v>85</v>
      </c>
      <c r="X348" s="23">
        <f>IF(ข้อมูลสูตร!$A345="","",ข้อมูลสูตร!Y345)</f>
        <v>0.32482352941176468</v>
      </c>
      <c r="Y348" s="48" t="str">
        <f>IF(ข้อมูลสูตร!$A345="","",ข้อมูลสูตร!Z345)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348" s="48" t="str">
        <f>ข้อมูลสูตร!$A345</f>
        <v>Pure Matcha Premium|20 oz|75%</v>
      </c>
    </row>
    <row r="349" spans="1:26" x14ac:dyDescent="0.25">
      <c r="A349" s="4" t="str">
        <f>IF(ข้อมูลสูตร!$A346="","",ข้อมูลสูตร!B346)</f>
        <v>Pure Matcha Premium</v>
      </c>
      <c r="B349" s="4" t="str">
        <f>IF(ข้อมูลสูตร!$A346="","",ข้อมูลสูตร!C346)</f>
        <v>20 oz</v>
      </c>
      <c r="C349" s="4" t="str">
        <f>IF(ข้อมูลสูตร!$A346="","",ข้อมูลสูตร!D346)</f>
        <v>100%</v>
      </c>
      <c r="D349" s="63">
        <f>IF(ข้อมูลสูตร!$A346="","",ข้อมูลสูตร!E346)</f>
        <v>0</v>
      </c>
      <c r="E349" s="63">
        <f>IF(ข้อมูลสูตร!$A346="","",ข้อมูลสูตร!F346)</f>
        <v>0</v>
      </c>
      <c r="F349" s="63">
        <f>IF(ข้อมูลสูตร!$A346="","",ข้อมูลสูตร!G346)</f>
        <v>0</v>
      </c>
      <c r="G349" s="63">
        <f>IF(ข้อมูลสูตร!$A346="","",ข้อมูลสูตร!H346)</f>
        <v>0</v>
      </c>
      <c r="H349" s="63">
        <f>IF(ข้อมูลสูตร!$A346="","",ข้อมูลสูตร!I346)</f>
        <v>0</v>
      </c>
      <c r="I349" s="63">
        <f>IF(ข้อมูลสูตร!$A346="","",ข้อมูลสูตร!J346)</f>
        <v>30</v>
      </c>
      <c r="J349" s="63">
        <f>IF(ข้อมูลสูตร!$A346="","",ข้อมูลสูตร!K346)</f>
        <v>0</v>
      </c>
      <c r="K349" s="63">
        <f>IF(ข้อมูลสูตร!$A346="","",ข้อมูลสูตร!L346)</f>
        <v>0</v>
      </c>
      <c r="L349" s="63">
        <f>IF(ข้อมูลสูตร!$A346="","",ข้อมูลสูตร!M346)</f>
        <v>0</v>
      </c>
      <c r="M349" s="63">
        <f>IF(ข้อมูลสูตร!$A346="","",ข้อมูลสูตร!N346)</f>
        <v>0</v>
      </c>
      <c r="N349" s="63">
        <f>IF(ข้อมูลสูตร!$A346="","",ข้อมูลสูตร!O346)</f>
        <v>0</v>
      </c>
      <c r="O349" s="63">
        <f>IF(ข้อมูลสูตร!$A346="","",ข้อมูลสูตร!P346)</f>
        <v>0</v>
      </c>
      <c r="P349" s="63">
        <f>IF(ข้อมูลสูตร!$A346="","",ข้อมูลสูตร!Q346)</f>
        <v>0</v>
      </c>
      <c r="Q349" s="63">
        <f>IF(ข้อมูลสูตร!$A346="","",ข้อมูลสูตร!R346)</f>
        <v>0</v>
      </c>
      <c r="R349" s="63">
        <f>IF(ข้อมูลสูตร!$A346="","",ข้อมูลสูตร!S346)</f>
        <v>300</v>
      </c>
      <c r="S349" s="63">
        <f>IF(ข้อมูลสูตร!$A346="","",ข้อมูลสูตร!T346)</f>
        <v>50</v>
      </c>
      <c r="T349" s="63">
        <f>IF(ข้อมูลสูตร!$A346="","",ข้อมูลสูตร!U346)</f>
        <v>187.5</v>
      </c>
      <c r="U349" s="64">
        <f>IF(ข้อมูลสูตร!$A346="","",ข้อมูลสูตร!V346)</f>
        <v>267.5</v>
      </c>
      <c r="V349" s="8">
        <f>IF(ข้อมูลสูตร!$A346="","",ข้อมูลสูตร!W346)</f>
        <v>57.51</v>
      </c>
      <c r="W349" s="64">
        <f>IF(ข้อมูลสูตร!$A346="","",ข้อมูลสูตร!X346)</f>
        <v>85</v>
      </c>
      <c r="X349" s="23">
        <f>IF(ข้อมูลสูตร!$A346="","",ข้อมูลสูตร!Y346)</f>
        <v>0.3234117647058824</v>
      </c>
      <c r="Y349" s="48" t="str">
        <f>IF(ข้อมูลสูตร!$A346="","",ข้อมูลสูตร!Z346)</f>
        <v>[20 oz = 16 oz x 1.25] เพียวมัทฉะ: มัทฉะช็อต + น้ำดื่มเย็น + น้ำเชื่อม (ไม่มีนม) — เทรนด์ Clear Matcha; หวานด้วยน้ำเชื่อมเท่านั้น เสิร์ฟพร้อมมะนาวฝานได้</v>
      </c>
      <c r="Z349" s="48" t="str">
        <f>ข้อมูลสูตร!$A346</f>
        <v>Pure Matcha Premium|20 oz|100%</v>
      </c>
    </row>
    <row r="350" spans="1:26" x14ac:dyDescent="0.25">
      <c r="A350" s="4" t="str">
        <f>IF(ข้อมูลสูตร!$A347="","",ข้อมูลสูตร!B347)</f>
        <v>Matcha Latte Premium</v>
      </c>
      <c r="B350" s="4" t="str">
        <f>IF(ข้อมูลสูตร!$A347="","",ข้อมูลสูตร!C347)</f>
        <v>20 oz</v>
      </c>
      <c r="C350" s="4" t="str">
        <f>IF(ข้อมูลสูตร!$A347="","",ข้อมูลสูตร!D347)</f>
        <v>0%</v>
      </c>
      <c r="D350" s="63">
        <f>IF(ข้อมูลสูตร!$A347="","",ข้อมูลสูตร!E347)</f>
        <v>0</v>
      </c>
      <c r="E350" s="63">
        <f>IF(ข้อมูลสูตร!$A347="","",ข้อมูลสูตร!F347)</f>
        <v>0</v>
      </c>
      <c r="F350" s="63">
        <f>IF(ข้อมูลสูตร!$A347="","",ข้อมูลสูตร!G347)</f>
        <v>150</v>
      </c>
      <c r="G350" s="63">
        <f>IF(ข้อมูลสูตร!$A347="","",ข้อมูลสูตร!H347)</f>
        <v>25</v>
      </c>
      <c r="H350" s="63">
        <f>IF(ข้อมูลสูตร!$A347="","",ข้อมูลสูตร!I347)</f>
        <v>0</v>
      </c>
      <c r="I350" s="63">
        <f>IF(ข้อมูลสูตร!$A347="","",ข้อมูลสูตร!J347)</f>
        <v>0</v>
      </c>
      <c r="J350" s="63">
        <f>IF(ข้อมูลสูตร!$A347="","",ข้อมูลสูตร!K347)</f>
        <v>0</v>
      </c>
      <c r="K350" s="63">
        <f>IF(ข้อมูลสูตร!$A347="","",ข้อมูลสูตร!L347)</f>
        <v>0</v>
      </c>
      <c r="L350" s="63">
        <f>IF(ข้อมูลสูตร!$A347="","",ข้อมูลสูตร!M347)</f>
        <v>0</v>
      </c>
      <c r="M350" s="63">
        <f>IF(ข้อมูลสูตร!$A347="","",ข้อมูลสูตร!N347)</f>
        <v>0</v>
      </c>
      <c r="N350" s="63">
        <f>IF(ข้อมูลสูตร!$A347="","",ข้อมูลสูตร!O347)</f>
        <v>0</v>
      </c>
      <c r="O350" s="63">
        <f>IF(ข้อมูลสูตร!$A347="","",ข้อมูลสูตร!P347)</f>
        <v>0</v>
      </c>
      <c r="P350" s="63">
        <f>IF(ข้อมูลสูตร!$A347="","",ข้อมูลสูตร!Q347)</f>
        <v>0</v>
      </c>
      <c r="Q350" s="63">
        <f>IF(ข้อมูลสูตร!$A347="","",ข้อมูลสูตร!R347)</f>
        <v>0</v>
      </c>
      <c r="R350" s="63">
        <f>IF(ข้อมูลสูตร!$A347="","",ข้อมูลสูตร!S347)</f>
        <v>300</v>
      </c>
      <c r="S350" s="63">
        <f>IF(ข้อมูลสูตร!$A347="","",ข้อมูลสูตร!T347)</f>
        <v>50</v>
      </c>
      <c r="T350" s="63">
        <f>IF(ข้อมูลสูตร!$A347="","",ข้อมูลสูตร!U347)</f>
        <v>0</v>
      </c>
      <c r="U350" s="64">
        <f>IF(ข้อมูลสูตร!$A347="","",ข้อมูลสูตร!V347)</f>
        <v>225</v>
      </c>
      <c r="V350" s="8">
        <f>IF(ข้อมูลสูตร!$A347="","",ข้อมูลสูตร!W347)</f>
        <v>65.69</v>
      </c>
      <c r="W350" s="64">
        <f>IF(ข้อมูลสูตร!$A347="","",ข้อมูลสูตร!X347)</f>
        <v>95</v>
      </c>
      <c r="X350" s="23">
        <f>IF(ข้อมูลสูตร!$A347="","",ข้อมูลสูตร!Y347)</f>
        <v>0.3085263157894737</v>
      </c>
      <c r="Y350" s="48" t="str">
        <f>IF(ข้อมูลสูตร!$A347="","",ข้อมูลสูตร!Z347)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0" s="48" t="str">
        <f>ข้อมูลสูตร!$A347</f>
        <v>Matcha Latte Premium|20 oz|0%</v>
      </c>
    </row>
    <row r="351" spans="1:26" x14ac:dyDescent="0.25">
      <c r="A351" s="4" t="str">
        <f>IF(ข้อมูลสูตร!$A348="","",ข้อมูลสูตร!B348)</f>
        <v>Matcha Latte Premium</v>
      </c>
      <c r="B351" s="4" t="str">
        <f>IF(ข้อมูลสูตร!$A348="","",ข้อมูลสูตร!C348)</f>
        <v>20 oz</v>
      </c>
      <c r="C351" s="4" t="str">
        <f>IF(ข้อมูลสูตร!$A348="","",ข้อมูลสูตร!D348)</f>
        <v>25%</v>
      </c>
      <c r="D351" s="63">
        <f>IF(ข้อมูลสูตร!$A348="","",ข้อมูลสูตร!E348)</f>
        <v>0</v>
      </c>
      <c r="E351" s="63">
        <f>IF(ข้อมูลสูตร!$A348="","",ข้อมูลสูตร!F348)</f>
        <v>0</v>
      </c>
      <c r="F351" s="63">
        <f>IF(ข้อมูลสูตร!$A348="","",ข้อมูลสูตร!G348)</f>
        <v>146.30000000000001</v>
      </c>
      <c r="G351" s="63">
        <f>IF(ข้อมูลสูตร!$A348="","",ข้อมูลสูตร!H348)</f>
        <v>25</v>
      </c>
      <c r="H351" s="63">
        <f>IF(ข้อมูลสูตร!$A348="","",ข้อมูลสูตร!I348)</f>
        <v>0</v>
      </c>
      <c r="I351" s="63">
        <f>IF(ข้อมูลสูตร!$A348="","",ข้อมูลสูตร!J348)</f>
        <v>8.8000000000000007</v>
      </c>
      <c r="J351" s="63">
        <f>IF(ข้อมูลสูตร!$A348="","",ข้อมูลสูตร!K348)</f>
        <v>0</v>
      </c>
      <c r="K351" s="63">
        <f>IF(ข้อมูลสูตร!$A348="","",ข้อมูลสูตร!L348)</f>
        <v>0</v>
      </c>
      <c r="L351" s="63">
        <f>IF(ข้อมูลสูตร!$A348="","",ข้อมูลสูตร!M348)</f>
        <v>0</v>
      </c>
      <c r="M351" s="63">
        <f>IF(ข้อมูลสูตร!$A348="","",ข้อมูลสูตร!N348)</f>
        <v>0</v>
      </c>
      <c r="N351" s="63">
        <f>IF(ข้อมูลสูตร!$A348="","",ข้อมูลสูตร!O348)</f>
        <v>0</v>
      </c>
      <c r="O351" s="63">
        <f>IF(ข้อมูลสูตร!$A348="","",ข้อมูลสูตร!P348)</f>
        <v>0</v>
      </c>
      <c r="P351" s="63">
        <f>IF(ข้อมูลสูตร!$A348="","",ข้อมูลสูตร!Q348)</f>
        <v>0</v>
      </c>
      <c r="Q351" s="63">
        <f>IF(ข้อมูลสูตร!$A348="","",ข้อมูลสูตร!R348)</f>
        <v>0</v>
      </c>
      <c r="R351" s="63">
        <f>IF(ข้อมูลสูตร!$A348="","",ข้อมูลสูตร!S348)</f>
        <v>300</v>
      </c>
      <c r="S351" s="63">
        <f>IF(ข้อมูลสูตร!$A348="","",ข้อมูลสูตร!T348)</f>
        <v>50</v>
      </c>
      <c r="T351" s="63">
        <f>IF(ข้อมูลสูตร!$A348="","",ข้อมูลสูตร!U348)</f>
        <v>0</v>
      </c>
      <c r="U351" s="64">
        <f>IF(ข้อมูลสูตร!$A348="","",ข้อมูลสูตร!V348)</f>
        <v>230.10000000000002</v>
      </c>
      <c r="V351" s="8">
        <f>IF(ข้อมูลสูตร!$A348="","",ข้อมูลสูตร!W348)</f>
        <v>65.650000000000006</v>
      </c>
      <c r="W351" s="64">
        <f>IF(ข้อมูลสูตร!$A348="","",ข้อมูลสูตร!X348)</f>
        <v>95</v>
      </c>
      <c r="X351" s="23">
        <f>IF(ข้อมูลสูตร!$A348="","",ข้อมูลสูตร!Y348)</f>
        <v>0.30894736842105258</v>
      </c>
      <c r="Y351" s="48" t="str">
        <f>IF(ข้อมูลสูตร!$A348="","",ข้อมูลสูตร!Z348)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1" s="48" t="str">
        <f>ข้อมูลสูตร!$A348</f>
        <v>Matcha Latte Premium|20 oz|25%</v>
      </c>
    </row>
    <row r="352" spans="1:26" x14ac:dyDescent="0.25">
      <c r="A352" s="4" t="str">
        <f>IF(ข้อมูลสูตร!$A349="","",ข้อมูลสูตร!B349)</f>
        <v>Matcha Latte Premium</v>
      </c>
      <c r="B352" s="4" t="str">
        <f>IF(ข้อมูลสูตร!$A349="","",ข้อมูลสูตร!C349)</f>
        <v>20 oz</v>
      </c>
      <c r="C352" s="4" t="str">
        <f>IF(ข้อมูลสูตร!$A349="","",ข้อมูลสูตร!D349)</f>
        <v>50%</v>
      </c>
      <c r="D352" s="63">
        <f>IF(ข้อมูลสูตร!$A349="","",ข้อมูลสูตร!E349)</f>
        <v>0</v>
      </c>
      <c r="E352" s="63">
        <f>IF(ข้อมูลสูตร!$A349="","",ข้อมูลสูตร!F349)</f>
        <v>0</v>
      </c>
      <c r="F352" s="63">
        <f>IF(ข้อมูลสูตร!$A349="","",ข้อมูลสูตร!G349)</f>
        <v>142.5</v>
      </c>
      <c r="G352" s="63">
        <f>IF(ข้อมูลสูตร!$A349="","",ข้อมูลสูตร!H349)</f>
        <v>25</v>
      </c>
      <c r="H352" s="63">
        <f>IF(ข้อมูลสูตร!$A349="","",ข้อมูลสูตร!I349)</f>
        <v>0</v>
      </c>
      <c r="I352" s="63">
        <f>IF(ข้อมูลสูตร!$A349="","",ข้อมูลสูตร!J349)</f>
        <v>17.5</v>
      </c>
      <c r="J352" s="63">
        <f>IF(ข้อมูลสูตร!$A349="","",ข้อมูลสูตร!K349)</f>
        <v>0</v>
      </c>
      <c r="K352" s="63">
        <f>IF(ข้อมูลสูตร!$A349="","",ข้อมูลสูตร!L349)</f>
        <v>0</v>
      </c>
      <c r="L352" s="63">
        <f>IF(ข้อมูลสูตร!$A349="","",ข้อมูลสูตร!M349)</f>
        <v>0</v>
      </c>
      <c r="M352" s="63">
        <f>IF(ข้อมูลสูตร!$A349="","",ข้อมูลสูตร!N349)</f>
        <v>0</v>
      </c>
      <c r="N352" s="63">
        <f>IF(ข้อมูลสูตร!$A349="","",ข้อมูลสูตร!O349)</f>
        <v>0</v>
      </c>
      <c r="O352" s="63">
        <f>IF(ข้อมูลสูตร!$A349="","",ข้อมูลสูตร!P349)</f>
        <v>0</v>
      </c>
      <c r="P352" s="63">
        <f>IF(ข้อมูลสูตร!$A349="","",ข้อมูลสูตร!Q349)</f>
        <v>0</v>
      </c>
      <c r="Q352" s="63">
        <f>IF(ข้อมูลสูตร!$A349="","",ข้อมูลสูตร!R349)</f>
        <v>0</v>
      </c>
      <c r="R352" s="63">
        <f>IF(ข้อมูลสูตร!$A349="","",ข้อมูลสูตร!S349)</f>
        <v>300</v>
      </c>
      <c r="S352" s="63">
        <f>IF(ข้อมูลสูตร!$A349="","",ข้อมูลสูตร!T349)</f>
        <v>50</v>
      </c>
      <c r="T352" s="63">
        <f>IF(ข้อมูลสูตร!$A349="","",ข้อมูลสูตร!U349)</f>
        <v>0</v>
      </c>
      <c r="U352" s="64">
        <f>IF(ข้อมูลสูตร!$A349="","",ข้อมูลสูตร!V349)</f>
        <v>235</v>
      </c>
      <c r="V352" s="8">
        <f>IF(ข้อมูลสูตร!$A349="","",ข้อมูลสูตร!W349)</f>
        <v>65.62</v>
      </c>
      <c r="W352" s="64">
        <f>IF(ข้อมูลสูตร!$A349="","",ข้อมูลสูตร!X349)</f>
        <v>95</v>
      </c>
      <c r="X352" s="23">
        <f>IF(ข้อมูลสูตร!$A349="","",ข้อมูลสูตร!Y349)</f>
        <v>0.3092631578947368</v>
      </c>
      <c r="Y352" s="48" t="str">
        <f>IF(ข้อมูลสูตร!$A349="","",ข้อมูลสูตร!Z349)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2" s="48" t="str">
        <f>ข้อมูลสูตร!$A349</f>
        <v>Matcha Latte Premium|20 oz|50%</v>
      </c>
    </row>
    <row r="353" spans="1:26" x14ac:dyDescent="0.25">
      <c r="A353" s="4" t="str">
        <f>IF(ข้อมูลสูตร!$A350="","",ข้อมูลสูตร!B350)</f>
        <v>Matcha Latte Premium</v>
      </c>
      <c r="B353" s="4" t="str">
        <f>IF(ข้อมูลสูตร!$A350="","",ข้อมูลสูตร!C350)</f>
        <v>20 oz</v>
      </c>
      <c r="C353" s="4" t="str">
        <f>IF(ข้อมูลสูตร!$A350="","",ข้อมูลสูตร!D350)</f>
        <v>75%</v>
      </c>
      <c r="D353" s="63">
        <f>IF(ข้อมูลสูตร!$A350="","",ข้อมูลสูตร!E350)</f>
        <v>0</v>
      </c>
      <c r="E353" s="63">
        <f>IF(ข้อมูลสูตร!$A350="","",ข้อมูลสูตร!F350)</f>
        <v>0</v>
      </c>
      <c r="F353" s="63">
        <f>IF(ข้อมูลสูตร!$A350="","",ข้อมูลสูตร!G350)</f>
        <v>138.80000000000001</v>
      </c>
      <c r="G353" s="63">
        <f>IF(ข้อมูลสูตร!$A350="","",ข้อมูลสูตร!H350)</f>
        <v>25</v>
      </c>
      <c r="H353" s="63">
        <f>IF(ข้อมูลสูตร!$A350="","",ข้อมูลสูตร!I350)</f>
        <v>0</v>
      </c>
      <c r="I353" s="63">
        <f>IF(ข้อมูลสูตร!$A350="","",ข้อมูลสูตร!J350)</f>
        <v>26.3</v>
      </c>
      <c r="J353" s="63">
        <f>IF(ข้อมูลสูตร!$A350="","",ข้อมูลสูตร!K350)</f>
        <v>0</v>
      </c>
      <c r="K353" s="63">
        <f>IF(ข้อมูลสูตร!$A350="","",ข้อมูลสูตร!L350)</f>
        <v>0</v>
      </c>
      <c r="L353" s="63">
        <f>IF(ข้อมูลสูตร!$A350="","",ข้อมูลสูตร!M350)</f>
        <v>0</v>
      </c>
      <c r="M353" s="63">
        <f>IF(ข้อมูลสูตร!$A350="","",ข้อมูลสูตร!N350)</f>
        <v>0</v>
      </c>
      <c r="N353" s="63">
        <f>IF(ข้อมูลสูตร!$A350="","",ข้อมูลสูตร!O350)</f>
        <v>0</v>
      </c>
      <c r="O353" s="63">
        <f>IF(ข้อมูลสูตร!$A350="","",ข้อมูลสูตร!P350)</f>
        <v>0</v>
      </c>
      <c r="P353" s="63">
        <f>IF(ข้อมูลสูตร!$A350="","",ข้อมูลสูตร!Q350)</f>
        <v>0</v>
      </c>
      <c r="Q353" s="63">
        <f>IF(ข้อมูลสูตร!$A350="","",ข้อมูลสูตร!R350)</f>
        <v>0</v>
      </c>
      <c r="R353" s="63">
        <f>IF(ข้อมูลสูตร!$A350="","",ข้อมูลสูตร!S350)</f>
        <v>300</v>
      </c>
      <c r="S353" s="63">
        <f>IF(ข้อมูลสูตร!$A350="","",ข้อมูลสูตร!T350)</f>
        <v>50</v>
      </c>
      <c r="T353" s="63">
        <f>IF(ข้อมูลสูตร!$A350="","",ข้อมูลสูตร!U350)</f>
        <v>0</v>
      </c>
      <c r="U353" s="64">
        <f>IF(ข้อมูลสูตร!$A350="","",ข้อมูลสูตร!V350)</f>
        <v>240.10000000000002</v>
      </c>
      <c r="V353" s="8">
        <f>IF(ข้อมูลสูตร!$A350="","",ข้อมูลสูตร!W350)</f>
        <v>65.59</v>
      </c>
      <c r="W353" s="64">
        <f>IF(ข้อมูลสูตร!$A350="","",ข้อมูลสูตร!X350)</f>
        <v>95</v>
      </c>
      <c r="X353" s="23">
        <f>IF(ข้อมูลสูตร!$A350="","",ข้อมูลสูตร!Y350)</f>
        <v>0.30957894736842101</v>
      </c>
      <c r="Y353" s="48" t="str">
        <f>IF(ข้อมูลสูตร!$A350="","",ข้อมูลสูตร!Z350)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3" s="48" t="str">
        <f>ข้อมูลสูตร!$A350</f>
        <v>Matcha Latte Premium|20 oz|75%</v>
      </c>
    </row>
    <row r="354" spans="1:26" x14ac:dyDescent="0.25">
      <c r="A354" s="4" t="str">
        <f>IF(ข้อมูลสูตร!$A351="","",ข้อมูลสูตร!B351)</f>
        <v>Matcha Latte Premium</v>
      </c>
      <c r="B354" s="4" t="str">
        <f>IF(ข้อมูลสูตร!$A351="","",ข้อมูลสูตร!C351)</f>
        <v>20 oz</v>
      </c>
      <c r="C354" s="4" t="str">
        <f>IF(ข้อมูลสูตร!$A351="","",ข้อมูลสูตร!D351)</f>
        <v>100%</v>
      </c>
      <c r="D354" s="63">
        <f>IF(ข้อมูลสูตร!$A351="","",ข้อมูลสูตร!E351)</f>
        <v>0</v>
      </c>
      <c r="E354" s="63">
        <f>IF(ข้อมูลสูตร!$A351="","",ข้อมูลสูตร!F351)</f>
        <v>0</v>
      </c>
      <c r="F354" s="63">
        <f>IF(ข้อมูลสูตร!$A351="","",ข้อมูลสูตร!G351)</f>
        <v>135</v>
      </c>
      <c r="G354" s="63">
        <f>IF(ข้อมูลสูตร!$A351="","",ข้อมูลสูตร!H351)</f>
        <v>25</v>
      </c>
      <c r="H354" s="63">
        <f>IF(ข้อมูลสูตร!$A351="","",ข้อมูลสูตร!I351)</f>
        <v>0</v>
      </c>
      <c r="I354" s="63">
        <f>IF(ข้อมูลสูตร!$A351="","",ข้อมูลสูตร!J351)</f>
        <v>35</v>
      </c>
      <c r="J354" s="63">
        <f>IF(ข้อมูลสูตร!$A351="","",ข้อมูลสูตร!K351)</f>
        <v>0</v>
      </c>
      <c r="K354" s="63">
        <f>IF(ข้อมูลสูตร!$A351="","",ข้อมูลสูตร!L351)</f>
        <v>0</v>
      </c>
      <c r="L354" s="63">
        <f>IF(ข้อมูลสูตร!$A351="","",ข้อมูลสูตร!M351)</f>
        <v>0</v>
      </c>
      <c r="M354" s="63">
        <f>IF(ข้อมูลสูตร!$A351="","",ข้อมูลสูตร!N351)</f>
        <v>0</v>
      </c>
      <c r="N354" s="63">
        <f>IF(ข้อมูลสูตร!$A351="","",ข้อมูลสูตร!O351)</f>
        <v>0</v>
      </c>
      <c r="O354" s="63">
        <f>IF(ข้อมูลสูตร!$A351="","",ข้อมูลสูตร!P351)</f>
        <v>0</v>
      </c>
      <c r="P354" s="63">
        <f>IF(ข้อมูลสูตร!$A351="","",ข้อมูลสูตร!Q351)</f>
        <v>0</v>
      </c>
      <c r="Q354" s="63">
        <f>IF(ข้อมูลสูตร!$A351="","",ข้อมูลสูตร!R351)</f>
        <v>0</v>
      </c>
      <c r="R354" s="63">
        <f>IF(ข้อมูลสูตร!$A351="","",ข้อมูลสูตร!S351)</f>
        <v>300</v>
      </c>
      <c r="S354" s="63">
        <f>IF(ข้อมูลสูตร!$A351="","",ข้อมูลสูตร!T351)</f>
        <v>50</v>
      </c>
      <c r="T354" s="63">
        <f>IF(ข้อมูลสูตร!$A351="","",ข้อมูลสูตร!U351)</f>
        <v>0</v>
      </c>
      <c r="U354" s="64">
        <f>IF(ข้อมูลสูตร!$A351="","",ข้อมูลสูตร!V351)</f>
        <v>245</v>
      </c>
      <c r="V354" s="8">
        <f>IF(ข้อมูลสูตร!$A351="","",ข้อมูลสูตร!W351)</f>
        <v>65.55</v>
      </c>
      <c r="W354" s="64">
        <f>IF(ข้อมูลสูตร!$A351="","",ข้อมูลสูตร!X351)</f>
        <v>95</v>
      </c>
      <c r="X354" s="23">
        <f>IF(ข้อมูลสูตร!$A351="","",ข้อมูลสูตร!Y351)</f>
        <v>0.31000000000000005</v>
      </c>
      <c r="Y354" s="48" t="str">
        <f>IF(ข้อมูลสูตร!$A351="","",ข้อมูลสูตร!Z351)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4" s="48" t="str">
        <f>ข้อมูลสูตร!$A351</f>
        <v>Matcha Latte Premium|20 oz|100%</v>
      </c>
    </row>
    <row r="355" spans="1:26" x14ac:dyDescent="0.25">
      <c r="A355" s="4" t="str">
        <f>IF(ข้อมูลสูตร!$A352="","",ข้อมูลสูตร!B352)</f>
        <v>Matcha Coconut Premium</v>
      </c>
      <c r="B355" s="4" t="str">
        <f>IF(ข้อมูลสูตร!$A352="","",ข้อมูลสูตร!C352)</f>
        <v>20 oz</v>
      </c>
      <c r="C355" s="4" t="str">
        <f>IF(ข้อมูลสูตร!$A352="","",ข้อมูลสูตร!D352)</f>
        <v>0%</v>
      </c>
      <c r="D355" s="63">
        <f>IF(ข้อมูลสูตร!$A352="","",ข้อมูลสูตร!E352)</f>
        <v>0</v>
      </c>
      <c r="E355" s="63">
        <f>IF(ข้อมูลสูตร!$A352="","",ข้อมูลสูตร!F352)</f>
        <v>0</v>
      </c>
      <c r="F355" s="63">
        <f>IF(ข้อมูลสูตร!$A352="","",ข้อมูลสูตร!G352)</f>
        <v>0</v>
      </c>
      <c r="G355" s="63">
        <f>IF(ข้อมูลสูตร!$A352="","",ข้อมูลสูตร!H352)</f>
        <v>0</v>
      </c>
      <c r="H355" s="63">
        <f>IF(ข้อมูลสูตร!$A352="","",ข้อมูลสูตร!I352)</f>
        <v>0</v>
      </c>
      <c r="I355" s="63">
        <f>IF(ข้อมูลสูตร!$A352="","",ข้อมูลสูตร!J352)</f>
        <v>0</v>
      </c>
      <c r="J355" s="63">
        <f>IF(ข้อมูลสูตร!$A352="","",ข้อมูลสูตร!K352)</f>
        <v>0</v>
      </c>
      <c r="K355" s="63">
        <f>IF(ข้อมูลสูตร!$A352="","",ข้อมูลสูตร!L352)</f>
        <v>0</v>
      </c>
      <c r="L355" s="63">
        <f>IF(ข้อมูลสูตร!$A352="","",ข้อมูลสูตร!M352)</f>
        <v>0</v>
      </c>
      <c r="M355" s="63">
        <f>IF(ข้อมูลสูตร!$A352="","",ข้อมูลสูตร!N352)</f>
        <v>175</v>
      </c>
      <c r="N355" s="63">
        <f>IF(ข้อมูลสูตร!$A352="","",ข้อมูลสูตร!O352)</f>
        <v>0</v>
      </c>
      <c r="O355" s="63">
        <f>IF(ข้อมูลสูตร!$A352="","",ข้อมูลสูตร!P352)</f>
        <v>0</v>
      </c>
      <c r="P355" s="63">
        <f>IF(ข้อมูลสูตร!$A352="","",ข้อมูลสูตร!Q352)</f>
        <v>0</v>
      </c>
      <c r="Q355" s="63">
        <f>IF(ข้อมูลสูตร!$A352="","",ข้อมูลสูตร!R352)</f>
        <v>0</v>
      </c>
      <c r="R355" s="63">
        <f>IF(ข้อมูลสูตร!$A352="","",ข้อมูลสูตร!S352)</f>
        <v>275</v>
      </c>
      <c r="S355" s="63">
        <f>IF(ข้อมูลสูตร!$A352="","",ข้อมูลสูตร!T352)</f>
        <v>50</v>
      </c>
      <c r="T355" s="63">
        <f>IF(ข้อมูลสูตร!$A352="","",ข้อมูลสูตร!U352)</f>
        <v>0</v>
      </c>
      <c r="U355" s="64">
        <f>IF(ข้อมูลสูตร!$A352="","",ข้อมูลสูตร!V352)</f>
        <v>225</v>
      </c>
      <c r="V355" s="8">
        <f>IF(ข้อมูลสูตร!$A352="","",ข้อมูลสูตร!W352)</f>
        <v>69.150000000000006</v>
      </c>
      <c r="W355" s="64">
        <f>IF(ข้อมูลสูตร!$A352="","",ข้อมูลสูตร!X352)</f>
        <v>105</v>
      </c>
      <c r="X355" s="23">
        <f>IF(ข้อมูลสูตร!$A352="","",ข้อมูลสูตร!Y352)</f>
        <v>0.34142857142857136</v>
      </c>
      <c r="Y355" s="48" t="str">
        <f>IF(ข้อมูลสูตร!$A352="","",ข้อมูลสูตร!Z352)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5" s="48" t="str">
        <f>ข้อมูลสูตร!$A352</f>
        <v>Matcha Coconut Premium|20 oz|0%</v>
      </c>
    </row>
    <row r="356" spans="1:26" x14ac:dyDescent="0.25">
      <c r="A356" s="4" t="str">
        <f>IF(ข้อมูลสูตร!$A353="","",ข้อมูลสูตร!B353)</f>
        <v>Matcha Coconut Premium</v>
      </c>
      <c r="B356" s="4" t="str">
        <f>IF(ข้อมูลสูตร!$A353="","",ข้อมูลสูตร!C353)</f>
        <v>20 oz</v>
      </c>
      <c r="C356" s="4" t="str">
        <f>IF(ข้อมูลสูตร!$A353="","",ข้อมูลสูตร!D353)</f>
        <v>25%</v>
      </c>
      <c r="D356" s="63">
        <f>IF(ข้อมูลสูตร!$A353="","",ข้อมูลสูตร!E353)</f>
        <v>0</v>
      </c>
      <c r="E356" s="63">
        <f>IF(ข้อมูลสูตร!$A353="","",ข้อมูลสูตร!F353)</f>
        <v>0</v>
      </c>
      <c r="F356" s="63">
        <f>IF(ข้อมูลสูตร!$A353="","",ข้อมูลสูตร!G353)</f>
        <v>0</v>
      </c>
      <c r="G356" s="63">
        <f>IF(ข้อมูลสูตร!$A353="","",ข้อมูลสูตร!H353)</f>
        <v>0</v>
      </c>
      <c r="H356" s="63">
        <f>IF(ข้อมูลสูตร!$A353="","",ข้อมูลสูตร!I353)</f>
        <v>0</v>
      </c>
      <c r="I356" s="63">
        <f>IF(ข้อมูลสูตร!$A353="","",ข้อมูลสูตร!J353)</f>
        <v>7.5</v>
      </c>
      <c r="J356" s="63">
        <f>IF(ข้อมูลสูตร!$A353="","",ข้อมูลสูตร!K353)</f>
        <v>0</v>
      </c>
      <c r="K356" s="63">
        <f>IF(ข้อมูลสูตร!$A353="","",ข้อมูลสูตร!L353)</f>
        <v>0</v>
      </c>
      <c r="L356" s="63">
        <f>IF(ข้อมูลสูตร!$A353="","",ข้อมูลสูตร!M353)</f>
        <v>0</v>
      </c>
      <c r="M356" s="63">
        <f>IF(ข้อมูลสูตร!$A353="","",ข้อมูลสูตร!N353)</f>
        <v>175</v>
      </c>
      <c r="N356" s="63">
        <f>IF(ข้อมูลสูตร!$A353="","",ข้อมูลสูตร!O353)</f>
        <v>0</v>
      </c>
      <c r="O356" s="63">
        <f>IF(ข้อมูลสูตร!$A353="","",ข้อมูลสูตร!P353)</f>
        <v>0</v>
      </c>
      <c r="P356" s="63">
        <f>IF(ข้อมูลสูตร!$A353="","",ข้อมูลสูตร!Q353)</f>
        <v>0</v>
      </c>
      <c r="Q356" s="63">
        <f>IF(ข้อมูลสูตร!$A353="","",ข้อมูลสูตร!R353)</f>
        <v>0</v>
      </c>
      <c r="R356" s="63">
        <f>IF(ข้อมูลสูตร!$A353="","",ข้อมูลสูตร!S353)</f>
        <v>275</v>
      </c>
      <c r="S356" s="63">
        <f>IF(ข้อมูลสูตร!$A353="","",ข้อมูลสูตร!T353)</f>
        <v>50</v>
      </c>
      <c r="T356" s="63">
        <f>IF(ข้อมูลสูตร!$A353="","",ข้อมูลสูตร!U353)</f>
        <v>0</v>
      </c>
      <c r="U356" s="64">
        <f>IF(ข้อมูลสูตร!$A353="","",ข้อมูลสูตร!V353)</f>
        <v>232.5</v>
      </c>
      <c r="V356" s="8">
        <f>IF(ข้อมูลสูตร!$A353="","",ข้อมูลสูตร!W353)</f>
        <v>69.28</v>
      </c>
      <c r="W356" s="64">
        <f>IF(ข้อมูลสูตร!$A353="","",ข้อมูลสูตร!X353)</f>
        <v>105</v>
      </c>
      <c r="X356" s="23">
        <f>IF(ข้อมูลสูตร!$A353="","",ข้อมูลสูตร!Y353)</f>
        <v>0.34019047619047615</v>
      </c>
      <c r="Y356" s="48" t="str">
        <f>IF(ข้อมูลสูตร!$A353="","",ข้อมูลสูตร!Z353)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6" s="48" t="str">
        <f>ข้อมูลสูตร!$A353</f>
        <v>Matcha Coconut Premium|20 oz|25%</v>
      </c>
    </row>
    <row r="357" spans="1:26" x14ac:dyDescent="0.25">
      <c r="A357" s="4" t="str">
        <f>IF(ข้อมูลสูตร!$A354="","",ข้อมูลสูตร!B354)</f>
        <v>Matcha Coconut Premium</v>
      </c>
      <c r="B357" s="4" t="str">
        <f>IF(ข้อมูลสูตร!$A354="","",ข้อมูลสูตร!C354)</f>
        <v>20 oz</v>
      </c>
      <c r="C357" s="4" t="str">
        <f>IF(ข้อมูลสูตร!$A354="","",ข้อมูลสูตร!D354)</f>
        <v>50%</v>
      </c>
      <c r="D357" s="63">
        <f>IF(ข้อมูลสูตร!$A354="","",ข้อมูลสูตร!E354)</f>
        <v>0</v>
      </c>
      <c r="E357" s="63">
        <f>IF(ข้อมูลสูตร!$A354="","",ข้อมูลสูตร!F354)</f>
        <v>0</v>
      </c>
      <c r="F357" s="63">
        <f>IF(ข้อมูลสูตร!$A354="","",ข้อมูลสูตร!G354)</f>
        <v>0</v>
      </c>
      <c r="G357" s="63">
        <f>IF(ข้อมูลสูตร!$A354="","",ข้อมูลสูตร!H354)</f>
        <v>0</v>
      </c>
      <c r="H357" s="63">
        <f>IF(ข้อมูลสูตร!$A354="","",ข้อมูลสูตร!I354)</f>
        <v>0</v>
      </c>
      <c r="I357" s="63">
        <f>IF(ข้อมูลสูตร!$A354="","",ข้อมูลสูตร!J354)</f>
        <v>15</v>
      </c>
      <c r="J357" s="63">
        <f>IF(ข้อมูลสูตร!$A354="","",ข้อมูลสูตร!K354)</f>
        <v>0</v>
      </c>
      <c r="K357" s="63">
        <f>IF(ข้อมูลสูตร!$A354="","",ข้อมูลสูตร!L354)</f>
        <v>0</v>
      </c>
      <c r="L357" s="63">
        <f>IF(ข้อมูลสูตร!$A354="","",ข้อมูลสูตร!M354)</f>
        <v>0</v>
      </c>
      <c r="M357" s="63">
        <f>IF(ข้อมูลสูตร!$A354="","",ข้อมูลสูตร!N354)</f>
        <v>175</v>
      </c>
      <c r="N357" s="63">
        <f>IF(ข้อมูลสูตร!$A354="","",ข้อมูลสูตร!O354)</f>
        <v>0</v>
      </c>
      <c r="O357" s="63">
        <f>IF(ข้อมูลสูตร!$A354="","",ข้อมูลสูตร!P354)</f>
        <v>0</v>
      </c>
      <c r="P357" s="63">
        <f>IF(ข้อมูลสูตร!$A354="","",ข้อมูลสูตร!Q354)</f>
        <v>0</v>
      </c>
      <c r="Q357" s="63">
        <f>IF(ข้อมูลสูตร!$A354="","",ข้อมูลสูตร!R354)</f>
        <v>0</v>
      </c>
      <c r="R357" s="63">
        <f>IF(ข้อมูลสูตร!$A354="","",ข้อมูลสูตร!S354)</f>
        <v>275</v>
      </c>
      <c r="S357" s="63">
        <f>IF(ข้อมูลสูตร!$A354="","",ข้อมูลสูตร!T354)</f>
        <v>50</v>
      </c>
      <c r="T357" s="63">
        <f>IF(ข้อมูลสูตร!$A354="","",ข้อมูลสูตร!U354)</f>
        <v>0</v>
      </c>
      <c r="U357" s="64">
        <f>IF(ข้อมูลสูตร!$A354="","",ข้อมูลสูตร!V354)</f>
        <v>240</v>
      </c>
      <c r="V357" s="8">
        <f>IF(ข้อมูลสูตร!$A354="","",ข้อมูลสูตร!W354)</f>
        <v>69.400000000000006</v>
      </c>
      <c r="W357" s="64">
        <f>IF(ข้อมูลสูตร!$A354="","",ข้อมูลสูตร!X354)</f>
        <v>105</v>
      </c>
      <c r="X357" s="23">
        <f>IF(ข้อมูลสูตร!$A354="","",ข้อมูลสูตร!Y354)</f>
        <v>0.33904761904761899</v>
      </c>
      <c r="Y357" s="48" t="str">
        <f>IF(ข้อมูลสูตร!$A354="","",ข้อมูลสูตร!Z354)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7" s="48" t="str">
        <f>ข้อมูลสูตร!$A354</f>
        <v>Matcha Coconut Premium|20 oz|50%</v>
      </c>
    </row>
    <row r="358" spans="1:26" x14ac:dyDescent="0.25">
      <c r="A358" s="4" t="str">
        <f>IF(ข้อมูลสูตร!$A355="","",ข้อมูลสูตร!B355)</f>
        <v>Matcha Coconut Premium</v>
      </c>
      <c r="B358" s="4" t="str">
        <f>IF(ข้อมูลสูตร!$A355="","",ข้อมูลสูตร!C355)</f>
        <v>20 oz</v>
      </c>
      <c r="C358" s="4" t="str">
        <f>IF(ข้อมูลสูตร!$A355="","",ข้อมูลสูตร!D355)</f>
        <v>75%</v>
      </c>
      <c r="D358" s="63">
        <f>IF(ข้อมูลสูตร!$A355="","",ข้อมูลสูตร!E355)</f>
        <v>0</v>
      </c>
      <c r="E358" s="63">
        <f>IF(ข้อมูลสูตร!$A355="","",ข้อมูลสูตร!F355)</f>
        <v>0</v>
      </c>
      <c r="F358" s="63">
        <f>IF(ข้อมูลสูตร!$A355="","",ข้อมูลสูตร!G355)</f>
        <v>0</v>
      </c>
      <c r="G358" s="63">
        <f>IF(ข้อมูลสูตร!$A355="","",ข้อมูลสูตร!H355)</f>
        <v>0</v>
      </c>
      <c r="H358" s="63">
        <f>IF(ข้อมูลสูตร!$A355="","",ข้อมูลสูตร!I355)</f>
        <v>0</v>
      </c>
      <c r="I358" s="63">
        <f>IF(ข้อมูลสูตร!$A355="","",ข้อมูลสูตร!J355)</f>
        <v>22.5</v>
      </c>
      <c r="J358" s="63">
        <f>IF(ข้อมูลสูตร!$A355="","",ข้อมูลสูตร!K355)</f>
        <v>0</v>
      </c>
      <c r="K358" s="63">
        <f>IF(ข้อมูลสูตร!$A355="","",ข้อมูลสูตร!L355)</f>
        <v>0</v>
      </c>
      <c r="L358" s="63">
        <f>IF(ข้อมูลสูตร!$A355="","",ข้อมูลสูตร!M355)</f>
        <v>0</v>
      </c>
      <c r="M358" s="63">
        <f>IF(ข้อมูลสูตร!$A355="","",ข้อมูลสูตร!N355)</f>
        <v>175</v>
      </c>
      <c r="N358" s="63">
        <f>IF(ข้อมูลสูตร!$A355="","",ข้อมูลสูตร!O355)</f>
        <v>0</v>
      </c>
      <c r="O358" s="63">
        <f>IF(ข้อมูลสูตร!$A355="","",ข้อมูลสูตร!P355)</f>
        <v>0</v>
      </c>
      <c r="P358" s="63">
        <f>IF(ข้อมูลสูตร!$A355="","",ข้อมูลสูตร!Q355)</f>
        <v>0</v>
      </c>
      <c r="Q358" s="63">
        <f>IF(ข้อมูลสูตร!$A355="","",ข้อมูลสูตร!R355)</f>
        <v>0</v>
      </c>
      <c r="R358" s="63">
        <f>IF(ข้อมูลสูตร!$A355="","",ข้อมูลสูตร!S355)</f>
        <v>275</v>
      </c>
      <c r="S358" s="63">
        <f>IF(ข้อมูลสูตร!$A355="","",ข้อมูลสูตร!T355)</f>
        <v>50</v>
      </c>
      <c r="T358" s="63">
        <f>IF(ข้อมูลสูตร!$A355="","",ข้อมูลสูตร!U355)</f>
        <v>0</v>
      </c>
      <c r="U358" s="64">
        <f>IF(ข้อมูลสูตร!$A355="","",ข้อมูลสูตร!V355)</f>
        <v>247.5</v>
      </c>
      <c r="V358" s="8">
        <f>IF(ข้อมูลสูตร!$A355="","",ข้อมูลสูตร!W355)</f>
        <v>69.53</v>
      </c>
      <c r="W358" s="64">
        <f>IF(ข้อมูลสูตร!$A355="","",ข้อมูลสูตร!X355)</f>
        <v>105</v>
      </c>
      <c r="X358" s="23">
        <f>IF(ข้อมูลสูตร!$A355="","",ข้อมูลสูตร!Y355)</f>
        <v>0.33780952380952378</v>
      </c>
      <c r="Y358" s="48" t="str">
        <f>IF(ข้อมูลสูตร!$A355="","",ข้อมูลสูตร!Z355)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8" s="48" t="str">
        <f>ข้อมูลสูตร!$A355</f>
        <v>Matcha Coconut Premium|20 oz|75%</v>
      </c>
    </row>
    <row r="359" spans="1:26" x14ac:dyDescent="0.25">
      <c r="A359" s="4" t="str">
        <f>IF(ข้อมูลสูตร!$A356="","",ข้อมูลสูตร!B356)</f>
        <v>Matcha Coconut Premium</v>
      </c>
      <c r="B359" s="4" t="str">
        <f>IF(ข้อมูลสูตร!$A356="","",ข้อมูลสูตร!C356)</f>
        <v>20 oz</v>
      </c>
      <c r="C359" s="4" t="str">
        <f>IF(ข้อมูลสูตร!$A356="","",ข้อมูลสูตร!D356)</f>
        <v>100%</v>
      </c>
      <c r="D359" s="63">
        <f>IF(ข้อมูลสูตร!$A356="","",ข้อมูลสูตร!E356)</f>
        <v>0</v>
      </c>
      <c r="E359" s="63">
        <f>IF(ข้อมูลสูตร!$A356="","",ข้อมูลสูตร!F356)</f>
        <v>0</v>
      </c>
      <c r="F359" s="63">
        <f>IF(ข้อมูลสูตร!$A356="","",ข้อมูลสูตร!G356)</f>
        <v>0</v>
      </c>
      <c r="G359" s="63">
        <f>IF(ข้อมูลสูตร!$A356="","",ข้อมูลสูตร!H356)</f>
        <v>0</v>
      </c>
      <c r="H359" s="63">
        <f>IF(ข้อมูลสูตร!$A356="","",ข้อมูลสูตร!I356)</f>
        <v>0</v>
      </c>
      <c r="I359" s="63">
        <f>IF(ข้อมูลสูตร!$A356="","",ข้อมูลสูตร!J356)</f>
        <v>30</v>
      </c>
      <c r="J359" s="63">
        <f>IF(ข้อมูลสูตร!$A356="","",ข้อมูลสูตร!K356)</f>
        <v>0</v>
      </c>
      <c r="K359" s="63">
        <f>IF(ข้อมูลสูตร!$A356="","",ข้อมูลสูตร!L356)</f>
        <v>0</v>
      </c>
      <c r="L359" s="63">
        <f>IF(ข้อมูลสูตร!$A356="","",ข้อมูลสูตร!M356)</f>
        <v>0</v>
      </c>
      <c r="M359" s="63">
        <f>IF(ข้อมูลสูตร!$A356="","",ข้อมูลสูตร!N356)</f>
        <v>175</v>
      </c>
      <c r="N359" s="63">
        <f>IF(ข้อมูลสูตร!$A356="","",ข้อมูลสูตร!O356)</f>
        <v>0</v>
      </c>
      <c r="O359" s="63">
        <f>IF(ข้อมูลสูตร!$A356="","",ข้อมูลสูตร!P356)</f>
        <v>0</v>
      </c>
      <c r="P359" s="63">
        <f>IF(ข้อมูลสูตร!$A356="","",ข้อมูลสูตร!Q356)</f>
        <v>0</v>
      </c>
      <c r="Q359" s="63">
        <f>IF(ข้อมูลสูตร!$A356="","",ข้อมูลสูตร!R356)</f>
        <v>0</v>
      </c>
      <c r="R359" s="63">
        <f>IF(ข้อมูลสูตร!$A356="","",ข้อมูลสูตร!S356)</f>
        <v>275</v>
      </c>
      <c r="S359" s="63">
        <f>IF(ข้อมูลสูตร!$A356="","",ข้อมูลสูตร!T356)</f>
        <v>50</v>
      </c>
      <c r="T359" s="63">
        <f>IF(ข้อมูลสูตร!$A356="","",ข้อมูลสูตร!U356)</f>
        <v>0</v>
      </c>
      <c r="U359" s="64">
        <f>IF(ข้อมูลสูตร!$A356="","",ข้อมูลสูตร!V356)</f>
        <v>255</v>
      </c>
      <c r="V359" s="8">
        <f>IF(ข้อมูลสูตร!$A356="","",ข้อมูลสูตร!W356)</f>
        <v>69.650000000000006</v>
      </c>
      <c r="W359" s="64">
        <f>IF(ข้อมูลสูตร!$A356="","",ข้อมูลสูตร!X356)</f>
        <v>105</v>
      </c>
      <c r="X359" s="23">
        <f>IF(ข้อมูลสูตร!$A356="","",ข้อมูลสูตร!Y356)</f>
        <v>0.33666666666666661</v>
      </c>
      <c r="Y359" s="48" t="str">
        <f>IF(ข้อมูลสูตร!$A356="","",ข้อมูลสูตร!Z356)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59" s="48" t="str">
        <f>ข้อมูลสูตร!$A356</f>
        <v>Matcha Coconut Premium|20 oz|100%</v>
      </c>
    </row>
    <row r="360" spans="1:26" x14ac:dyDescent="0.25">
      <c r="A360" s="4" t="str">
        <f>IF(ข้อมูลสูตร!$A357="","",ข้อมูลสูตร!B357)</f>
        <v>Matcha Strawberry Premium</v>
      </c>
      <c r="B360" s="4" t="str">
        <f>IF(ข้อมูลสูตร!$A357="","",ข้อมูลสูตร!C357)</f>
        <v>20 oz</v>
      </c>
      <c r="C360" s="4" t="str">
        <f>IF(ข้อมูลสูตร!$A357="","",ข้อมูลสูตร!D357)</f>
        <v>0%</v>
      </c>
      <c r="D360" s="63">
        <f>IF(ข้อมูลสูตร!$A357="","",ข้อมูลสูตร!E357)</f>
        <v>0</v>
      </c>
      <c r="E360" s="63">
        <f>IF(ข้อมูลสูตร!$A357="","",ข้อมูลสูตร!F357)</f>
        <v>0</v>
      </c>
      <c r="F360" s="63">
        <f>IF(ข้อมูลสูตร!$A357="","",ข้อมูลสูตร!G357)</f>
        <v>150</v>
      </c>
      <c r="G360" s="63">
        <f>IF(ข้อมูลสูตร!$A357="","",ข้อมูลสูตร!H357)</f>
        <v>25</v>
      </c>
      <c r="H360" s="63">
        <f>IF(ข้อมูลสูตร!$A357="","",ข้อมูลสูตร!I357)</f>
        <v>0</v>
      </c>
      <c r="I360" s="63">
        <f>IF(ข้อมูลสูตร!$A357="","",ข้อมูลสูตร!J357)</f>
        <v>0</v>
      </c>
      <c r="J360" s="63">
        <f>IF(ข้อมูลสูตร!$A357="","",ข้อมูลสูตร!K357)</f>
        <v>0</v>
      </c>
      <c r="K360" s="63">
        <f>IF(ข้อมูลสูตร!$A357="","",ข้อมูลสูตร!L357)</f>
        <v>0</v>
      </c>
      <c r="L360" s="63">
        <f>IF(ข้อมูลสูตร!$A357="","",ข้อมูลสูตร!M357)</f>
        <v>0</v>
      </c>
      <c r="M360" s="63">
        <f>IF(ข้อมูลสูตร!$A357="","",ข้อมูลสูตร!N357)</f>
        <v>0</v>
      </c>
      <c r="N360" s="63">
        <f>IF(ข้อมูลสูตร!$A357="","",ข้อมูลสูตร!O357)</f>
        <v>31.3</v>
      </c>
      <c r="O360" s="63">
        <f>IF(ข้อมูลสูตร!$A357="","",ข้อมูลสูตร!P357)</f>
        <v>0</v>
      </c>
      <c r="P360" s="63">
        <f>IF(ข้อมูลสูตร!$A357="","",ข้อมูลสูตร!Q357)</f>
        <v>0</v>
      </c>
      <c r="Q360" s="63">
        <f>IF(ข้อมูลสูตร!$A357="","",ข้อมูลสูตร!R357)</f>
        <v>0</v>
      </c>
      <c r="R360" s="63">
        <f>IF(ข้อมูลสูตร!$A357="","",ข้อมูลสูตร!S357)</f>
        <v>300</v>
      </c>
      <c r="S360" s="63">
        <f>IF(ข้อมูลสูตร!$A357="","",ข้อมูลสูตร!T357)</f>
        <v>50</v>
      </c>
      <c r="T360" s="63">
        <f>IF(ข้อมูลสูตร!$A357="","",ข้อมูลสูตร!U357)</f>
        <v>0</v>
      </c>
      <c r="U360" s="64">
        <f>IF(ข้อมูลสูตร!$A357="","",ข้อมูลสูตร!V357)</f>
        <v>225</v>
      </c>
      <c r="V360" s="8">
        <f>IF(ข้อมูลสูตร!$A357="","",ข้อมูลสูตร!W357)</f>
        <v>71.319999999999993</v>
      </c>
      <c r="W360" s="64">
        <f>IF(ข้อมูลสูตร!$A357="","",ข้อมูลสูตร!X357)</f>
        <v>110</v>
      </c>
      <c r="X360" s="23">
        <f>IF(ข้อมูลสูตร!$A357="","",ข้อมูลสูตร!Y357)</f>
        <v>0.35163636363636369</v>
      </c>
      <c r="Y360" s="48" t="str">
        <f>IF(ข้อมูลสูตร!$A357="","",ข้อมูลสูตร!Z357)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60" s="48" t="str">
        <f>ข้อมูลสูตร!$A357</f>
        <v>Matcha Strawberry Premium|20 oz|0%</v>
      </c>
    </row>
    <row r="361" spans="1:26" x14ac:dyDescent="0.25">
      <c r="A361" s="4" t="str">
        <f>IF(ข้อมูลสูตร!$A358="","",ข้อมูลสูตร!B358)</f>
        <v>Matcha Strawberry Premium</v>
      </c>
      <c r="B361" s="4" t="str">
        <f>IF(ข้อมูลสูตร!$A358="","",ข้อมูลสูตร!C358)</f>
        <v>20 oz</v>
      </c>
      <c r="C361" s="4" t="str">
        <f>IF(ข้อมูลสูตร!$A358="","",ข้อมูลสูตร!D358)</f>
        <v>25%</v>
      </c>
      <c r="D361" s="63">
        <f>IF(ข้อมูลสูตร!$A358="","",ข้อมูลสูตร!E358)</f>
        <v>0</v>
      </c>
      <c r="E361" s="63">
        <f>IF(ข้อมูลสูตร!$A358="","",ข้อมูลสูตร!F358)</f>
        <v>0</v>
      </c>
      <c r="F361" s="63">
        <f>IF(ข้อมูลสูตร!$A358="","",ข้อมูลสูตร!G358)</f>
        <v>146.30000000000001</v>
      </c>
      <c r="G361" s="63">
        <f>IF(ข้อมูลสูตร!$A358="","",ข้อมูลสูตร!H358)</f>
        <v>25</v>
      </c>
      <c r="H361" s="63">
        <f>IF(ข้อมูลสูตร!$A358="","",ข้อมูลสูตร!I358)</f>
        <v>0</v>
      </c>
      <c r="I361" s="63">
        <f>IF(ข้อมูลสูตร!$A358="","",ข้อมูลสูตร!J358)</f>
        <v>6.3</v>
      </c>
      <c r="J361" s="63">
        <f>IF(ข้อมูลสูตร!$A358="","",ข้อมูลสูตร!K358)</f>
        <v>0</v>
      </c>
      <c r="K361" s="63">
        <f>IF(ข้อมูลสูตร!$A358="","",ข้อมูลสูตร!L358)</f>
        <v>0</v>
      </c>
      <c r="L361" s="63">
        <f>IF(ข้อมูลสูตร!$A358="","",ข้อมูลสูตร!M358)</f>
        <v>0</v>
      </c>
      <c r="M361" s="63">
        <f>IF(ข้อมูลสูตร!$A358="","",ข้อมูลสูตร!N358)</f>
        <v>0</v>
      </c>
      <c r="N361" s="63">
        <f>IF(ข้อมูลสูตร!$A358="","",ข้อมูลสูตร!O358)</f>
        <v>31.3</v>
      </c>
      <c r="O361" s="63">
        <f>IF(ข้อมูลสูตร!$A358="","",ข้อมูลสูตร!P358)</f>
        <v>0</v>
      </c>
      <c r="P361" s="63">
        <f>IF(ข้อมูลสูตร!$A358="","",ข้อมูลสูตร!Q358)</f>
        <v>0</v>
      </c>
      <c r="Q361" s="63">
        <f>IF(ข้อมูลสูตร!$A358="","",ข้อมูลสูตร!R358)</f>
        <v>0</v>
      </c>
      <c r="R361" s="63">
        <f>IF(ข้อมูลสูตร!$A358="","",ข้อมูลสูตร!S358)</f>
        <v>300</v>
      </c>
      <c r="S361" s="63">
        <f>IF(ข้อมูลสูตร!$A358="","",ข้อมูลสูตร!T358)</f>
        <v>50</v>
      </c>
      <c r="T361" s="63">
        <f>IF(ข้อมูลสูตร!$A358="","",ข้อมูลสูตร!U358)</f>
        <v>0</v>
      </c>
      <c r="U361" s="64">
        <f>IF(ข้อมูลสูตร!$A358="","",ข้อมูลสูตร!V358)</f>
        <v>227.60000000000002</v>
      </c>
      <c r="V361" s="8">
        <f>IF(ข้อมูลสูตร!$A358="","",ข้อมูลสูตร!W358)</f>
        <v>71.25</v>
      </c>
      <c r="W361" s="64">
        <f>IF(ข้อมูลสูตร!$A358="","",ข้อมูลสูตร!X358)</f>
        <v>110</v>
      </c>
      <c r="X361" s="23">
        <f>IF(ข้อมูลสูตร!$A358="","",ข้อมูลสูตร!Y358)</f>
        <v>0.35227272727272729</v>
      </c>
      <c r="Y361" s="48" t="str">
        <f>IF(ข้อมูลสูตร!$A358="","",ข้อมูลสูตร!Z358)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61" s="48" t="str">
        <f>ข้อมูลสูตร!$A358</f>
        <v>Matcha Strawberry Premium|20 oz|25%</v>
      </c>
    </row>
    <row r="362" spans="1:26" x14ac:dyDescent="0.25">
      <c r="A362" s="4" t="str">
        <f>IF(ข้อมูลสูตร!$A359="","",ข้อมูลสูตร!B359)</f>
        <v>Matcha Strawberry Premium</v>
      </c>
      <c r="B362" s="4" t="str">
        <f>IF(ข้อมูลสูตร!$A359="","",ข้อมูลสูตร!C359)</f>
        <v>20 oz</v>
      </c>
      <c r="C362" s="4" t="str">
        <f>IF(ข้อมูลสูตร!$A359="","",ข้อมูลสูตร!D359)</f>
        <v>50%</v>
      </c>
      <c r="D362" s="63">
        <f>IF(ข้อมูลสูตร!$A359="","",ข้อมูลสูตร!E359)</f>
        <v>0</v>
      </c>
      <c r="E362" s="63">
        <f>IF(ข้อมูลสูตร!$A359="","",ข้อมูลสูตร!F359)</f>
        <v>0</v>
      </c>
      <c r="F362" s="63">
        <f>IF(ข้อมูลสูตร!$A359="","",ข้อมูลสูตร!G359)</f>
        <v>142.5</v>
      </c>
      <c r="G362" s="63">
        <f>IF(ข้อมูลสูตร!$A359="","",ข้อมูลสูตร!H359)</f>
        <v>25</v>
      </c>
      <c r="H362" s="63">
        <f>IF(ข้อมูลสูตร!$A359="","",ข้อมูลสูตร!I359)</f>
        <v>0</v>
      </c>
      <c r="I362" s="63">
        <f>IF(ข้อมูลสูตร!$A359="","",ข้อมูลสูตร!J359)</f>
        <v>12.5</v>
      </c>
      <c r="J362" s="63">
        <f>IF(ข้อมูลสูตร!$A359="","",ข้อมูลสูตร!K359)</f>
        <v>0</v>
      </c>
      <c r="K362" s="63">
        <f>IF(ข้อมูลสูตร!$A359="","",ข้อมูลสูตร!L359)</f>
        <v>0</v>
      </c>
      <c r="L362" s="63">
        <f>IF(ข้อมูลสูตร!$A359="","",ข้อมูลสูตร!M359)</f>
        <v>0</v>
      </c>
      <c r="M362" s="63">
        <f>IF(ข้อมูลสูตร!$A359="","",ข้อมูลสูตร!N359)</f>
        <v>0</v>
      </c>
      <c r="N362" s="63">
        <f>IF(ข้อมูลสูตร!$A359="","",ข้อมูลสูตร!O359)</f>
        <v>31.3</v>
      </c>
      <c r="O362" s="63">
        <f>IF(ข้อมูลสูตร!$A359="","",ข้อมูลสูตร!P359)</f>
        <v>0</v>
      </c>
      <c r="P362" s="63">
        <f>IF(ข้อมูลสูตร!$A359="","",ข้อมูลสูตร!Q359)</f>
        <v>0</v>
      </c>
      <c r="Q362" s="63">
        <f>IF(ข้อมูลสูตร!$A359="","",ข้อมูลสูตร!R359)</f>
        <v>0</v>
      </c>
      <c r="R362" s="63">
        <f>IF(ข้อมูลสูตร!$A359="","",ข้อมูลสูตร!S359)</f>
        <v>300</v>
      </c>
      <c r="S362" s="63">
        <f>IF(ข้อมูลสูตร!$A359="","",ข้อมูลสูตร!T359)</f>
        <v>50</v>
      </c>
      <c r="T362" s="63">
        <f>IF(ข้อมูลสูตร!$A359="","",ข้อมูลสูตร!U359)</f>
        <v>0</v>
      </c>
      <c r="U362" s="64">
        <f>IF(ข้อมูลสูตร!$A359="","",ข้อมูลสูตร!V359)</f>
        <v>230</v>
      </c>
      <c r="V362" s="8">
        <f>IF(ข้อมูลสูตร!$A359="","",ข้อมูลสูตร!W359)</f>
        <v>71.17</v>
      </c>
      <c r="W362" s="64">
        <f>IF(ข้อมูลสูตร!$A359="","",ข้อมูลสูตร!X359)</f>
        <v>110</v>
      </c>
      <c r="X362" s="23">
        <f>IF(ข้อมูลสูตร!$A359="","",ข้อมูลสูตร!Y359)</f>
        <v>0.35299999999999998</v>
      </c>
      <c r="Y362" s="48" t="str">
        <f>IF(ข้อมูลสูตร!$A359="","",ข้อมูลสูตร!Z359)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62" s="48" t="str">
        <f>ข้อมูลสูตร!$A359</f>
        <v>Matcha Strawberry Premium|20 oz|50%</v>
      </c>
    </row>
    <row r="363" spans="1:26" x14ac:dyDescent="0.25">
      <c r="A363" s="4" t="str">
        <f>IF(ข้อมูลสูตร!$A360="","",ข้อมูลสูตร!B360)</f>
        <v>Matcha Strawberry Premium</v>
      </c>
      <c r="B363" s="4" t="str">
        <f>IF(ข้อมูลสูตร!$A360="","",ข้อมูลสูตร!C360)</f>
        <v>20 oz</v>
      </c>
      <c r="C363" s="4" t="str">
        <f>IF(ข้อมูลสูตร!$A360="","",ข้อมูลสูตร!D360)</f>
        <v>75%</v>
      </c>
      <c r="D363" s="63">
        <f>IF(ข้อมูลสูตร!$A360="","",ข้อมูลสูตร!E360)</f>
        <v>0</v>
      </c>
      <c r="E363" s="63">
        <f>IF(ข้อมูลสูตร!$A360="","",ข้อมูลสูตร!F360)</f>
        <v>0</v>
      </c>
      <c r="F363" s="63">
        <f>IF(ข้อมูลสูตร!$A360="","",ข้อมูลสูตร!G360)</f>
        <v>138.80000000000001</v>
      </c>
      <c r="G363" s="63">
        <f>IF(ข้อมูลสูตร!$A360="","",ข้อมูลสูตร!H360)</f>
        <v>25</v>
      </c>
      <c r="H363" s="63">
        <f>IF(ข้อมูลสูตร!$A360="","",ข้อมูลสูตร!I360)</f>
        <v>0</v>
      </c>
      <c r="I363" s="63">
        <f>IF(ข้อมูลสูตร!$A360="","",ข้อมูลสูตร!J360)</f>
        <v>18.8</v>
      </c>
      <c r="J363" s="63">
        <f>IF(ข้อมูลสูตร!$A360="","",ข้อมูลสูตร!K360)</f>
        <v>0</v>
      </c>
      <c r="K363" s="63">
        <f>IF(ข้อมูลสูตร!$A360="","",ข้อมูลสูตร!L360)</f>
        <v>0</v>
      </c>
      <c r="L363" s="63">
        <f>IF(ข้อมูลสูตร!$A360="","",ข้อมูลสูตร!M360)</f>
        <v>0</v>
      </c>
      <c r="M363" s="63">
        <f>IF(ข้อมูลสูตร!$A360="","",ข้อมูลสูตร!N360)</f>
        <v>0</v>
      </c>
      <c r="N363" s="63">
        <f>IF(ข้อมูลสูตร!$A360="","",ข้อมูลสูตร!O360)</f>
        <v>31.3</v>
      </c>
      <c r="O363" s="63">
        <f>IF(ข้อมูลสูตร!$A360="","",ข้อมูลสูตร!P360)</f>
        <v>0</v>
      </c>
      <c r="P363" s="63">
        <f>IF(ข้อมูลสูตร!$A360="","",ข้อมูลสูตร!Q360)</f>
        <v>0</v>
      </c>
      <c r="Q363" s="63">
        <f>IF(ข้อมูลสูตร!$A360="","",ข้อมูลสูตร!R360)</f>
        <v>0</v>
      </c>
      <c r="R363" s="63">
        <f>IF(ข้อมูลสูตร!$A360="","",ข้อมูลสูตร!S360)</f>
        <v>300</v>
      </c>
      <c r="S363" s="63">
        <f>IF(ข้อมูลสูตร!$A360="","",ข้อมูลสูตร!T360)</f>
        <v>50</v>
      </c>
      <c r="T363" s="63">
        <f>IF(ข้อมูลสูตร!$A360="","",ข้อมูลสูตร!U360)</f>
        <v>0</v>
      </c>
      <c r="U363" s="64">
        <f>IF(ข้อมูลสูตร!$A360="","",ข้อมูลสูตร!V360)</f>
        <v>232.60000000000002</v>
      </c>
      <c r="V363" s="8">
        <f>IF(ข้อมูลสูตร!$A360="","",ข้อมูลสูตร!W360)</f>
        <v>71.099999999999994</v>
      </c>
      <c r="W363" s="64">
        <f>IF(ข้อมูลสูตร!$A360="","",ข้อมูลสูตร!X360)</f>
        <v>110</v>
      </c>
      <c r="X363" s="23">
        <f>IF(ข้อมูลสูตร!$A360="","",ข้อมูลสูตร!Y360)</f>
        <v>0.35363636363636369</v>
      </c>
      <c r="Y363" s="48" t="str">
        <f>IF(ข้อมูลสูตร!$A360="","",ข้อมูลสูตร!Z360)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63" s="48" t="str">
        <f>ข้อมูลสูตร!$A360</f>
        <v>Matcha Strawberry Premium|20 oz|75%</v>
      </c>
    </row>
    <row r="364" spans="1:26" x14ac:dyDescent="0.25">
      <c r="A364" s="4" t="str">
        <f>IF(ข้อมูลสูตร!$A361="","",ข้อมูลสูตร!B361)</f>
        <v>Matcha Strawberry Premium</v>
      </c>
      <c r="B364" s="4" t="str">
        <f>IF(ข้อมูลสูตร!$A361="","",ข้อมูลสูตร!C361)</f>
        <v>20 oz</v>
      </c>
      <c r="C364" s="4" t="str">
        <f>IF(ข้อมูลสูตร!$A361="","",ข้อมูลสูตร!D361)</f>
        <v>100%</v>
      </c>
      <c r="D364" s="63">
        <f>IF(ข้อมูลสูตร!$A361="","",ข้อมูลสูตร!E361)</f>
        <v>0</v>
      </c>
      <c r="E364" s="63">
        <f>IF(ข้อมูลสูตร!$A361="","",ข้อมูลสูตร!F361)</f>
        <v>0</v>
      </c>
      <c r="F364" s="63">
        <f>IF(ข้อมูลสูตร!$A361="","",ข้อมูลสูตร!G361)</f>
        <v>135</v>
      </c>
      <c r="G364" s="63">
        <f>IF(ข้อมูลสูตร!$A361="","",ข้อมูลสูตร!H361)</f>
        <v>25</v>
      </c>
      <c r="H364" s="63">
        <f>IF(ข้อมูลสูตร!$A361="","",ข้อมูลสูตร!I361)</f>
        <v>0</v>
      </c>
      <c r="I364" s="63">
        <f>IF(ข้อมูลสูตร!$A361="","",ข้อมูลสูตร!J361)</f>
        <v>25</v>
      </c>
      <c r="J364" s="63">
        <f>IF(ข้อมูลสูตร!$A361="","",ข้อมูลสูตร!K361)</f>
        <v>0</v>
      </c>
      <c r="K364" s="63">
        <f>IF(ข้อมูลสูตร!$A361="","",ข้อมูลสูตร!L361)</f>
        <v>0</v>
      </c>
      <c r="L364" s="63">
        <f>IF(ข้อมูลสูตร!$A361="","",ข้อมูลสูตร!M361)</f>
        <v>0</v>
      </c>
      <c r="M364" s="63">
        <f>IF(ข้อมูลสูตร!$A361="","",ข้อมูลสูตร!N361)</f>
        <v>0</v>
      </c>
      <c r="N364" s="63">
        <f>IF(ข้อมูลสูตร!$A361="","",ข้อมูลสูตร!O361)</f>
        <v>31.3</v>
      </c>
      <c r="O364" s="63">
        <f>IF(ข้อมูลสูตร!$A361="","",ข้อมูลสูตร!P361)</f>
        <v>0</v>
      </c>
      <c r="P364" s="63">
        <f>IF(ข้อมูลสูตร!$A361="","",ข้อมูลสูตร!Q361)</f>
        <v>0</v>
      </c>
      <c r="Q364" s="63">
        <f>IF(ข้อมูลสูตร!$A361="","",ข้อมูลสูตร!R361)</f>
        <v>0</v>
      </c>
      <c r="R364" s="63">
        <f>IF(ข้อมูลสูตร!$A361="","",ข้อมูลสูตร!S361)</f>
        <v>300</v>
      </c>
      <c r="S364" s="63">
        <f>IF(ข้อมูลสูตร!$A361="","",ข้อมูลสูตร!T361)</f>
        <v>50</v>
      </c>
      <c r="T364" s="63">
        <f>IF(ข้อมูลสูตร!$A361="","",ข้อมูลสูตร!U361)</f>
        <v>0</v>
      </c>
      <c r="U364" s="64">
        <f>IF(ข้อมูลสูตร!$A361="","",ข้อมูลสูตร!V361)</f>
        <v>235</v>
      </c>
      <c r="V364" s="8">
        <f>IF(ข้อมูลสูตร!$A361="","",ข้อมูลสูตร!W361)</f>
        <v>71.02</v>
      </c>
      <c r="W364" s="64">
        <f>IF(ข้อมูลสูตร!$A361="","",ข้อมูลสูตร!X361)</f>
        <v>110</v>
      </c>
      <c r="X364" s="23">
        <f>IF(ข้อมูลสูตร!$A361="","",ข้อมูลสูตร!Y361)</f>
        <v>0.35436363636363638</v>
      </c>
      <c r="Y364" s="48" t="str">
        <f>IF(ข้อมูลสูตร!$A361="","",ข้อมูลสูตร!Z361)</f>
        <v>[20 oz = 16 oz x 1.25] เมนูพรีเมียม (มัทฉะเกรดลาเต้ 1 g:10 ml, 16 oz = 4 g / 22 oz = 5 g) — สัดส่วนอิงสูตรคาเฟ่ (มัทฉะ 4–5 g + น้ำ 40–50 ml 75°C) ดูชีต 'มัทฉะพรีเมียม'</v>
      </c>
      <c r="Z364" s="48" t="str">
        <f>ข้อมูลสูตร!$A361</f>
        <v>Matcha Strawberry Premium|20 oz|100%</v>
      </c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S25"/>
  <sheetViews>
    <sheetView showGridLines="0" zoomScaleNormal="100" workbookViewId="0">
      <selection activeCell="G12" sqref="G12"/>
    </sheetView>
  </sheetViews>
  <sheetFormatPr defaultColWidth="8.7109375" defaultRowHeight="15" x14ac:dyDescent="0.25"/>
  <cols>
    <col min="1" max="1" width="23" bestFit="1" customWidth="1"/>
    <col min="2" max="2" width="26" customWidth="1"/>
    <col min="3" max="3" width="12" customWidth="1"/>
    <col min="5" max="5" width="10" customWidth="1"/>
    <col min="6" max="6" width="12" customWidth="1"/>
  </cols>
  <sheetData>
    <row r="1" spans="1:19" x14ac:dyDescent="0.25">
      <c r="A1" s="25" t="s">
        <v>294</v>
      </c>
      <c r="B1" s="25" t="s">
        <v>173</v>
      </c>
      <c r="C1" s="25" t="s">
        <v>295</v>
      </c>
      <c r="D1" s="25"/>
      <c r="E1" s="25" t="s">
        <v>296</v>
      </c>
      <c r="F1" s="25" t="s">
        <v>297</v>
      </c>
      <c r="G1" s="49"/>
      <c r="H1" s="49" t="s">
        <v>316</v>
      </c>
      <c r="I1" s="49" t="s">
        <v>317</v>
      </c>
      <c r="J1" s="49" t="s">
        <v>318</v>
      </c>
      <c r="K1" s="49" t="s">
        <v>319</v>
      </c>
      <c r="L1" s="49" t="s">
        <v>320</v>
      </c>
      <c r="M1" s="49" t="s">
        <v>321</v>
      </c>
      <c r="N1" s="49" t="s">
        <v>322</v>
      </c>
      <c r="P1" s="49" t="s">
        <v>967</v>
      </c>
      <c r="Q1" s="49" t="s">
        <v>355</v>
      </c>
      <c r="R1" s="49" t="s">
        <v>968</v>
      </c>
      <c r="S1" s="49" t="s">
        <v>1058</v>
      </c>
    </row>
    <row r="2" spans="1:19" x14ac:dyDescent="0.25">
      <c r="A2" s="4" t="s">
        <v>3</v>
      </c>
      <c r="B2" s="4" t="s">
        <v>174</v>
      </c>
      <c r="C2" s="4" t="s">
        <v>298</v>
      </c>
      <c r="D2" s="49"/>
      <c r="E2" s="4" t="s">
        <v>5</v>
      </c>
      <c r="F2" s="4" t="s">
        <v>63</v>
      </c>
      <c r="G2" s="49"/>
      <c r="H2" s="49" t="s">
        <v>87</v>
      </c>
      <c r="I2" s="49" t="s">
        <v>21</v>
      </c>
      <c r="J2" s="49" t="s">
        <v>326</v>
      </c>
      <c r="K2" s="49" t="s">
        <v>335</v>
      </c>
      <c r="L2" s="49" t="s">
        <v>342</v>
      </c>
      <c r="M2" s="49" t="s">
        <v>346</v>
      </c>
      <c r="N2" s="49" t="s">
        <v>12</v>
      </c>
      <c r="P2" s="49" t="s">
        <v>969</v>
      </c>
      <c r="Q2" s="49" t="s">
        <v>87</v>
      </c>
      <c r="R2" s="49" t="s">
        <v>970</v>
      </c>
      <c r="S2" s="49" t="s">
        <v>1059</v>
      </c>
    </row>
    <row r="3" spans="1:19" x14ac:dyDescent="0.25">
      <c r="A3" s="4" t="s">
        <v>68</v>
      </c>
      <c r="B3" s="4" t="s">
        <v>175</v>
      </c>
      <c r="C3" s="4" t="s">
        <v>298</v>
      </c>
      <c r="D3" s="49"/>
      <c r="E3" s="4" t="s">
        <v>1046</v>
      </c>
      <c r="F3" s="4" t="s">
        <v>64</v>
      </c>
      <c r="G3" s="49"/>
      <c r="H3" s="49" t="s">
        <v>323</v>
      </c>
      <c r="I3" s="49" t="s">
        <v>13</v>
      </c>
      <c r="J3" s="49" t="s">
        <v>327</v>
      </c>
      <c r="K3" s="49" t="s">
        <v>336</v>
      </c>
      <c r="L3" s="49" t="s">
        <v>343</v>
      </c>
      <c r="M3" s="49" t="s">
        <v>347</v>
      </c>
      <c r="N3" s="49" t="s">
        <v>14</v>
      </c>
      <c r="P3" s="49" t="s">
        <v>971</v>
      </c>
      <c r="Q3" s="49" t="s">
        <v>87</v>
      </c>
      <c r="R3" s="49" t="s">
        <v>972</v>
      </c>
    </row>
    <row r="4" spans="1:19" x14ac:dyDescent="0.25">
      <c r="A4" s="4" t="s">
        <v>69</v>
      </c>
      <c r="B4" s="4" t="s">
        <v>176</v>
      </c>
      <c r="C4" s="4" t="s">
        <v>299</v>
      </c>
      <c r="D4" s="49"/>
      <c r="E4" s="49" t="s">
        <v>67</v>
      </c>
      <c r="F4" s="4" t="s">
        <v>7</v>
      </c>
      <c r="G4" s="49"/>
      <c r="H4" s="49" t="s">
        <v>324</v>
      </c>
      <c r="I4" s="49" t="s">
        <v>325</v>
      </c>
      <c r="J4" s="49" t="s">
        <v>328</v>
      </c>
      <c r="K4" s="49" t="s">
        <v>337</v>
      </c>
      <c r="L4" s="49" t="s">
        <v>344</v>
      </c>
      <c r="M4" s="49" t="s">
        <v>348</v>
      </c>
      <c r="N4" s="49" t="s">
        <v>15</v>
      </c>
      <c r="P4" s="49" t="s">
        <v>973</v>
      </c>
      <c r="Q4" s="49" t="s">
        <v>87</v>
      </c>
      <c r="R4" s="49" t="s">
        <v>974</v>
      </c>
    </row>
    <row r="5" spans="1:19" x14ac:dyDescent="0.25">
      <c r="A5" s="4" t="s">
        <v>70</v>
      </c>
      <c r="B5" s="4" t="s">
        <v>177</v>
      </c>
      <c r="C5" s="4" t="s">
        <v>299</v>
      </c>
      <c r="D5" s="49"/>
      <c r="E5" s="49"/>
      <c r="F5" s="4" t="s">
        <v>65</v>
      </c>
      <c r="G5" s="49"/>
      <c r="H5" s="49"/>
      <c r="I5" s="49"/>
      <c r="J5" s="49" t="s">
        <v>329</v>
      </c>
      <c r="K5" s="49" t="s">
        <v>338</v>
      </c>
      <c r="L5" s="49" t="s">
        <v>345</v>
      </c>
      <c r="M5" s="49" t="s">
        <v>349</v>
      </c>
      <c r="N5" s="49" t="s">
        <v>16</v>
      </c>
      <c r="P5" s="49" t="s">
        <v>975</v>
      </c>
      <c r="Q5" s="49" t="s">
        <v>87</v>
      </c>
      <c r="R5" s="49" t="s">
        <v>976</v>
      </c>
    </row>
    <row r="6" spans="1:19" x14ac:dyDescent="0.25">
      <c r="A6" s="4" t="s">
        <v>71</v>
      </c>
      <c r="B6" s="4" t="s">
        <v>178</v>
      </c>
      <c r="C6" s="4" t="s">
        <v>298</v>
      </c>
      <c r="D6" s="49"/>
      <c r="E6" s="49"/>
      <c r="F6" s="4" t="s">
        <v>66</v>
      </c>
      <c r="G6" s="49"/>
      <c r="H6" s="49"/>
      <c r="I6" s="49"/>
      <c r="J6" s="49" t="s">
        <v>330</v>
      </c>
      <c r="K6" s="49" t="s">
        <v>339</v>
      </c>
      <c r="L6" s="49" t="s">
        <v>341</v>
      </c>
      <c r="M6" s="49"/>
      <c r="N6" s="49" t="s">
        <v>17</v>
      </c>
      <c r="P6" s="49" t="s">
        <v>977</v>
      </c>
      <c r="Q6" s="49" t="s">
        <v>87</v>
      </c>
      <c r="R6" s="49" t="s">
        <v>978</v>
      </c>
    </row>
    <row r="7" spans="1:19" x14ac:dyDescent="0.25">
      <c r="A7" s="4" t="s">
        <v>72</v>
      </c>
      <c r="B7" s="4" t="s">
        <v>179</v>
      </c>
      <c r="C7" s="4" t="s">
        <v>298</v>
      </c>
      <c r="D7" s="49"/>
      <c r="E7" s="49"/>
      <c r="F7" s="49"/>
      <c r="G7" s="49"/>
      <c r="H7" s="49"/>
      <c r="I7" s="49"/>
      <c r="J7" s="49" t="s">
        <v>331</v>
      </c>
      <c r="K7" s="49" t="s">
        <v>340</v>
      </c>
      <c r="L7" s="49"/>
      <c r="M7" s="49"/>
      <c r="N7" s="49" t="s">
        <v>18</v>
      </c>
      <c r="P7" s="49" t="s">
        <v>979</v>
      </c>
      <c r="Q7" s="49" t="s">
        <v>87</v>
      </c>
      <c r="R7" s="49" t="s">
        <v>980</v>
      </c>
    </row>
    <row r="8" spans="1:19" x14ac:dyDescent="0.25">
      <c r="A8" s="4" t="s">
        <v>73</v>
      </c>
      <c r="B8" s="4" t="s">
        <v>180</v>
      </c>
      <c r="C8" s="4" t="s">
        <v>300</v>
      </c>
      <c r="D8" s="49"/>
      <c r="E8" s="49"/>
      <c r="F8" s="49"/>
      <c r="G8" s="49"/>
      <c r="H8" s="49"/>
      <c r="I8" s="49"/>
      <c r="J8" s="49" t="s">
        <v>332</v>
      </c>
      <c r="K8" s="49" t="s">
        <v>341</v>
      </c>
      <c r="L8" s="49"/>
      <c r="M8" s="49"/>
      <c r="N8" s="49" t="s">
        <v>19</v>
      </c>
      <c r="P8" s="49" t="s">
        <v>981</v>
      </c>
      <c r="Q8" s="49" t="s">
        <v>87</v>
      </c>
      <c r="R8" s="49" t="s">
        <v>982</v>
      </c>
    </row>
    <row r="9" spans="1:19" x14ac:dyDescent="0.25">
      <c r="A9" s="4" t="s">
        <v>74</v>
      </c>
      <c r="B9" s="4" t="s">
        <v>181</v>
      </c>
      <c r="C9" s="4" t="s">
        <v>300</v>
      </c>
      <c r="D9" s="49"/>
      <c r="E9" s="49"/>
      <c r="F9" s="49"/>
      <c r="G9" s="49"/>
      <c r="H9" s="49"/>
      <c r="I9" s="49"/>
      <c r="J9" s="49" t="s">
        <v>333</v>
      </c>
      <c r="K9" s="49"/>
      <c r="L9" s="49"/>
      <c r="M9" s="49"/>
      <c r="N9" s="49" t="s">
        <v>20</v>
      </c>
      <c r="P9" s="49" t="s">
        <v>983</v>
      </c>
      <c r="Q9" s="49" t="s">
        <v>87</v>
      </c>
      <c r="R9" s="49" t="s">
        <v>984</v>
      </c>
    </row>
    <row r="10" spans="1:19" x14ac:dyDescent="0.25">
      <c r="A10" s="4" t="s">
        <v>75</v>
      </c>
      <c r="B10" s="4" t="s">
        <v>182</v>
      </c>
      <c r="C10" s="4" t="s">
        <v>298</v>
      </c>
      <c r="D10" s="49"/>
      <c r="E10" s="49"/>
      <c r="F10" s="49"/>
      <c r="G10" s="49"/>
      <c r="H10" s="49"/>
      <c r="I10" s="49"/>
      <c r="J10" s="49" t="s">
        <v>334</v>
      </c>
      <c r="K10" s="49"/>
      <c r="L10" s="49"/>
      <c r="M10" s="49"/>
      <c r="N10" s="49" t="s">
        <v>22</v>
      </c>
      <c r="P10" s="49" t="s">
        <v>985</v>
      </c>
      <c r="Q10" s="49" t="s">
        <v>87</v>
      </c>
      <c r="R10" s="49" t="s">
        <v>986</v>
      </c>
    </row>
    <row r="11" spans="1:19" x14ac:dyDescent="0.25">
      <c r="A11" s="83" t="s">
        <v>76</v>
      </c>
      <c r="B11" s="83" t="s">
        <v>183</v>
      </c>
      <c r="C11" s="83" t="s">
        <v>301</v>
      </c>
      <c r="D11" s="49"/>
      <c r="E11" s="49"/>
      <c r="F11" s="49"/>
      <c r="G11" s="49"/>
      <c r="H11" s="49"/>
      <c r="I11" s="49"/>
      <c r="J11" s="49" t="s">
        <v>325</v>
      </c>
      <c r="K11" s="49"/>
      <c r="L11" s="49"/>
      <c r="M11" s="49"/>
      <c r="N11" s="49" t="s">
        <v>23</v>
      </c>
      <c r="P11" s="49" t="s">
        <v>987</v>
      </c>
      <c r="Q11" s="49" t="s">
        <v>87</v>
      </c>
      <c r="R11" s="49" t="s">
        <v>988</v>
      </c>
    </row>
    <row r="12" spans="1:19" x14ac:dyDescent="0.25">
      <c r="A12" s="83" t="s">
        <v>77</v>
      </c>
      <c r="B12" s="83" t="s">
        <v>184</v>
      </c>
      <c r="C12" s="83" t="s">
        <v>302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 t="s">
        <v>24</v>
      </c>
      <c r="P12" s="49" t="s">
        <v>989</v>
      </c>
      <c r="Q12" s="49" t="s">
        <v>87</v>
      </c>
      <c r="R12" s="49" t="s">
        <v>990</v>
      </c>
    </row>
    <row r="13" spans="1:19" x14ac:dyDescent="0.25">
      <c r="A13" s="83" t="s">
        <v>78</v>
      </c>
      <c r="B13" s="83" t="s">
        <v>185</v>
      </c>
      <c r="C13" s="83" t="s">
        <v>302</v>
      </c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 t="s">
        <v>25</v>
      </c>
      <c r="P13" s="49" t="s">
        <v>991</v>
      </c>
      <c r="Q13" s="49" t="s">
        <v>87</v>
      </c>
      <c r="R13" s="49" t="s">
        <v>992</v>
      </c>
    </row>
    <row r="14" spans="1:19" x14ac:dyDescent="0.25">
      <c r="A14" s="83" t="s">
        <v>79</v>
      </c>
      <c r="B14" s="83" t="s">
        <v>186</v>
      </c>
      <c r="C14" s="83" t="s">
        <v>302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 t="s">
        <v>26</v>
      </c>
      <c r="P14" s="49" t="s">
        <v>501</v>
      </c>
      <c r="Q14" s="49" t="s">
        <v>323</v>
      </c>
      <c r="R14" s="49" t="s">
        <v>993</v>
      </c>
    </row>
    <row r="15" spans="1:19" x14ac:dyDescent="0.25">
      <c r="A15" s="83" t="s">
        <v>80</v>
      </c>
      <c r="B15" s="83" t="s">
        <v>187</v>
      </c>
      <c r="C15" s="83" t="s">
        <v>302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 t="s">
        <v>167</v>
      </c>
      <c r="P15" s="49" t="s">
        <v>994</v>
      </c>
      <c r="Q15" s="49" t="s">
        <v>323</v>
      </c>
      <c r="R15" s="49" t="s">
        <v>995</v>
      </c>
    </row>
    <row r="16" spans="1:19" x14ac:dyDescent="0.25">
      <c r="A16" s="83" t="s">
        <v>81</v>
      </c>
      <c r="B16" s="83" t="s">
        <v>188</v>
      </c>
      <c r="C16" s="83" t="s">
        <v>302</v>
      </c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 t="s">
        <v>28</v>
      </c>
      <c r="P16" s="49" t="s">
        <v>392</v>
      </c>
      <c r="Q16" s="49" t="s">
        <v>323</v>
      </c>
      <c r="R16" s="49" t="s">
        <v>996</v>
      </c>
    </row>
    <row r="17" spans="1:18" x14ac:dyDescent="0.25">
      <c r="A17" s="83" t="s">
        <v>82</v>
      </c>
      <c r="B17" s="83" t="s">
        <v>189</v>
      </c>
      <c r="C17" s="83" t="s">
        <v>302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 t="s">
        <v>350</v>
      </c>
      <c r="P17" s="49" t="s">
        <v>997</v>
      </c>
      <c r="Q17" s="49" t="s">
        <v>323</v>
      </c>
      <c r="R17" s="49" t="s">
        <v>998</v>
      </c>
    </row>
    <row r="18" spans="1:18" x14ac:dyDescent="0.25">
      <c r="A18" s="83" t="s">
        <v>303</v>
      </c>
      <c r="B18" s="83" t="s">
        <v>304</v>
      </c>
      <c r="C18" s="83" t="s">
        <v>311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 t="s">
        <v>351</v>
      </c>
      <c r="P18" s="49" t="s">
        <v>999</v>
      </c>
      <c r="Q18" s="49" t="s">
        <v>323</v>
      </c>
      <c r="R18" s="49" t="s">
        <v>1000</v>
      </c>
    </row>
    <row r="19" spans="1:18" x14ac:dyDescent="0.25">
      <c r="A19" s="83" t="s">
        <v>305</v>
      </c>
      <c r="B19" s="83" t="s">
        <v>306</v>
      </c>
      <c r="C19" s="83" t="s">
        <v>311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 t="s">
        <v>602</v>
      </c>
      <c r="P19" s="49" t="s">
        <v>324</v>
      </c>
      <c r="Q19" s="49" t="s">
        <v>324</v>
      </c>
      <c r="R19" s="49" t="s">
        <v>1001</v>
      </c>
    </row>
    <row r="20" spans="1:18" x14ac:dyDescent="0.25">
      <c r="A20" s="83" t="s">
        <v>307</v>
      </c>
      <c r="B20" s="83" t="s">
        <v>308</v>
      </c>
      <c r="C20" s="83" t="s">
        <v>311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 t="s">
        <v>824</v>
      </c>
      <c r="P20" s="49" t="s">
        <v>1002</v>
      </c>
      <c r="Q20" s="49" t="s">
        <v>324</v>
      </c>
      <c r="R20" s="49" t="s">
        <v>1003</v>
      </c>
    </row>
    <row r="21" spans="1:18" x14ac:dyDescent="0.25">
      <c r="A21" s="83" t="s">
        <v>309</v>
      </c>
      <c r="B21" s="83" t="s">
        <v>310</v>
      </c>
      <c r="C21" s="83" t="s">
        <v>311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 t="s">
        <v>1047</v>
      </c>
    </row>
    <row r="22" spans="1:18" x14ac:dyDescent="0.25">
      <c r="A22" s="83" t="s">
        <v>830</v>
      </c>
      <c r="B22" s="83" t="s">
        <v>831</v>
      </c>
      <c r="C22" s="83" t="s">
        <v>615</v>
      </c>
    </row>
    <row r="23" spans="1:18" x14ac:dyDescent="0.25">
      <c r="A23" s="83" t="s">
        <v>608</v>
      </c>
      <c r="B23" s="83" t="s">
        <v>612</v>
      </c>
      <c r="C23" s="83" t="s">
        <v>615</v>
      </c>
    </row>
    <row r="24" spans="1:18" x14ac:dyDescent="0.25">
      <c r="A24" s="83" t="s">
        <v>609</v>
      </c>
      <c r="B24" s="83" t="s">
        <v>613</v>
      </c>
      <c r="C24" s="83" t="s">
        <v>615</v>
      </c>
    </row>
    <row r="25" spans="1:18" x14ac:dyDescent="0.25">
      <c r="A25" s="83" t="s">
        <v>610</v>
      </c>
      <c r="B25" s="83" t="s">
        <v>614</v>
      </c>
      <c r="C25" s="83" t="s">
        <v>615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2E15-744F-CD46-9C6B-E862BCFA9C72}">
  <sheetPr>
    <tabColor rgb="FF808080"/>
  </sheetPr>
  <dimension ref="A1:I42"/>
  <sheetViews>
    <sheetView showGridLines="0" workbookViewId="0">
      <pane ySplit="4" topLeftCell="A5" activePane="bottomLeft" state="frozen"/>
      <selection pane="bottomLeft" sqref="A1:L1"/>
    </sheetView>
  </sheetViews>
  <sheetFormatPr defaultColWidth="10.85546875" defaultRowHeight="15" x14ac:dyDescent="0.25"/>
  <cols>
    <col min="1" max="1" width="16.28515625" customWidth="1"/>
    <col min="2" max="2" width="15.140625" customWidth="1"/>
    <col min="3" max="3" width="35" customWidth="1"/>
    <col min="4" max="4" width="10.42578125" customWidth="1"/>
    <col min="5" max="5" width="11.7109375" customWidth="1"/>
    <col min="6" max="6" width="8.140625" customWidth="1"/>
    <col min="7" max="7" width="39.7109375" customWidth="1"/>
    <col min="8" max="8" width="28" customWidth="1"/>
    <col min="9" max="9" width="35" customWidth="1"/>
  </cols>
  <sheetData>
    <row r="1" spans="1:9" ht="18" x14ac:dyDescent="0.25">
      <c r="A1" s="2" t="s">
        <v>506</v>
      </c>
    </row>
    <row r="2" spans="1:9" x14ac:dyDescent="0.25">
      <c r="A2" s="3" t="s">
        <v>507</v>
      </c>
    </row>
    <row r="4" spans="1:9" ht="33.950000000000003" customHeight="1" x14ac:dyDescent="0.25">
      <c r="A4" s="5" t="s">
        <v>508</v>
      </c>
      <c r="B4" s="5" t="s">
        <v>509</v>
      </c>
      <c r="C4" s="5" t="s">
        <v>510</v>
      </c>
      <c r="D4" s="5" t="s">
        <v>511</v>
      </c>
      <c r="E4" s="5" t="s">
        <v>512</v>
      </c>
      <c r="F4" s="5" t="s">
        <v>513</v>
      </c>
      <c r="G4" s="5" t="s">
        <v>514</v>
      </c>
      <c r="H4" s="5" t="s">
        <v>515</v>
      </c>
      <c r="I4" s="5" t="s">
        <v>59</v>
      </c>
    </row>
    <row r="5" spans="1:9" x14ac:dyDescent="0.25">
      <c r="A5" s="4" t="s">
        <v>516</v>
      </c>
      <c r="B5" s="4" t="s">
        <v>517</v>
      </c>
      <c r="C5" s="4" t="s">
        <v>453</v>
      </c>
      <c r="D5" s="4" t="s">
        <v>518</v>
      </c>
      <c r="E5" s="4" t="s">
        <v>519</v>
      </c>
      <c r="F5" s="4" t="s">
        <v>520</v>
      </c>
      <c r="G5" s="4" t="s">
        <v>521</v>
      </c>
      <c r="H5" s="4" t="s">
        <v>522</v>
      </c>
      <c r="I5" s="4" t="s">
        <v>523</v>
      </c>
    </row>
    <row r="6" spans="1:9" x14ac:dyDescent="0.25">
      <c r="A6" s="4" t="s">
        <v>516</v>
      </c>
      <c r="B6" s="4" t="s">
        <v>517</v>
      </c>
      <c r="C6" s="4" t="s">
        <v>192</v>
      </c>
      <c r="D6" s="4" t="s">
        <v>524</v>
      </c>
      <c r="E6" s="4" t="s">
        <v>525</v>
      </c>
      <c r="F6" s="4" t="s">
        <v>526</v>
      </c>
      <c r="G6" s="4" t="s">
        <v>527</v>
      </c>
      <c r="H6" s="22">
        <v>46270</v>
      </c>
      <c r="I6" s="4"/>
    </row>
    <row r="7" spans="1:9" x14ac:dyDescent="0.25">
      <c r="A7" s="4" t="s">
        <v>516</v>
      </c>
      <c r="B7" s="4" t="s">
        <v>517</v>
      </c>
      <c r="C7" s="4" t="s">
        <v>2</v>
      </c>
      <c r="D7" s="4" t="s">
        <v>524</v>
      </c>
      <c r="E7" s="4" t="s">
        <v>519</v>
      </c>
      <c r="F7" s="4" t="s">
        <v>526</v>
      </c>
      <c r="G7" s="4" t="s">
        <v>528</v>
      </c>
      <c r="H7" s="4" t="s">
        <v>78</v>
      </c>
      <c r="I7" s="4" t="s">
        <v>529</v>
      </c>
    </row>
    <row r="8" spans="1:9" x14ac:dyDescent="0.25">
      <c r="A8" s="4" t="s">
        <v>516</v>
      </c>
      <c r="B8" s="4" t="s">
        <v>517</v>
      </c>
      <c r="C8" s="4" t="s">
        <v>40</v>
      </c>
      <c r="D8" s="4" t="s">
        <v>524</v>
      </c>
      <c r="E8" s="4" t="s">
        <v>519</v>
      </c>
      <c r="F8" s="4" t="s">
        <v>526</v>
      </c>
      <c r="G8" s="4" t="s">
        <v>1060</v>
      </c>
      <c r="H8" s="4" t="s">
        <v>1046</v>
      </c>
      <c r="I8" s="4" t="s">
        <v>530</v>
      </c>
    </row>
    <row r="9" spans="1:9" x14ac:dyDescent="0.25">
      <c r="A9" s="4" t="s">
        <v>516</v>
      </c>
      <c r="B9" s="4" t="s">
        <v>517</v>
      </c>
      <c r="C9" s="4" t="s">
        <v>41</v>
      </c>
      <c r="D9" s="4" t="s">
        <v>524</v>
      </c>
      <c r="E9" s="4" t="s">
        <v>519</v>
      </c>
      <c r="F9" s="4" t="s">
        <v>526</v>
      </c>
      <c r="G9" s="4" t="s">
        <v>531</v>
      </c>
      <c r="H9" s="23">
        <v>1</v>
      </c>
      <c r="I9" s="4" t="s">
        <v>532</v>
      </c>
    </row>
    <row r="10" spans="1:9" x14ac:dyDescent="0.25">
      <c r="A10" s="4" t="s">
        <v>516</v>
      </c>
      <c r="B10" s="4" t="s">
        <v>517</v>
      </c>
      <c r="C10" s="4" t="s">
        <v>477</v>
      </c>
      <c r="D10" s="4" t="s">
        <v>524</v>
      </c>
      <c r="E10" s="4" t="s">
        <v>533</v>
      </c>
      <c r="F10" s="4" t="s">
        <v>526</v>
      </c>
      <c r="G10" s="4" t="s">
        <v>534</v>
      </c>
      <c r="H10" s="4">
        <v>3</v>
      </c>
      <c r="I10" s="4"/>
    </row>
    <row r="11" spans="1:9" x14ac:dyDescent="0.25">
      <c r="A11" s="4" t="s">
        <v>516</v>
      </c>
      <c r="B11" s="4" t="s">
        <v>517</v>
      </c>
      <c r="C11" s="4" t="s">
        <v>478</v>
      </c>
      <c r="D11" s="4" t="s">
        <v>524</v>
      </c>
      <c r="E11" s="4" t="s">
        <v>519</v>
      </c>
      <c r="F11" s="4" t="s">
        <v>520</v>
      </c>
      <c r="G11" s="4" t="s">
        <v>535</v>
      </c>
      <c r="H11" s="4" t="s">
        <v>343</v>
      </c>
      <c r="I11" s="4"/>
    </row>
    <row r="12" spans="1:9" x14ac:dyDescent="0.25">
      <c r="A12" s="4" t="s">
        <v>516</v>
      </c>
      <c r="B12" s="4" t="s">
        <v>517</v>
      </c>
      <c r="C12" s="4" t="s">
        <v>459</v>
      </c>
      <c r="D12" s="4" t="s">
        <v>524</v>
      </c>
      <c r="E12" s="4" t="s">
        <v>519</v>
      </c>
      <c r="F12" s="4" t="s">
        <v>520</v>
      </c>
      <c r="G12" s="4" t="s">
        <v>536</v>
      </c>
      <c r="H12" s="4" t="s">
        <v>537</v>
      </c>
      <c r="I12" s="4"/>
    </row>
    <row r="13" spans="1:9" x14ac:dyDescent="0.25">
      <c r="A13" s="4" t="s">
        <v>516</v>
      </c>
      <c r="B13" s="4" t="s">
        <v>517</v>
      </c>
      <c r="C13" s="4" t="s">
        <v>59</v>
      </c>
      <c r="D13" s="4" t="s">
        <v>524</v>
      </c>
      <c r="E13" s="4" t="s">
        <v>519</v>
      </c>
      <c r="F13" s="4" t="s">
        <v>520</v>
      </c>
      <c r="G13" s="4" t="s">
        <v>538</v>
      </c>
      <c r="H13" s="4"/>
      <c r="I13" s="4"/>
    </row>
    <row r="14" spans="1:9" x14ac:dyDescent="0.25">
      <c r="A14" s="4" t="s">
        <v>516</v>
      </c>
      <c r="B14" s="4" t="s">
        <v>517</v>
      </c>
      <c r="C14" s="4" t="s">
        <v>539</v>
      </c>
      <c r="D14" s="4" t="s">
        <v>518</v>
      </c>
      <c r="E14" s="4" t="s">
        <v>540</v>
      </c>
      <c r="F14" s="4" t="s">
        <v>520</v>
      </c>
      <c r="G14" s="4" t="s">
        <v>541</v>
      </c>
      <c r="H14" s="4"/>
      <c r="I14" s="4" t="s">
        <v>542</v>
      </c>
    </row>
    <row r="15" spans="1:9" x14ac:dyDescent="0.25">
      <c r="A15" s="4" t="s">
        <v>543</v>
      </c>
      <c r="B15" s="4" t="s">
        <v>544</v>
      </c>
      <c r="C15" s="4" t="s">
        <v>192</v>
      </c>
      <c r="D15" s="4" t="s">
        <v>524</v>
      </c>
      <c r="E15" s="4" t="s">
        <v>525</v>
      </c>
      <c r="F15" s="4" t="s">
        <v>526</v>
      </c>
      <c r="G15" s="4" t="s">
        <v>527</v>
      </c>
      <c r="H15" s="22">
        <v>46270</v>
      </c>
      <c r="I15" s="4"/>
    </row>
    <row r="16" spans="1:9" x14ac:dyDescent="0.25">
      <c r="A16" s="4" t="s">
        <v>543</v>
      </c>
      <c r="B16" s="4" t="s">
        <v>544</v>
      </c>
      <c r="C16" s="4" t="s">
        <v>353</v>
      </c>
      <c r="D16" s="4" t="s">
        <v>524</v>
      </c>
      <c r="E16" s="4" t="s">
        <v>519</v>
      </c>
      <c r="F16" s="4" t="s">
        <v>526</v>
      </c>
      <c r="G16" s="4" t="s">
        <v>1034</v>
      </c>
      <c r="H16" s="4" t="s">
        <v>1012</v>
      </c>
      <c r="I16" s="4"/>
    </row>
    <row r="17" spans="1:9" x14ac:dyDescent="0.25">
      <c r="A17" s="4" t="s">
        <v>543</v>
      </c>
      <c r="B17" s="4" t="s">
        <v>544</v>
      </c>
      <c r="C17" s="4" t="s">
        <v>454</v>
      </c>
      <c r="D17" s="4" t="s">
        <v>524</v>
      </c>
      <c r="E17" s="4" t="s">
        <v>540</v>
      </c>
      <c r="F17" s="4" t="s">
        <v>526</v>
      </c>
      <c r="G17" s="4" t="s">
        <v>545</v>
      </c>
      <c r="H17" s="4">
        <v>6</v>
      </c>
      <c r="I17" s="4" t="s">
        <v>546</v>
      </c>
    </row>
    <row r="18" spans="1:9" x14ac:dyDescent="0.25">
      <c r="A18" s="4" t="s">
        <v>543</v>
      </c>
      <c r="B18" s="4" t="s">
        <v>544</v>
      </c>
      <c r="C18" s="4" t="s">
        <v>455</v>
      </c>
      <c r="D18" s="4" t="s">
        <v>524</v>
      </c>
      <c r="E18" s="4" t="s">
        <v>540</v>
      </c>
      <c r="F18" s="4" t="s">
        <v>526</v>
      </c>
      <c r="G18" s="4" t="s">
        <v>547</v>
      </c>
      <c r="H18" s="4">
        <v>288</v>
      </c>
      <c r="I18" s="4" t="s">
        <v>548</v>
      </c>
    </row>
    <row r="19" spans="1:9" x14ac:dyDescent="0.25">
      <c r="A19" s="4" t="s">
        <v>543</v>
      </c>
      <c r="B19" s="4" t="s">
        <v>544</v>
      </c>
      <c r="C19" s="4" t="s">
        <v>549</v>
      </c>
      <c r="D19" s="4" t="s">
        <v>524</v>
      </c>
      <c r="E19" s="4" t="s">
        <v>519</v>
      </c>
      <c r="F19" s="4" t="s">
        <v>520</v>
      </c>
      <c r="G19" s="4" t="s">
        <v>538</v>
      </c>
      <c r="H19" s="4" t="s">
        <v>550</v>
      </c>
      <c r="I19" s="4"/>
    </row>
    <row r="20" spans="1:9" x14ac:dyDescent="0.25">
      <c r="A20" s="4" t="s">
        <v>543</v>
      </c>
      <c r="B20" s="4" t="s">
        <v>544</v>
      </c>
      <c r="C20" s="4" t="s">
        <v>551</v>
      </c>
      <c r="D20" s="4" t="s">
        <v>518</v>
      </c>
      <c r="E20" s="4" t="s">
        <v>520</v>
      </c>
      <c r="F20" s="4" t="s">
        <v>520</v>
      </c>
      <c r="G20" s="4" t="s">
        <v>552</v>
      </c>
      <c r="H20" s="4"/>
      <c r="I20" s="4"/>
    </row>
    <row r="21" spans="1:9" x14ac:dyDescent="0.25">
      <c r="A21" s="4" t="s">
        <v>553</v>
      </c>
      <c r="B21" s="4" t="s">
        <v>554</v>
      </c>
      <c r="C21" s="4" t="s">
        <v>192</v>
      </c>
      <c r="D21" s="4" t="s">
        <v>524</v>
      </c>
      <c r="E21" s="4" t="s">
        <v>525</v>
      </c>
      <c r="F21" s="4" t="s">
        <v>526</v>
      </c>
      <c r="G21" s="4" t="s">
        <v>527</v>
      </c>
      <c r="H21" s="22">
        <v>46270</v>
      </c>
      <c r="I21" s="4"/>
    </row>
    <row r="22" spans="1:9" x14ac:dyDescent="0.25">
      <c r="A22" s="4" t="s">
        <v>553</v>
      </c>
      <c r="B22" s="4" t="s">
        <v>554</v>
      </c>
      <c r="C22" s="4" t="s">
        <v>353</v>
      </c>
      <c r="D22" s="4" t="s">
        <v>524</v>
      </c>
      <c r="E22" s="4" t="s">
        <v>519</v>
      </c>
      <c r="F22" s="4" t="s">
        <v>526</v>
      </c>
      <c r="G22" s="4" t="s">
        <v>555</v>
      </c>
      <c r="H22" s="4" t="s">
        <v>1012</v>
      </c>
      <c r="I22" s="4"/>
    </row>
    <row r="23" spans="1:9" x14ac:dyDescent="0.25">
      <c r="A23" s="4" t="s">
        <v>553</v>
      </c>
      <c r="B23" s="4" t="s">
        <v>554</v>
      </c>
      <c r="C23" s="4" t="s">
        <v>319</v>
      </c>
      <c r="D23" s="4" t="s">
        <v>524</v>
      </c>
      <c r="E23" s="4" t="s">
        <v>519</v>
      </c>
      <c r="F23" s="4" t="s">
        <v>526</v>
      </c>
      <c r="G23" s="4" t="s">
        <v>556</v>
      </c>
      <c r="H23" s="4" t="s">
        <v>337</v>
      </c>
      <c r="I23" s="4"/>
    </row>
    <row r="24" spans="1:9" x14ac:dyDescent="0.25">
      <c r="A24" s="4" t="s">
        <v>553</v>
      </c>
      <c r="B24" s="4" t="s">
        <v>554</v>
      </c>
      <c r="C24" s="4" t="s">
        <v>462</v>
      </c>
      <c r="D24" s="4" t="s">
        <v>524</v>
      </c>
      <c r="E24" s="4" t="s">
        <v>540</v>
      </c>
      <c r="F24" s="4" t="s">
        <v>526</v>
      </c>
      <c r="G24" s="4" t="s">
        <v>557</v>
      </c>
      <c r="H24" s="4">
        <v>-500</v>
      </c>
      <c r="I24" s="4" t="s">
        <v>558</v>
      </c>
    </row>
    <row r="25" spans="1:9" x14ac:dyDescent="0.25">
      <c r="A25" s="4" t="s">
        <v>553</v>
      </c>
      <c r="B25" s="4" t="s">
        <v>554</v>
      </c>
      <c r="C25" s="4" t="s">
        <v>559</v>
      </c>
      <c r="D25" s="4" t="s">
        <v>524</v>
      </c>
      <c r="E25" s="4" t="s">
        <v>519</v>
      </c>
      <c r="F25" s="4" t="s">
        <v>520</v>
      </c>
      <c r="G25" s="4" t="s">
        <v>538</v>
      </c>
      <c r="H25" s="4" t="s">
        <v>560</v>
      </c>
      <c r="I25" s="4"/>
    </row>
    <row r="26" spans="1:9" x14ac:dyDescent="0.25">
      <c r="A26" s="4" t="s">
        <v>561</v>
      </c>
      <c r="B26" s="4" t="s">
        <v>562</v>
      </c>
      <c r="C26" s="4" t="s">
        <v>353</v>
      </c>
      <c r="D26" s="4" t="s">
        <v>518</v>
      </c>
      <c r="E26" s="4" t="s">
        <v>519</v>
      </c>
      <c r="F26" s="4" t="s">
        <v>520</v>
      </c>
      <c r="G26" s="4" t="s">
        <v>1035</v>
      </c>
      <c r="H26" s="4" t="s">
        <v>1006</v>
      </c>
      <c r="I26" s="4" t="s">
        <v>1036</v>
      </c>
    </row>
    <row r="27" spans="1:9" x14ac:dyDescent="0.25">
      <c r="A27" s="4" t="s">
        <v>561</v>
      </c>
      <c r="B27" s="4" t="s">
        <v>562</v>
      </c>
      <c r="C27" s="4" t="s">
        <v>1037</v>
      </c>
      <c r="D27" s="4" t="s">
        <v>524</v>
      </c>
      <c r="E27" s="4" t="s">
        <v>563</v>
      </c>
      <c r="F27" s="4" t="s">
        <v>526</v>
      </c>
      <c r="G27" s="4" t="s">
        <v>1038</v>
      </c>
      <c r="H27" s="4" t="s">
        <v>1039</v>
      </c>
      <c r="I27" s="4" t="s">
        <v>564</v>
      </c>
    </row>
    <row r="28" spans="1:9" x14ac:dyDescent="0.25">
      <c r="A28" s="4" t="s">
        <v>561</v>
      </c>
      <c r="B28" s="4" t="s">
        <v>562</v>
      </c>
      <c r="C28" s="4" t="s">
        <v>565</v>
      </c>
      <c r="D28" s="4" t="s">
        <v>518</v>
      </c>
      <c r="E28" s="4" t="s">
        <v>566</v>
      </c>
      <c r="F28" s="4" t="s">
        <v>520</v>
      </c>
      <c r="G28" s="4" t="s">
        <v>552</v>
      </c>
      <c r="H28" s="4"/>
      <c r="I28" s="4" t="s">
        <v>567</v>
      </c>
    </row>
    <row r="29" spans="1:9" x14ac:dyDescent="0.25">
      <c r="A29" s="4" t="s">
        <v>568</v>
      </c>
      <c r="B29" s="4" t="s">
        <v>569</v>
      </c>
      <c r="C29" s="4" t="s">
        <v>570</v>
      </c>
      <c r="D29" s="4" t="s">
        <v>524</v>
      </c>
      <c r="E29" s="4" t="s">
        <v>563</v>
      </c>
      <c r="F29" s="4" t="s">
        <v>526</v>
      </c>
      <c r="G29" s="4" t="s">
        <v>571</v>
      </c>
      <c r="H29" s="4" t="s">
        <v>1040</v>
      </c>
      <c r="I29" s="4" t="s">
        <v>572</v>
      </c>
    </row>
    <row r="30" spans="1:9" x14ac:dyDescent="0.25">
      <c r="A30" s="4" t="s">
        <v>568</v>
      </c>
      <c r="B30" s="4" t="s">
        <v>573</v>
      </c>
      <c r="C30" s="4" t="s">
        <v>397</v>
      </c>
      <c r="D30" s="4" t="s">
        <v>524</v>
      </c>
      <c r="E30" s="4" t="s">
        <v>540</v>
      </c>
      <c r="F30" s="4" t="s">
        <v>526</v>
      </c>
      <c r="G30" s="4" t="s">
        <v>574</v>
      </c>
      <c r="H30" s="4">
        <v>3000</v>
      </c>
      <c r="I30" s="4" t="s">
        <v>575</v>
      </c>
    </row>
    <row r="31" spans="1:9" x14ac:dyDescent="0.25">
      <c r="A31" s="4" t="s">
        <v>576</v>
      </c>
      <c r="B31" s="4" t="s">
        <v>577</v>
      </c>
      <c r="C31" s="4" t="s">
        <v>578</v>
      </c>
      <c r="D31" s="4" t="s">
        <v>524</v>
      </c>
      <c r="E31" s="4" t="s">
        <v>563</v>
      </c>
      <c r="F31" s="4" t="s">
        <v>526</v>
      </c>
      <c r="G31" s="4" t="s">
        <v>579</v>
      </c>
      <c r="H31" s="4" t="s">
        <v>580</v>
      </c>
      <c r="I31" s="4"/>
    </row>
    <row r="32" spans="1:9" x14ac:dyDescent="0.25">
      <c r="A32" s="4" t="s">
        <v>581</v>
      </c>
      <c r="B32" s="4" t="s">
        <v>520</v>
      </c>
      <c r="C32" s="4" t="s">
        <v>582</v>
      </c>
      <c r="D32" s="4" t="s">
        <v>524</v>
      </c>
      <c r="E32" s="4" t="s">
        <v>525</v>
      </c>
      <c r="F32" s="4" t="s">
        <v>520</v>
      </c>
      <c r="G32" s="4" t="s">
        <v>527</v>
      </c>
      <c r="H32" s="4" t="s">
        <v>583</v>
      </c>
      <c r="I32" s="4" t="s">
        <v>584</v>
      </c>
    </row>
    <row r="33" spans="1:9" x14ac:dyDescent="0.25">
      <c r="A33" s="4" t="s">
        <v>585</v>
      </c>
      <c r="B33" s="4" t="s">
        <v>520</v>
      </c>
      <c r="C33" s="4" t="s">
        <v>586</v>
      </c>
      <c r="D33" s="4" t="s">
        <v>524</v>
      </c>
      <c r="E33" s="4" t="s">
        <v>519</v>
      </c>
      <c r="F33" s="4" t="s">
        <v>526</v>
      </c>
      <c r="G33" s="4" t="s">
        <v>587</v>
      </c>
      <c r="H33" s="4" t="s">
        <v>588</v>
      </c>
      <c r="I33" s="4" t="s">
        <v>589</v>
      </c>
    </row>
    <row r="34" spans="1:9" x14ac:dyDescent="0.25">
      <c r="A34" s="4" t="s">
        <v>516</v>
      </c>
      <c r="B34" s="4" t="s">
        <v>517</v>
      </c>
      <c r="C34" s="4" t="s">
        <v>602</v>
      </c>
      <c r="D34" s="4" t="s">
        <v>540</v>
      </c>
      <c r="E34" s="4" t="s">
        <v>812</v>
      </c>
      <c r="F34" s="4" t="s">
        <v>520</v>
      </c>
      <c r="G34" s="4" t="s">
        <v>813</v>
      </c>
      <c r="H34" s="4">
        <v>40</v>
      </c>
      <c r="I34" s="4" t="s">
        <v>814</v>
      </c>
    </row>
    <row r="35" spans="1:9" x14ac:dyDescent="0.25">
      <c r="A35" s="4" t="s">
        <v>516</v>
      </c>
      <c r="B35" s="4" t="s">
        <v>517</v>
      </c>
      <c r="C35" s="4" t="s">
        <v>824</v>
      </c>
      <c r="D35" s="4" t="s">
        <v>540</v>
      </c>
      <c r="E35" s="4" t="s">
        <v>812</v>
      </c>
      <c r="F35" s="4" t="s">
        <v>520</v>
      </c>
      <c r="G35" s="4" t="s">
        <v>838</v>
      </c>
      <c r="H35" s="4">
        <v>150</v>
      </c>
      <c r="I35" s="4" t="s">
        <v>839</v>
      </c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 t="s">
        <v>590</v>
      </c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>
        <v>1</v>
      </c>
      <c r="B38" s="4" t="s">
        <v>591</v>
      </c>
      <c r="C38" s="4"/>
      <c r="D38" s="4"/>
      <c r="E38" s="4"/>
      <c r="F38" s="4"/>
      <c r="G38" s="4"/>
      <c r="H38" s="4"/>
      <c r="I38" s="4"/>
    </row>
    <row r="39" spans="1:9" x14ac:dyDescent="0.25">
      <c r="A39" s="4">
        <v>2</v>
      </c>
      <c r="B39" s="4" t="s">
        <v>592</v>
      </c>
      <c r="C39" s="4"/>
      <c r="D39" s="4"/>
      <c r="E39" s="4"/>
      <c r="F39" s="4"/>
      <c r="G39" s="4"/>
      <c r="H39" s="4"/>
      <c r="I39" s="4"/>
    </row>
    <row r="40" spans="1:9" x14ac:dyDescent="0.25">
      <c r="A40" s="4">
        <v>3</v>
      </c>
      <c r="B40" s="24" t="s">
        <v>593</v>
      </c>
      <c r="C40" s="4"/>
      <c r="D40" s="4"/>
      <c r="E40" s="4"/>
      <c r="F40" s="4"/>
      <c r="G40" s="4"/>
      <c r="H40" s="4"/>
      <c r="I40" s="4"/>
    </row>
    <row r="41" spans="1:9" x14ac:dyDescent="0.25">
      <c r="A41" s="4">
        <v>4</v>
      </c>
      <c r="B41" s="24" t="s">
        <v>594</v>
      </c>
      <c r="C41" s="4"/>
      <c r="D41" s="4"/>
      <c r="E41" s="4"/>
      <c r="F41" s="4"/>
      <c r="G41" s="4"/>
      <c r="H41" s="4"/>
      <c r="I41" s="4"/>
    </row>
    <row r="42" spans="1:9" x14ac:dyDescent="0.25">
      <c r="A42" s="4">
        <v>5</v>
      </c>
      <c r="B42" s="24" t="s">
        <v>595</v>
      </c>
      <c r="C42" s="4"/>
      <c r="D42" s="4"/>
      <c r="E42" s="4"/>
      <c r="F42" s="4"/>
      <c r="G42" s="4"/>
      <c r="H42" s="4"/>
      <c r="I42" s="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C24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34" customWidth="1"/>
    <col min="2" max="2" width="95" customWidth="1"/>
  </cols>
  <sheetData>
    <row r="1" spans="1:3" ht="25.5" customHeight="1" x14ac:dyDescent="0.3">
      <c r="A1" s="149" t="s">
        <v>204</v>
      </c>
      <c r="B1" s="149"/>
      <c r="C1" s="149"/>
    </row>
    <row r="2" spans="1:3" x14ac:dyDescent="0.25">
      <c r="A2" s="49"/>
      <c r="B2" s="49"/>
      <c r="C2" s="49"/>
    </row>
    <row r="3" spans="1:3" x14ac:dyDescent="0.25">
      <c r="A3" s="26" t="s">
        <v>205</v>
      </c>
      <c r="B3" s="81" t="s">
        <v>206</v>
      </c>
      <c r="C3" s="49"/>
    </row>
    <row r="4" spans="1:3" x14ac:dyDescent="0.25">
      <c r="A4" s="26" t="s">
        <v>207</v>
      </c>
      <c r="B4" s="81" t="s">
        <v>208</v>
      </c>
      <c r="C4" s="49"/>
    </row>
    <row r="5" spans="1:3" x14ac:dyDescent="0.25">
      <c r="A5" s="26" t="s">
        <v>209</v>
      </c>
      <c r="B5" s="81" t="s">
        <v>210</v>
      </c>
      <c r="C5" s="49"/>
    </row>
    <row r="6" spans="1:3" x14ac:dyDescent="0.25">
      <c r="A6" s="26" t="s">
        <v>211</v>
      </c>
      <c r="B6" s="81" t="s">
        <v>212</v>
      </c>
      <c r="C6" s="49"/>
    </row>
    <row r="7" spans="1:3" x14ac:dyDescent="0.25">
      <c r="A7" s="26"/>
      <c r="B7" s="81"/>
      <c r="C7" s="49"/>
    </row>
    <row r="8" spans="1:3" x14ac:dyDescent="0.25">
      <c r="A8" s="156" t="s">
        <v>213</v>
      </c>
      <c r="B8" s="156"/>
      <c r="C8" s="49"/>
    </row>
    <row r="9" spans="1:3" x14ac:dyDescent="0.25">
      <c r="A9" s="26" t="s">
        <v>214</v>
      </c>
      <c r="B9" s="81" t="s">
        <v>215</v>
      </c>
      <c r="C9" s="49"/>
    </row>
    <row r="10" spans="1:3" x14ac:dyDescent="0.25">
      <c r="A10" s="26" t="s">
        <v>216</v>
      </c>
      <c r="B10" s="81" t="s">
        <v>217</v>
      </c>
      <c r="C10" s="49"/>
    </row>
    <row r="11" spans="1:3" x14ac:dyDescent="0.25">
      <c r="A11" s="26" t="s">
        <v>218</v>
      </c>
      <c r="B11" s="81" t="s">
        <v>219</v>
      </c>
      <c r="C11" s="49"/>
    </row>
    <row r="12" spans="1:3" x14ac:dyDescent="0.25">
      <c r="A12" s="26" t="s">
        <v>220</v>
      </c>
      <c r="B12" s="81" t="s">
        <v>221</v>
      </c>
      <c r="C12" s="49"/>
    </row>
    <row r="13" spans="1:3" x14ac:dyDescent="0.25">
      <c r="A13" s="26" t="s">
        <v>222</v>
      </c>
      <c r="B13" s="81" t="s">
        <v>223</v>
      </c>
      <c r="C13" s="49"/>
    </row>
    <row r="14" spans="1:3" x14ac:dyDescent="0.25">
      <c r="A14" s="26" t="s">
        <v>224</v>
      </c>
      <c r="B14" s="81" t="s">
        <v>225</v>
      </c>
      <c r="C14" s="49"/>
    </row>
    <row r="15" spans="1:3" x14ac:dyDescent="0.25">
      <c r="A15" s="26" t="s">
        <v>226</v>
      </c>
      <c r="B15" s="81" t="s">
        <v>227</v>
      </c>
      <c r="C15" s="49"/>
    </row>
    <row r="16" spans="1:3" x14ac:dyDescent="0.25">
      <c r="A16" s="26" t="s">
        <v>228</v>
      </c>
      <c r="B16" s="81" t="s">
        <v>229</v>
      </c>
      <c r="C16" s="49"/>
    </row>
    <row r="18" spans="1:2" x14ac:dyDescent="0.25">
      <c r="A18" s="156" t="s">
        <v>230</v>
      </c>
      <c r="B18" s="156"/>
    </row>
    <row r="19" spans="1:2" x14ac:dyDescent="0.25">
      <c r="A19" s="26" t="s">
        <v>69</v>
      </c>
      <c r="B19" s="81" t="s">
        <v>231</v>
      </c>
    </row>
    <row r="20" spans="1:2" x14ac:dyDescent="0.25">
      <c r="A20" s="26" t="s">
        <v>232</v>
      </c>
      <c r="B20" s="81" t="s">
        <v>233</v>
      </c>
    </row>
    <row r="21" spans="1:2" x14ac:dyDescent="0.25">
      <c r="A21" s="26" t="s">
        <v>234</v>
      </c>
      <c r="B21" s="81" t="s">
        <v>235</v>
      </c>
    </row>
    <row r="22" spans="1:2" ht="25.5" x14ac:dyDescent="0.25">
      <c r="A22" s="26" t="s">
        <v>236</v>
      </c>
      <c r="B22" s="81" t="s">
        <v>1258</v>
      </c>
    </row>
    <row r="23" spans="1:2" ht="38.25" x14ac:dyDescent="0.25">
      <c r="A23" s="26" t="s">
        <v>237</v>
      </c>
      <c r="B23" s="81" t="s">
        <v>1259</v>
      </c>
    </row>
    <row r="24" spans="1:2" ht="25.5" x14ac:dyDescent="0.25">
      <c r="A24" s="26" t="s">
        <v>238</v>
      </c>
      <c r="B24" s="81" t="s">
        <v>239</v>
      </c>
    </row>
  </sheetData>
  <mergeCells count="3">
    <mergeCell ref="A1:C1"/>
    <mergeCell ref="A8:B8"/>
    <mergeCell ref="A18:B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D26"/>
  <sheetViews>
    <sheetView showGridLines="0" topLeftCell="A15" zoomScaleNormal="100" workbookViewId="0">
      <selection sqref="A1:D1"/>
    </sheetView>
  </sheetViews>
  <sheetFormatPr defaultColWidth="8.7109375" defaultRowHeight="15" x14ac:dyDescent="0.25"/>
  <cols>
    <col min="1" max="1" width="18" customWidth="1"/>
    <col min="2" max="2" width="34" customWidth="1"/>
    <col min="3" max="4" width="66" customWidth="1"/>
  </cols>
  <sheetData>
    <row r="1" spans="1:4" ht="25.5" customHeight="1" x14ac:dyDescent="0.3">
      <c r="A1" s="149" t="s">
        <v>240</v>
      </c>
      <c r="B1" s="149"/>
      <c r="C1" s="149"/>
      <c r="D1" s="149"/>
    </row>
    <row r="2" spans="1:4" x14ac:dyDescent="0.25">
      <c r="A2" s="49"/>
      <c r="B2" s="49"/>
      <c r="C2" s="49"/>
      <c r="D2" s="49"/>
    </row>
    <row r="3" spans="1:4" x14ac:dyDescent="0.25">
      <c r="A3" s="53" t="s">
        <v>241</v>
      </c>
      <c r="B3" s="53" t="s">
        <v>242</v>
      </c>
      <c r="C3" s="53" t="s">
        <v>243</v>
      </c>
      <c r="D3" s="53" t="s">
        <v>244</v>
      </c>
    </row>
    <row r="4" spans="1:4" ht="61.5" customHeight="1" x14ac:dyDescent="0.25">
      <c r="A4" s="68" t="s">
        <v>245</v>
      </c>
      <c r="B4" s="82" t="s">
        <v>246</v>
      </c>
      <c r="C4" s="82" t="s">
        <v>247</v>
      </c>
      <c r="D4" s="82" t="s">
        <v>248</v>
      </c>
    </row>
    <row r="5" spans="1:4" ht="61.5" customHeight="1" x14ac:dyDescent="0.25">
      <c r="A5" s="68" t="s">
        <v>245</v>
      </c>
      <c r="B5" s="82" t="s">
        <v>249</v>
      </c>
      <c r="C5" s="82" t="s">
        <v>250</v>
      </c>
      <c r="D5" s="82" t="s">
        <v>251</v>
      </c>
    </row>
    <row r="6" spans="1:4" ht="61.5" customHeight="1" x14ac:dyDescent="0.25">
      <c r="A6" s="68" t="s">
        <v>245</v>
      </c>
      <c r="B6" s="82" t="s">
        <v>252</v>
      </c>
      <c r="C6" s="82" t="s">
        <v>253</v>
      </c>
      <c r="D6" s="82" t="s">
        <v>254</v>
      </c>
    </row>
    <row r="7" spans="1:4" ht="61.5" customHeight="1" x14ac:dyDescent="0.25">
      <c r="A7" s="68" t="s">
        <v>245</v>
      </c>
      <c r="B7" s="82" t="s">
        <v>255</v>
      </c>
      <c r="C7" s="82" t="s">
        <v>256</v>
      </c>
      <c r="D7" s="82" t="s">
        <v>257</v>
      </c>
    </row>
    <row r="8" spans="1:4" ht="61.5" customHeight="1" x14ac:dyDescent="0.25">
      <c r="A8" s="68" t="s">
        <v>258</v>
      </c>
      <c r="B8" s="82" t="s">
        <v>259</v>
      </c>
      <c r="C8" s="82" t="s">
        <v>260</v>
      </c>
      <c r="D8" s="82" t="s">
        <v>261</v>
      </c>
    </row>
    <row r="9" spans="1:4" ht="61.5" customHeight="1" x14ac:dyDescent="0.25">
      <c r="A9" s="68" t="s">
        <v>262</v>
      </c>
      <c r="B9" s="82" t="s">
        <v>263</v>
      </c>
      <c r="C9" s="82" t="s">
        <v>264</v>
      </c>
      <c r="D9" s="82" t="s">
        <v>265</v>
      </c>
    </row>
    <row r="10" spans="1:4" ht="61.5" customHeight="1" x14ac:dyDescent="0.25">
      <c r="A10" s="68" t="s">
        <v>266</v>
      </c>
      <c r="B10" s="82" t="s">
        <v>267</v>
      </c>
      <c r="C10" s="82" t="s">
        <v>268</v>
      </c>
      <c r="D10" s="82" t="s">
        <v>269</v>
      </c>
    </row>
    <row r="11" spans="1:4" ht="61.5" customHeight="1" x14ac:dyDescent="0.25">
      <c r="A11" s="68" t="s">
        <v>270</v>
      </c>
      <c r="B11" s="82" t="s">
        <v>271</v>
      </c>
      <c r="C11" s="82" t="s">
        <v>272</v>
      </c>
      <c r="D11" s="82" t="s">
        <v>273</v>
      </c>
    </row>
    <row r="12" spans="1:4" ht="61.5" customHeight="1" x14ac:dyDescent="0.25">
      <c r="A12" s="68" t="s">
        <v>274</v>
      </c>
      <c r="B12" s="82" t="s">
        <v>275</v>
      </c>
      <c r="C12" s="82" t="s">
        <v>276</v>
      </c>
      <c r="D12" s="82" t="s">
        <v>277</v>
      </c>
    </row>
    <row r="13" spans="1:4" ht="61.5" customHeight="1" x14ac:dyDescent="0.25">
      <c r="A13" s="68" t="s">
        <v>278</v>
      </c>
      <c r="B13" s="82" t="s">
        <v>68</v>
      </c>
      <c r="C13" s="82" t="s">
        <v>279</v>
      </c>
      <c r="D13" s="82" t="s">
        <v>280</v>
      </c>
    </row>
    <row r="14" spans="1:4" ht="61.5" customHeight="1" x14ac:dyDescent="0.25">
      <c r="A14" s="68" t="s">
        <v>281</v>
      </c>
      <c r="B14" s="82" t="s">
        <v>282</v>
      </c>
      <c r="C14" s="82" t="s">
        <v>283</v>
      </c>
      <c r="D14" s="82" t="s">
        <v>284</v>
      </c>
    </row>
    <row r="15" spans="1:4" ht="61.5" customHeight="1" x14ac:dyDescent="0.25">
      <c r="A15" s="68" t="s">
        <v>281</v>
      </c>
      <c r="B15" s="82" t="s">
        <v>285</v>
      </c>
      <c r="C15" s="82" t="s">
        <v>286</v>
      </c>
      <c r="D15" s="82" t="s">
        <v>287</v>
      </c>
    </row>
    <row r="16" spans="1:4" ht="61.5" customHeight="1" x14ac:dyDescent="0.25">
      <c r="A16" s="68" t="s">
        <v>281</v>
      </c>
      <c r="B16" s="82" t="s">
        <v>288</v>
      </c>
      <c r="C16" s="82" t="s">
        <v>289</v>
      </c>
      <c r="D16" s="82" t="s">
        <v>290</v>
      </c>
    </row>
    <row r="17" spans="1:4" ht="61.5" customHeight="1" x14ac:dyDescent="0.25">
      <c r="A17" s="68" t="s">
        <v>281</v>
      </c>
      <c r="B17" s="82" t="s">
        <v>291</v>
      </c>
      <c r="C17" s="82" t="s">
        <v>292</v>
      </c>
      <c r="D17" s="82" t="s">
        <v>293</v>
      </c>
    </row>
    <row r="18" spans="1:4" ht="63.75" x14ac:dyDescent="0.25">
      <c r="A18" s="68" t="s">
        <v>312</v>
      </c>
      <c r="B18" s="82" t="s">
        <v>313</v>
      </c>
      <c r="C18" s="82" t="s">
        <v>314</v>
      </c>
      <c r="D18" s="82" t="s">
        <v>315</v>
      </c>
    </row>
    <row r="19" spans="1:4" ht="76.5" x14ac:dyDescent="0.25">
      <c r="A19" s="68" t="s">
        <v>596</v>
      </c>
      <c r="B19" s="82" t="s">
        <v>597</v>
      </c>
      <c r="C19" s="82" t="s">
        <v>598</v>
      </c>
      <c r="D19" s="82" t="s">
        <v>599</v>
      </c>
    </row>
    <row r="20" spans="1:4" ht="76.5" x14ac:dyDescent="0.25">
      <c r="A20" s="68" t="s">
        <v>815</v>
      </c>
      <c r="B20" s="82" t="s">
        <v>816</v>
      </c>
      <c r="C20" s="82" t="s">
        <v>817</v>
      </c>
      <c r="D20" s="82" t="s">
        <v>818</v>
      </c>
    </row>
    <row r="21" spans="1:4" ht="63.75" x14ac:dyDescent="0.25">
      <c r="A21" s="68" t="s">
        <v>840</v>
      </c>
      <c r="B21" s="82" t="s">
        <v>841</v>
      </c>
      <c r="C21" s="82" t="s">
        <v>842</v>
      </c>
      <c r="D21" s="82" t="s">
        <v>843</v>
      </c>
    </row>
    <row r="22" spans="1:4" ht="102" x14ac:dyDescent="0.25">
      <c r="A22" s="135" t="s">
        <v>959</v>
      </c>
      <c r="B22" s="136" t="s">
        <v>960</v>
      </c>
      <c r="C22" s="136" t="s">
        <v>961</v>
      </c>
      <c r="D22" s="136" t="s">
        <v>962</v>
      </c>
    </row>
    <row r="23" spans="1:4" ht="114.75" x14ac:dyDescent="0.25">
      <c r="A23" s="135" t="s">
        <v>963</v>
      </c>
      <c r="B23" s="136" t="s">
        <v>964</v>
      </c>
      <c r="C23" s="136" t="s">
        <v>965</v>
      </c>
      <c r="D23" s="136" t="s">
        <v>966</v>
      </c>
    </row>
    <row r="24" spans="1:4" ht="242.25" x14ac:dyDescent="0.25">
      <c r="A24" s="196" t="s">
        <v>1261</v>
      </c>
      <c r="B24" s="197" t="s">
        <v>1262</v>
      </c>
      <c r="C24" s="197" t="s">
        <v>1263</v>
      </c>
      <c r="D24" s="197" t="s">
        <v>1264</v>
      </c>
    </row>
    <row r="25" spans="1:4" ht="76.5" x14ac:dyDescent="0.25">
      <c r="A25" s="196" t="s">
        <v>1267</v>
      </c>
      <c r="B25" s="197" t="s">
        <v>1266</v>
      </c>
      <c r="C25" s="197" t="s">
        <v>1268</v>
      </c>
      <c r="D25" s="197" t="s">
        <v>1269</v>
      </c>
    </row>
    <row r="26" spans="1:4" ht="102" x14ac:dyDescent="0.25">
      <c r="A26" s="196" t="s">
        <v>1270</v>
      </c>
      <c r="B26" s="197" t="s">
        <v>1271</v>
      </c>
      <c r="C26" s="197" t="s">
        <v>1272</v>
      </c>
      <c r="D26" s="197" t="s">
        <v>1273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🏠 หน้าหลัก</vt:lpstr>
      <vt:lpstr>Dashboard</vt:lpstr>
      <vt:lpstr>คำนวณสูตร</vt:lpstr>
      <vt:lpstr>ข้อมูลสูตร</vt:lpstr>
      <vt:lpstr>ต้นทุนและราคา</vt:lpstr>
      <vt:lpstr>SOP วิธีชง</vt:lpstr>
      <vt:lpstr>เตรียมเบส</vt:lpstr>
      <vt:lpstr>เบสและซับสูตร</vt:lpstr>
      <vt:lpstr>ต้นทุนเบส</vt:lpstr>
      <vt:lpstr>สินค้าและสต็อก</vt:lpstr>
      <vt:lpstr>บันทึกซื้อ</vt:lpstr>
      <vt:lpstr>บันทึกขาย</vt:lpstr>
      <vt:lpstr>ปรับสต็อก</vt:lpstr>
      <vt:lpstr>ทะเบียนอุปกรณ์</vt:lpstr>
      <vt:lpstr>R&amp;D Log</vt:lpstr>
      <vt:lpstr>สรุปการชิม</vt:lpstr>
      <vt:lpstr>มัทฉะพรีเมียม</vt:lpstr>
      <vt:lpstr>ตารางรวม</vt:lpstr>
      <vt:lpstr>Lists</vt:lpstr>
      <vt:lpstr>Schema</vt:lpstr>
      <vt:lpstr>เคล็ดลับ</vt:lpstr>
      <vt:lpstr>สรุปการแก้ไข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Chayanun Sungsa-ard</cp:lastModifiedBy>
  <cp:revision>0</cp:revision>
  <dcterms:created xsi:type="dcterms:W3CDTF">2026-09-01T15:23:46Z</dcterms:created>
  <dcterms:modified xsi:type="dcterms:W3CDTF">2026-09-17T14:27:24Z</dcterms:modified>
  <dc:language>en-US</dc:language>
</cp:coreProperties>
</file>